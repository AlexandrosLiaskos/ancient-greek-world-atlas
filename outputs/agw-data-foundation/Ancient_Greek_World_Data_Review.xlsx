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9d8aca0cd341bb" /></Relationships>
</file>

<file path=xl/workbook.xml><?xml version="1.0" encoding="utf-8"?>
<x:workbook xmlns:x="http://schemas.openxmlformats.org/spreadsheetml/2006/main">
  <x:sheets>
    <x:sheet xmlns:r="http://schemas.openxmlformats.org/officeDocument/2006/relationships" name="Read Me" sheetId="1" r:id="R52532d1ca54949e0"/>
    <x:sheet xmlns:r="http://schemas.openxmlformats.org/officeDocument/2006/relationships" name="Quality Summary" sheetId="2" r:id="R6a21403b5fd942b1"/>
    <x:sheet xmlns:r="http://schemas.openxmlformats.org/officeDocument/2006/relationships" name="Entities" sheetId="3" r:id="R7213e56d46e54a0b"/>
    <x:sheet xmlns:r="http://schemas.openxmlformats.org/officeDocument/2006/relationships" name="Names" sheetId="4" r:id="R7c6fddbf0fc84178"/>
    <x:sheet xmlns:r="http://schemas.openxmlformats.org/officeDocument/2006/relationships" name="Places" sheetId="5" r:id="R226b5cef0d334791"/>
    <x:sheet xmlns:r="http://schemas.openxmlformats.org/officeDocument/2006/relationships" name="Chronologies" sheetId="6" r:id="Raee743873dda4e25"/>
    <x:sheet xmlns:r="http://schemas.openxmlformats.org/officeDocument/2006/relationships" name="Authorities" sheetId="7" r:id="R5520f94172c34e7b"/>
    <x:sheet xmlns:r="http://schemas.openxmlformats.org/officeDocument/2006/relationships" name="Relationships" sheetId="8" r:id="R303c07249bad405b"/>
    <x:sheet xmlns:r="http://schemas.openxmlformats.org/officeDocument/2006/relationships" name="Sources" sheetId="9" r:id="R36b573d9885948ce"/>
    <x:sheet xmlns:r="http://schemas.openxmlformats.org/officeDocument/2006/relationships" name="Source Support" sheetId="10" r:id="R9bb7697e22be4539"/>
    <x:sheet xmlns:r="http://schemas.openxmlformats.org/officeDocument/2006/relationships" name="External IDs" sheetId="11" r:id="R5e6c67d3f8f9440f"/>
    <x:sheet xmlns:r="http://schemas.openxmlformats.org/officeDocument/2006/relationships" name="Review Queue" sheetId="12" r:id="R9d6c34b0b2cf4d7a"/>
    <x:sheet xmlns:r="http://schemas.openxmlformats.org/officeDocument/2006/relationships" name="Candidate Audit" sheetId="13" r:id="Rce7bb8bed2b0486e"/>
    <x:sheet xmlns:r="http://schemas.openxmlformats.org/officeDocument/2006/relationships" name="Vocabularies" sheetId="14" r:id="Rea55a8961fc049e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0000"/>
  </x:numFmts>
  <x:fonts count="12">
    <x:font>
      <x:sz val="11"/>
      <x:name val="Carlito"/>
    </x:font>
    <x:font>
      <x:b/>
      <x:sz val="18"/>
      <x:color rgb="FFFFFFFF"/>
      <x:name val="Palatino Linotype"/>
    </x:font>
    <x:font>
      <x:i/>
      <x:sz val="9"/>
      <x:color rgb="FF66736C"/>
      <x:name val="Aptos"/>
    </x:font>
    <x:font>
      <x:b/>
      <x:sz val="9"/>
      <x:color rgb="FFFFFFFF"/>
      <x:name val="Aptos"/>
    </x:font>
    <x:font>
      <x:sz val="9"/>
      <x:color rgb="FF26322D"/>
      <x:name val="Aptos"/>
    </x:font>
    <x:font>
      <x:b/>
      <x:sz val="13"/>
      <x:color rgb="FFFFFFFF"/>
      <x:name val="Palatino Linotype"/>
    </x:font>
    <x:font>
      <x:sz val="10"/>
      <x:color rgb="FF26322D"/>
      <x:name val="Aptos"/>
    </x:font>
    <x:font>
      <x:b/>
      <x:sz val="11"/>
      <x:color rgb="FFFFFFFF"/>
      <x:name val="Carlito"/>
    </x:font>
    <x:font>
      <x:b/>
      <x:sz val="12"/>
      <x:color rgb="FFFFFFFF"/>
      <x:name val="Palatino Linotype"/>
    </x:font>
    <x:font>
      <x:b/>
      <x:sz val="8"/>
      <x:color rgb="FFFFFFFF"/>
      <x:name val="Aptos"/>
    </x:font>
    <x:font>
      <x:b/>
      <x:sz val="18"/>
      <x:color rgb="FF26322D"/>
      <x:name val="Palatino Linotype"/>
    </x:font>
    <x:font>
      <x:b/>
      <x:sz val="10"/>
      <x:color rgb="FF355C4A"/>
      <x:name val="Aptos"/>
    </x:font>
  </x:fonts>
  <x:fills count="9">
    <x:fill>
      <x:patternFill patternType="none"/>
    </x:fill>
    <x:fill>
      <x:patternFill patternType="gray125"/>
    </x:fill>
    <x:fill>
      <x:patternFill patternType="solid">
        <x:fgColor rgb="FF26322D"/>
      </x:patternFill>
    </x:fill>
    <x:fill>
      <x:patternFill patternType="solid">
        <x:fgColor rgb="FFF7F1E5"/>
      </x:patternFill>
    </x:fill>
    <x:fill>
      <x:patternFill patternType="solid">
        <x:fgColor rgb="FF355C4A"/>
      </x:patternFill>
    </x:fill>
    <x:fill>
      <x:patternFill patternType="solid">
        <x:fgColor rgb="FFFFFDF8"/>
      </x:patternFill>
    </x:fill>
    <x:fill>
      <x:patternFill patternType="solid">
        <x:fgColor rgb="FFA65F3F"/>
      </x:patternFill>
    </x:fill>
    <x:fill>
      <x:patternFill patternType="solid">
        <x:fgColor rgb="FF6B7355"/>
      </x:patternFill>
    </x:fill>
    <x:fill>
      <x:patternFill patternType="solid">
        <x:fgColor rgb="FFE5ECE5"/>
      </x:patternFill>
    </x:fill>
  </x:fills>
  <x:borders count="38">
    <x:border/>
    <x:border>
      <x:bottom style="thin">
        <x:color rgb="FFC5A96B"/>
      </x:bottom>
    </x:border>
    <x:border>
      <x:bottom style="medium">
        <x:color rgb="FFC5A96B"/>
      </x:bottom>
    </x:border>
    <x:border>
      <x:left style="thin">
        <x:color rgb="FFE8DDC6"/>
      </x:left>
      <x:top style="thin">
        <x:color rgb="FFE8DDC6"/>
      </x:top>
    </x:border>
    <x:border>
      <x:top style="thin">
        <x:color rgb="FFE8DDC6"/>
      </x:top>
    </x:border>
    <x:border>
      <x:right style="thin">
        <x:color rgb="FFE8DDC6"/>
      </x:right>
      <x:top style="thin">
        <x:color rgb="FFE8DDC6"/>
      </x:top>
    </x:border>
    <x:border>
      <x:left style="thin">
        <x:color rgb="FFE8DDC6"/>
      </x:left>
    </x:border>
    <x:border>
      <x:right style="thin">
        <x:color rgb="FFE8DDC6"/>
      </x:right>
    </x:border>
    <x:border>
      <x:left style="thin">
        <x:color rgb="FFE8DDC6"/>
      </x:left>
      <x:bottom style="thin">
        <x:color rgb="FFE8DDC6"/>
      </x:bottom>
    </x:border>
    <x:border>
      <x:bottom style="thin">
        <x:color rgb="FFE8DDC6"/>
      </x:bottom>
    </x:border>
    <x:border>
      <x:right style="thin">
        <x:color rgb="FFE8DDC6"/>
      </x:right>
      <x:bottom style="thin">
        <x:color rgb="FFE8DDC6"/>
      </x:bottom>
    </x:border>
    <x:border>
      <x:left style="thin">
        <x:color rgb="FFC5A96B"/>
      </x:left>
      <x:top style="thin">
        <x:color rgb="FFC5A96B"/>
      </x:top>
    </x:border>
    <x:border>
      <x:top style="thin">
        <x:color rgb="FFC5A96B"/>
      </x:top>
    </x:border>
    <x:border>
      <x:right style="thin">
        <x:color rgb="FFC5A96B"/>
      </x:right>
      <x:top style="thin">
        <x:color rgb="FFC5A96B"/>
      </x:top>
    </x:border>
    <x:border>
      <x:left style="thin">
        <x:color rgb="FFC5A96B"/>
      </x:left>
    </x:border>
    <x:border>
      <x:right style="thin">
        <x:color rgb="FFC5A96B"/>
      </x:right>
    </x:border>
    <x:border>
      <x:left style="thin">
        <x:color rgb="FFC5A96B"/>
      </x:left>
      <x:bottom style="thin">
        <x:color rgb="FFC5A96B"/>
      </x:bottom>
    </x:border>
    <x:border>
      <x:right style="thin">
        <x:color rgb="FFC5A96B"/>
      </x:right>
      <x:bottom style="thin">
        <x:color rgb="FFC5A96B"/>
      </x:bottom>
    </x:border>
    <x:border>
      <x:left style="thin">
        <x:color rgb="FF355C4A"/>
      </x:left>
      <x:top style="thin">
        <x:color rgb="FF355C4A"/>
      </x:top>
    </x:border>
    <x:border>
      <x:right style="thin">
        <x:color rgb="FF355C4A"/>
      </x:right>
      <x:top style="thin">
        <x:color rgb="FF355C4A"/>
      </x:top>
    </x:border>
    <x:border>
      <x:left style="thin">
        <x:color rgb="FF355C4A"/>
      </x:left>
      <x:bottom style="thin">
        <x:color rgb="FF355C4A"/>
      </x:bottom>
    </x:border>
    <x:border>
      <x:right style="thin">
        <x:color rgb="FF355C4A"/>
      </x:right>
      <x:bottom style="thin">
        <x:color rgb="FF355C4A"/>
      </x:bottom>
    </x:border>
    <x:border>
      <x:left style="thin">
        <x:color rgb="FF6B7355"/>
      </x:left>
      <x:top style="thin">
        <x:color rgb="FF6B7355"/>
      </x:top>
    </x:border>
    <x:border>
      <x:right style="thin">
        <x:color rgb="FF6B7355"/>
      </x:right>
      <x:top style="thin">
        <x:color rgb="FF6B7355"/>
      </x:top>
    </x:border>
    <x:border>
      <x:left style="thin">
        <x:color rgb="FF6B7355"/>
      </x:left>
      <x:bottom style="thin">
        <x:color rgb="FF6B7355"/>
      </x:bottom>
    </x:border>
    <x:border>
      <x:right style="thin">
        <x:color rgb="FF6B7355"/>
      </x:right>
      <x:bottom style="thin">
        <x:color rgb="FF6B7355"/>
      </x:bottom>
    </x:border>
    <x:border>
      <x:left style="thin">
        <x:color rgb="FFA65F3F"/>
      </x:left>
      <x:top style="thin">
        <x:color rgb="FFA65F3F"/>
      </x:top>
    </x:border>
    <x:border>
      <x:right style="thin">
        <x:color rgb="FFA65F3F"/>
      </x:right>
      <x:top style="thin">
        <x:color rgb="FFA65F3F"/>
      </x:top>
    </x:border>
    <x:border>
      <x:left style="thin">
        <x:color rgb="FFA65F3F"/>
      </x:left>
      <x:bottom style="thin">
        <x:color rgb="FFA65F3F"/>
      </x:bottom>
    </x:border>
    <x:border>
      <x:right style="thin">
        <x:color rgb="FFA65F3F"/>
      </x:right>
      <x:bottom style="thin">
        <x:color rgb="FFA65F3F"/>
      </x:bottom>
    </x:border>
    <x:border>
      <x:left style="medium">
        <x:color rgb="FF355C4A"/>
      </x:left>
      <x:top style="medium">
        <x:color rgb="FF355C4A"/>
      </x:top>
    </x:border>
    <x:border>
      <x:top style="medium">
        <x:color rgb="FF355C4A"/>
      </x:top>
    </x:border>
    <x:border>
      <x:right style="medium">
        <x:color rgb="FF355C4A"/>
      </x:right>
      <x:top style="medium">
        <x:color rgb="FF355C4A"/>
      </x:top>
    </x:border>
    <x:border>
      <x:left style="medium">
        <x:color rgb="FF355C4A"/>
      </x:left>
    </x:border>
    <x:border>
      <x:right style="medium">
        <x:color rgb="FF355C4A"/>
      </x:right>
    </x:border>
    <x:border>
      <x:left style="medium">
        <x:color rgb="FF355C4A"/>
      </x:left>
      <x:bottom style="medium">
        <x:color rgb="FF355C4A"/>
      </x:bottom>
    </x:border>
    <x:border>
      <x:bottom style="medium">
        <x:color rgb="FF355C4A"/>
      </x:bottom>
    </x:border>
    <x:border>
      <x:right style="medium">
        <x:color rgb="FF355C4A"/>
      </x:right>
      <x:bottom style="medium">
        <x:color rgb="FF355C4A"/>
      </x:bottom>
    </x:border>
  </x:borders>
  <x:cellStyleXfs count="1">
    <x:xf numFmtId="0" fontId="0" fillId="0" borderId="0"/>
  </x:cellStyleXfs>
  <x:cellXfs count="1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horizontal="center"/>
      <x:extLst>
        <x:ext uri="{C7286773-470A-42A8-94C5-96B5CB345126}">
          <xfpb:xfComplement xmlns:xfpb="http://schemas.microsoft.com/office/spreadsheetml/2022/featurepropertybag" i="0"/>
        </x:ext>
      </x:extLst>
    </x:xf>
    <x:xf numFmtId="201" fontId="4" fillId="0" borderId="0" xfId="0" applyNumberFormat="1" applyFont="1" applyFill="1" applyBorder="1"/>
    <x:xf numFmtId="202" fontId="4" fillId="0"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8"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3"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7" xfId="0" applyNumberFormat="1" applyFont="1" applyFill="1" applyBorder="1" applyAlignment="1">
      <x:alignment vertical="top" wrapText="1"/>
    </x:xf>
    <x:xf numFmtId="0" fontId="6" fillId="5" borderId="8"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7" fillId="4" borderId="0" xfId="0" applyNumberFormat="1" applyFont="1" applyFill="1" applyBorder="1"/>
    <x:xf numFmtId="0" fontId="0" fillId="6" borderId="0" xfId="0" applyNumberFormat="1" applyFont="1" applyFill="1" applyBorder="1"/>
    <x:xf numFmtId="0" fontId="8" fillId="6" borderId="0" xfId="0" applyNumberFormat="1" applyFont="1" applyFill="1" applyBorder="1"/>
    <x:xf numFmtId="0" fontId="6" fillId="3" borderId="0" xfId="0" applyNumberFormat="1" applyFont="1" applyFill="1" applyBorder="1"/>
    <x:xf numFmtId="0" fontId="6" fillId="3" borderId="11" xfId="0" applyNumberFormat="1" applyFont="1" applyFill="1" applyBorder="1"/>
    <x:xf numFmtId="0" fontId="6" fillId="3" borderId="12" xfId="0" applyNumberFormat="1" applyFont="1" applyFill="1" applyBorder="1"/>
    <x:xf numFmtId="0" fontId="6" fillId="3" borderId="13" xfId="0" applyNumberFormat="1" applyFont="1" applyFill="1" applyBorder="1"/>
    <x:xf numFmtId="0" fontId="6" fillId="3" borderId="14" xfId="0" applyNumberFormat="1" applyFont="1" applyFill="1" applyBorder="1"/>
    <x:xf numFmtId="0" fontId="6" fillId="3" borderId="15" xfId="0" applyNumberFormat="1" applyFont="1" applyFill="1" applyBorder="1"/>
    <x:xf numFmtId="0" fontId="6" fillId="3" borderId="16" xfId="0" applyNumberFormat="1" applyFont="1" applyFill="1" applyBorder="1"/>
    <x:xf numFmtId="0" fontId="6" fillId="3" borderId="1" xfId="0" applyNumberFormat="1" applyFont="1" applyFill="1" applyBorder="1"/>
    <x:xf numFmtId="0" fontId="6" fillId="3" borderId="17" xfId="0" applyNumberFormat="1" applyFont="1" applyFill="1" applyBorder="1"/>
    <x:xf numFmtId="0" fontId="6" fillId="3" borderId="11" xfId="0" applyNumberFormat="1" applyFont="1" applyFill="1" applyBorder="1" applyAlignment="1">
      <x:alignment wrapText="1"/>
    </x:xf>
    <x:xf numFmtId="0" fontId="6" fillId="3" borderId="12" xfId="0" applyNumberFormat="1" applyFont="1" applyFill="1" applyBorder="1" applyAlignment="1">
      <x:alignment wrapText="1"/>
    </x:xf>
    <x:xf numFmtId="0" fontId="6" fillId="3" borderId="13" xfId="0" applyNumberFormat="1" applyFont="1" applyFill="1" applyBorder="1" applyAlignment="1">
      <x:alignment wrapText="1"/>
    </x:xf>
    <x:xf numFmtId="0" fontId="6" fillId="3" borderId="14"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15" xfId="0" applyNumberFormat="1" applyFont="1" applyFill="1" applyBorder="1" applyAlignment="1">
      <x:alignment wrapText="1"/>
    </x:xf>
    <x:xf numFmtId="0" fontId="6" fillId="3" borderId="16" xfId="0" applyNumberFormat="1" applyFont="1" applyFill="1" applyBorder="1" applyAlignment="1">
      <x:alignment wrapText="1"/>
    </x:xf>
    <x:xf numFmtId="0" fontId="6" fillId="3" borderId="1" xfId="0" applyNumberFormat="1" applyFont="1" applyFill="1" applyBorder="1" applyAlignment="1">
      <x:alignment wrapText="1"/>
    </x:xf>
    <x:xf numFmtId="0" fontId="6" fillId="3" borderId="17" xfId="0" applyNumberFormat="1" applyFont="1" applyFill="1" applyBorder="1" applyAlignment="1">
      <x:alignment wrapText="1"/>
    </x:xf>
    <x:xf numFmtId="0" fontId="6" fillId="3" borderId="11" xfId="0" applyNumberFormat="1" applyFont="1" applyFill="1" applyBorder="1" applyAlignment="1">
      <x:alignment vertical="top" wrapText="1"/>
    </x:xf>
    <x:xf numFmtId="0" fontId="6" fillId="3" borderId="12" xfId="0" applyNumberFormat="1" applyFont="1" applyFill="1" applyBorder="1" applyAlignment="1">
      <x:alignment vertical="top" wrapText="1"/>
    </x:xf>
    <x:xf numFmtId="0" fontId="6" fillId="3" borderId="13" xfId="0" applyNumberFormat="1" applyFont="1" applyFill="1" applyBorder="1" applyAlignment="1">
      <x:alignment vertical="top" wrapText="1"/>
    </x:xf>
    <x:xf numFmtId="0" fontId="6" fillId="3" borderId="14"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15" xfId="0" applyNumberFormat="1" applyFont="1" applyFill="1" applyBorder="1" applyAlignment="1">
      <x:alignment vertical="top" wrapText="1"/>
    </x:xf>
    <x:xf numFmtId="0" fontId="6" fillId="3" borderId="16"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3" borderId="17"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horizontal="center" wrapText="1"/>
    </x:xf>
    <x:xf numFmtId="0" fontId="9" fillId="4" borderId="0" xfId="0" applyNumberFormat="1" applyFont="1" applyFill="1" applyBorder="1" applyAlignment="1">
      <x:alignment horizontal="center" vertical="center" wrapText="1"/>
    </x:xf>
    <x:xf numFmtId="0" fontId="10" fillId="5" borderId="0"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21" xfId="0" applyNumberFormat="1" applyFont="1" applyFill="1" applyBorder="1"/>
    <x:xf numFmtId="0" fontId="10" fillId="5" borderId="18" xfId="0" applyNumberFormat="1" applyFont="1" applyFill="1" applyBorder="1" applyAlignment="1">
      <x:alignment horizontal="center"/>
    </x:xf>
    <x:xf numFmtId="0" fontId="10" fillId="5" borderId="19" xfId="0" applyNumberFormat="1" applyFont="1" applyFill="1" applyBorder="1" applyAlignment="1">
      <x:alignment horizontal="center"/>
    </x:xf>
    <x:xf numFmtId="0" fontId="10" fillId="5" borderId="20" xfId="0" applyNumberFormat="1" applyFont="1" applyFill="1" applyBorder="1" applyAlignment="1">
      <x:alignment horizontal="center"/>
    </x:xf>
    <x:xf numFmtId="0" fontId="10" fillId="5" borderId="21" xfId="0" applyNumberFormat="1" applyFont="1" applyFill="1" applyBorder="1" applyAlignment="1">
      <x:alignment horizontal="center"/>
    </x:xf>
    <x:xf numFmtId="0" fontId="10" fillId="5" borderId="18" xfId="0" applyNumberFormat="1" applyFont="1" applyFill="1" applyBorder="1" applyAlignment="1">
      <x:alignment horizontal="center" vertical="center"/>
    </x:xf>
    <x:xf numFmtId="0" fontId="10" fillId="5" borderId="19" xfId="0" applyNumberFormat="1" applyFont="1" applyFill="1" applyBorder="1" applyAlignment="1">
      <x:alignment horizontal="center" vertical="center"/>
    </x:xf>
    <x:xf numFmtId="0" fontId="10" fillId="5" borderId="20" xfId="0" applyNumberFormat="1" applyFont="1" applyFill="1" applyBorder="1" applyAlignment="1">
      <x:alignment horizontal="center" vertical="center"/>
    </x:xf>
    <x:xf numFmtId="0" fontId="10" fillId="5" borderId="21" xfId="0" applyNumberFormat="1" applyFont="1" applyFill="1" applyBorder="1" applyAlignment="1">
      <x:alignment horizontal="center" vertical="center"/>
    </x:xf>
    <x:xf numFmtId="201" fontId="10" fillId="5" borderId="18" xfId="0" applyNumberFormat="1" applyFont="1" applyFill="1" applyBorder="1" applyAlignment="1">
      <x:alignment horizontal="center" vertical="center"/>
    </x:xf>
    <x:xf numFmtId="201" fontId="10" fillId="5" borderId="19" xfId="0" applyNumberFormat="1" applyFont="1" applyFill="1" applyBorder="1" applyAlignment="1">
      <x:alignment horizontal="center" vertical="center"/>
    </x:xf>
    <x:xf numFmtId="201" fontId="10" fillId="5" borderId="20" xfId="0" applyNumberFormat="1" applyFont="1" applyFill="1" applyBorder="1" applyAlignment="1">
      <x:alignment horizontal="center" vertical="center"/>
    </x:xf>
    <x:xf numFmtId="201" fontId="10" fillId="5" borderId="21"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horizontal="center" wrapText="1"/>
    </x:xf>
    <x:xf numFmtId="0" fontId="9" fillId="7" borderId="0" xfId="0" applyNumberFormat="1" applyFont="1" applyFill="1" applyBorder="1" applyAlignment="1">
      <x:alignment horizontal="center" vertical="center" wrapText="1"/>
    </x:xf>
    <x:xf numFmtId="0" fontId="10" fillId="5" borderId="22" xfId="0" applyNumberFormat="1" applyFont="1" applyFill="1" applyBorder="1"/>
    <x:xf numFmtId="0" fontId="10" fillId="5" borderId="23" xfId="0" applyNumberFormat="1" applyFont="1" applyFill="1" applyBorder="1"/>
    <x:xf numFmtId="0" fontId="10" fillId="5" borderId="24" xfId="0" applyNumberFormat="1" applyFont="1" applyFill="1" applyBorder="1"/>
    <x:xf numFmtId="0" fontId="10" fillId="5" borderId="25" xfId="0" applyNumberFormat="1" applyFont="1" applyFill="1" applyBorder="1"/>
    <x:xf numFmtId="0" fontId="10" fillId="5" borderId="22" xfId="0" applyNumberFormat="1" applyFont="1" applyFill="1" applyBorder="1" applyAlignment="1">
      <x:alignment horizontal="center"/>
    </x:xf>
    <x:xf numFmtId="0" fontId="10" fillId="5" borderId="23" xfId="0" applyNumberFormat="1" applyFont="1" applyFill="1" applyBorder="1" applyAlignment="1">
      <x:alignment horizontal="center"/>
    </x:xf>
    <x:xf numFmtId="0" fontId="10" fillId="5" borderId="24" xfId="0" applyNumberFormat="1" applyFont="1" applyFill="1" applyBorder="1" applyAlignment="1">
      <x:alignment horizontal="center"/>
    </x:xf>
    <x:xf numFmtId="0" fontId="10" fillId="5" borderId="25" xfId="0" applyNumberFormat="1" applyFont="1" applyFill="1" applyBorder="1" applyAlignment="1">
      <x:alignment horizontal="center"/>
    </x:xf>
    <x:xf numFmtId="0" fontId="10" fillId="5" borderId="22" xfId="0" applyNumberFormat="1" applyFont="1" applyFill="1" applyBorder="1" applyAlignment="1">
      <x:alignment horizontal="center" vertical="center"/>
    </x:xf>
    <x:xf numFmtId="0" fontId="10" fillId="5" borderId="23" xfId="0" applyNumberFormat="1" applyFont="1" applyFill="1" applyBorder="1" applyAlignment="1">
      <x:alignment horizontal="center" vertical="center"/>
    </x:xf>
    <x:xf numFmtId="0" fontId="10" fillId="5" borderId="24" xfId="0" applyNumberFormat="1" applyFont="1" applyFill="1" applyBorder="1" applyAlignment="1">
      <x:alignment horizontal="center" vertical="center"/>
    </x:xf>
    <x:xf numFmtId="0" fontId="10" fillId="5" borderId="25" xfId="0" applyNumberFormat="1" applyFont="1" applyFill="1" applyBorder="1" applyAlignment="1">
      <x:alignment horizontal="center" vertical="center"/>
    </x:xf>
    <x:xf numFmtId="201" fontId="10" fillId="5" borderId="22" xfId="0" applyNumberFormat="1" applyFont="1" applyFill="1" applyBorder="1" applyAlignment="1">
      <x:alignment horizontal="center" vertical="center"/>
    </x:xf>
    <x:xf numFmtId="201" fontId="10" fillId="5" borderId="23" xfId="0" applyNumberFormat="1" applyFont="1" applyFill="1" applyBorder="1" applyAlignment="1">
      <x:alignment horizontal="center" vertical="center"/>
    </x:xf>
    <x:xf numFmtId="201" fontId="10" fillId="5" borderId="24" xfId="0" applyNumberFormat="1" applyFont="1" applyFill="1" applyBorder="1" applyAlignment="1">
      <x:alignment horizontal="center" vertical="center"/>
    </x:xf>
    <x:xf numFmtId="201" fontId="10" fillId="5" borderId="25" xfId="0" applyNumberFormat="1" applyFont="1" applyFill="1" applyBorder="1" applyAlignment="1">
      <x:alignment horizontal="center" vertical="center"/>
    </x:xf>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horizontal="center" wrapText="1"/>
    </x:xf>
    <x:xf numFmtId="0" fontId="9" fillId="6" borderId="0" xfId="0" applyNumberFormat="1" applyFont="1" applyFill="1" applyBorder="1" applyAlignment="1">
      <x:alignment horizontal="center" vertical="center" wrapText="1"/>
    </x:xf>
    <x:xf numFmtId="0" fontId="10" fillId="5" borderId="26" xfId="0" applyNumberFormat="1" applyFont="1" applyFill="1" applyBorder="1"/>
    <x:xf numFmtId="0" fontId="10" fillId="5" borderId="27" xfId="0" applyNumberFormat="1" applyFont="1" applyFill="1" applyBorder="1"/>
    <x:xf numFmtId="0" fontId="10" fillId="5" borderId="28" xfId="0" applyNumberFormat="1" applyFont="1" applyFill="1" applyBorder="1"/>
    <x:xf numFmtId="0" fontId="10" fillId="5" borderId="29" xfId="0" applyNumberFormat="1" applyFont="1" applyFill="1" applyBorder="1"/>
    <x:xf numFmtId="0" fontId="10" fillId="5" borderId="26" xfId="0" applyNumberFormat="1" applyFont="1" applyFill="1" applyBorder="1" applyAlignment="1">
      <x:alignment horizontal="center"/>
    </x:xf>
    <x:xf numFmtId="0" fontId="10" fillId="5" borderId="27" xfId="0" applyNumberFormat="1" applyFont="1" applyFill="1" applyBorder="1" applyAlignment="1">
      <x:alignment horizontal="center"/>
    </x:xf>
    <x:xf numFmtId="0" fontId="10" fillId="5" borderId="28" xfId="0" applyNumberFormat="1" applyFont="1" applyFill="1" applyBorder="1" applyAlignment="1">
      <x:alignment horizontal="center"/>
    </x:xf>
    <x:xf numFmtId="0" fontId="10" fillId="5" borderId="29" xfId="0" applyNumberFormat="1" applyFont="1" applyFill="1" applyBorder="1" applyAlignment="1">
      <x:alignment horizontal="center"/>
    </x:xf>
    <x:xf numFmtId="0" fontId="10" fillId="5" borderId="26" xfId="0" applyNumberFormat="1" applyFont="1" applyFill="1" applyBorder="1" applyAlignment="1">
      <x:alignment horizontal="center" vertical="center"/>
    </x:xf>
    <x:xf numFmtId="0" fontId="10" fillId="5" borderId="27" xfId="0" applyNumberFormat="1" applyFont="1" applyFill="1" applyBorder="1" applyAlignment="1">
      <x:alignment horizontal="center" vertical="center"/>
    </x:xf>
    <x:xf numFmtId="0" fontId="10" fillId="5" borderId="28" xfId="0" applyNumberFormat="1" applyFont="1" applyFill="1" applyBorder="1" applyAlignment="1">
      <x:alignment horizontal="center" vertical="center"/>
    </x:xf>
    <x:xf numFmtId="0" fontId="10" fillId="5" borderId="29" xfId="0" applyNumberFormat="1" applyFont="1" applyFill="1" applyBorder="1" applyAlignment="1">
      <x:alignment horizontal="center" vertical="center"/>
    </x:xf>
    <x:xf numFmtId="201" fontId="10" fillId="5" borderId="26" xfId="0" applyNumberFormat="1" applyFont="1" applyFill="1" applyBorder="1" applyAlignment="1">
      <x:alignment horizontal="center" vertical="center"/>
    </x:xf>
    <x:xf numFmtId="201" fontId="10" fillId="5" borderId="27" xfId="0" applyNumberFormat="1" applyFont="1" applyFill="1" applyBorder="1" applyAlignment="1">
      <x:alignment horizontal="center" vertical="center"/>
    </x:xf>
    <x:xf numFmtId="201" fontId="10" fillId="5" borderId="28" xfId="0" applyNumberFormat="1" applyFont="1" applyFill="1" applyBorder="1" applyAlignment="1">
      <x:alignment horizontal="center" vertical="center"/>
    </x:xf>
    <x:xf numFmtId="201" fontId="10" fillId="5" borderId="29" xfId="0" applyNumberFormat="1" applyFont="1" applyFill="1" applyBorder="1" applyAlignment="1">
      <x:alignment horizontal="center" vertical="center"/>
    </x:xf>
    <x:xf numFmtId="0" fontId="4" fillId="3" borderId="0" xfId="0" applyNumberFormat="1" applyFont="1" applyFill="1" applyBorder="1"/>
    <x:xf numFmtId="0" fontId="4" fillId="3" borderId="11" xfId="0" applyNumberFormat="1" applyFont="1" applyFill="1" applyBorder="1"/>
    <x:xf numFmtId="0" fontId="4" fillId="3" borderId="13" xfId="0" applyNumberFormat="1" applyFont="1" applyFill="1" applyBorder="1"/>
    <x:xf numFmtId="0" fontId="4" fillId="3" borderId="14" xfId="0" applyNumberFormat="1" applyFont="1" applyFill="1" applyBorder="1"/>
    <x:xf numFmtId="0" fontId="4" fillId="3" borderId="15" xfId="0" applyNumberFormat="1" applyFont="1" applyFill="1" applyBorder="1"/>
    <x:xf numFmtId="0" fontId="4" fillId="3" borderId="16" xfId="0" applyNumberFormat="1" applyFont="1" applyFill="1" applyBorder="1"/>
    <x:xf numFmtId="0" fontId="4" fillId="3" borderId="17" xfId="0" applyNumberFormat="1" applyFont="1" applyFill="1" applyBorder="1"/>
    <x:xf numFmtId="0" fontId="4" fillId="4" borderId="11" xfId="0" applyNumberFormat="1" applyFont="1" applyFill="1" applyBorder="1"/>
    <x:xf numFmtId="0" fontId="4" fillId="4" borderId="13" xfId="0" applyNumberFormat="1" applyFont="1" applyFill="1" applyBorder="1"/>
    <x:xf numFmtId="0" fontId="3" fillId="4" borderId="11" xfId="0" applyNumberFormat="1" applyFont="1" applyFill="1" applyBorder="1"/>
    <x:xf numFmtId="0" fontId="3" fillId="4" borderId="13" xfId="0" applyNumberFormat="1" applyFont="1" applyFill="1" applyBorder="1"/>
    <x:xf numFmtId="0" fontId="4" fillId="6" borderId="11" xfId="0" applyNumberFormat="1" applyFont="1" applyFill="1" applyBorder="1"/>
    <x:xf numFmtId="0" fontId="4" fillId="6" borderId="13" xfId="0" applyNumberFormat="1" applyFont="1" applyFill="1" applyBorder="1"/>
    <x:xf numFmtId="0" fontId="3" fillId="6" borderId="11" xfId="0" applyNumberFormat="1" applyFont="1" applyFill="1" applyBorder="1"/>
    <x:xf numFmtId="0" fontId="3" fillId="6" borderId="13" xfId="0" applyNumberFormat="1" applyFont="1" applyFill="1" applyBorder="1"/>
    <x:xf numFmtId="0" fontId="0" fillId="8" borderId="0" xfId="0" applyNumberFormat="1" applyFont="1" applyFill="1" applyBorder="1"/>
    <x:xf numFmtId="0" fontId="11" fillId="8" borderId="0" xfId="0" applyNumberFormat="1" applyFont="1" applyFill="1" applyBorder="1"/>
    <x:xf numFmtId="0" fontId="11" fillId="8" borderId="30" xfId="0" applyNumberFormat="1" applyFont="1" applyFill="1" applyBorder="1"/>
    <x:xf numFmtId="0" fontId="11" fillId="8" borderId="31" xfId="0" applyNumberFormat="1" applyFont="1" applyFill="1" applyBorder="1"/>
    <x:xf numFmtId="0" fontId="11" fillId="8" borderId="32" xfId="0" applyNumberFormat="1" applyFont="1" applyFill="1" applyBorder="1"/>
    <x:xf numFmtId="0" fontId="11" fillId="8" borderId="33" xfId="0" applyNumberFormat="1" applyFont="1" applyFill="1" applyBorder="1"/>
    <x:xf numFmtId="0" fontId="11" fillId="8" borderId="34" xfId="0" applyNumberFormat="1" applyFont="1" applyFill="1" applyBorder="1"/>
    <x:xf numFmtId="0" fontId="11" fillId="8" borderId="35" xfId="0" applyNumberFormat="1" applyFont="1" applyFill="1" applyBorder="1"/>
    <x:xf numFmtId="0" fontId="11" fillId="8" borderId="36" xfId="0" applyNumberFormat="1" applyFont="1" applyFill="1" applyBorder="1"/>
    <x:xf numFmtId="0" fontId="11" fillId="8" borderId="37" xfId="0" applyNumberFormat="1" applyFont="1" applyFill="1" applyBorder="1"/>
    <x:xf numFmtId="0" fontId="11" fillId="8" borderId="30" xfId="0" applyNumberFormat="1" applyFont="1" applyFill="1" applyBorder="1" applyAlignment="1">
      <x:alignment wrapText="1"/>
    </x:xf>
    <x:xf numFmtId="0" fontId="11" fillId="8" borderId="31" xfId="0" applyNumberFormat="1" applyFont="1" applyFill="1" applyBorder="1" applyAlignment="1">
      <x:alignment wrapText="1"/>
    </x:xf>
    <x:xf numFmtId="0" fontId="11" fillId="8" borderId="32" xfId="0" applyNumberFormat="1" applyFont="1" applyFill="1" applyBorder="1" applyAlignment="1">
      <x:alignment wrapText="1"/>
    </x:xf>
    <x:xf numFmtId="0" fontId="11" fillId="8" borderId="33" xfId="0" applyNumberFormat="1" applyFont="1" applyFill="1" applyBorder="1" applyAlignment="1">
      <x:alignment wrapText="1"/>
    </x:xf>
    <x:xf numFmtId="0" fontId="11" fillId="8" borderId="0" xfId="0" applyNumberFormat="1" applyFont="1" applyFill="1" applyBorder="1" applyAlignment="1">
      <x:alignment wrapText="1"/>
    </x:xf>
    <x:xf numFmtId="0" fontId="11" fillId="8" borderId="34" xfId="0" applyNumberFormat="1" applyFont="1" applyFill="1" applyBorder="1" applyAlignment="1">
      <x:alignment wrapText="1"/>
    </x:xf>
    <x:xf numFmtId="0" fontId="11" fillId="8" borderId="35" xfId="0" applyNumberFormat="1" applyFont="1" applyFill="1" applyBorder="1" applyAlignment="1">
      <x:alignment wrapText="1"/>
    </x:xf>
    <x:xf numFmtId="0" fontId="11" fillId="8" borderId="36" xfId="0" applyNumberFormat="1" applyFont="1" applyFill="1" applyBorder="1" applyAlignment="1">
      <x:alignment wrapText="1"/>
    </x:xf>
    <x:xf numFmtId="0" fontId="11" fillId="8" borderId="37" xfId="0" applyNumberFormat="1" applyFont="1" applyFill="1" applyBorder="1" applyAlignment="1">
      <x:alignment wrapText="1"/>
    </x:xf>
    <x:xf numFmtId="0" fontId="11" fillId="8" borderId="30" xfId="0" applyNumberFormat="1" applyFont="1" applyFill="1" applyBorder="1" applyAlignment="1">
      <x:alignment vertical="center" wrapText="1"/>
    </x:xf>
    <x:xf numFmtId="0" fontId="11" fillId="8" borderId="31" xfId="0" applyNumberFormat="1" applyFont="1" applyFill="1" applyBorder="1" applyAlignment="1">
      <x:alignment vertical="center" wrapText="1"/>
    </x:xf>
    <x:xf numFmtId="0" fontId="11" fillId="8" borderId="32" xfId="0" applyNumberFormat="1" applyFont="1" applyFill="1" applyBorder="1" applyAlignment="1">
      <x:alignment vertical="center" wrapText="1"/>
    </x:xf>
    <x:xf numFmtId="0" fontId="11" fillId="8" borderId="33" xfId="0" applyNumberFormat="1" applyFont="1" applyFill="1" applyBorder="1" applyAlignment="1">
      <x:alignment vertical="center" wrapText="1"/>
    </x:xf>
    <x:xf numFmtId="0" fontId="11" fillId="8" borderId="0" xfId="0" applyNumberFormat="1" applyFont="1" applyFill="1" applyBorder="1" applyAlignment="1">
      <x:alignment vertical="center" wrapText="1"/>
    </x:xf>
    <x:xf numFmtId="0" fontId="11" fillId="8" borderId="34" xfId="0" applyNumberFormat="1" applyFont="1" applyFill="1" applyBorder="1" applyAlignment="1">
      <x:alignment vertical="center" wrapText="1"/>
    </x:xf>
    <x:xf numFmtId="0" fontId="11" fillId="8" borderId="35" xfId="0" applyNumberFormat="1" applyFont="1" applyFill="1" applyBorder="1" applyAlignment="1">
      <x:alignment vertical="center" wrapText="1"/>
    </x:xf>
    <x:xf numFmtId="0" fontId="11" fillId="8" borderId="36" xfId="0" applyNumberFormat="1" applyFont="1" applyFill="1" applyBorder="1" applyAlignment="1">
      <x:alignment vertical="center" wrapText="1"/>
    </x:xf>
    <x:xf numFmtId="0" fontId="11" fillId="8" borderId="37" xfId="0" applyNumberFormat="1" applyFont="1" applyFill="1" applyBorder="1" applyAlignment="1">
      <x:alignment vertical="center" wrapText="1"/>
    </x:xf>
  </x:cellXfs>
  <x:cellStyles count="1">
    <x:cellStyle name="Normal" xfId="0"/>
  </x:cellStyles>
  <x:dxfs count="4">
    <x:dxf>
      <x:font>
        <x:b/>
        <x:color rgb="FF8A2D23"/>
      </x:font>
      <x:fill>
        <x:patternFill patternType="solid">
          <x:bgColor rgb="FFF5E2DC"/>
        </x:patternFill>
      </x:fill>
    </x:dxf>
    <x:dxf>
      <x:font>
        <x:b/>
        <x:color rgb="FF7A5A00"/>
      </x:font>
      <x:fill>
        <x:patternFill patternType="solid">
          <x:bgColor rgb="FFFFF2CC"/>
        </x:patternFill>
      </x:fill>
    </x:dxf>
    <x:dxf>
      <x:font>
        <x:color rgb="FF8A2D23"/>
      </x:font>
      <x:fill>
        <x:patternFill patternType="solid">
          <x:bgColor rgb="FFF5E2DC"/>
        </x:patternFill>
      </x:fill>
    </x:dxf>
    <x:dxf>
      <x:font>
        <x:color rgb="FF355C4A"/>
      </x:font>
      <x:fill>
        <x:patternFill patternType="solid">
          <x:bgColor rgb="FFE5EC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449a255d2d4d17" /><Relationship Type="http://schemas.openxmlformats.org/officeDocument/2006/relationships/theme" Target="/xl/theme/theme1.xml" Id="R5ad1b5f04fe240ab" /><Relationship Type="http://schemas.microsoft.com/office/2022/11/relationships/FeaturePropertyBag" Target="/xl/featurePropertyBag/featurePropertyBag.xml" Id="R0c09411cd4104c92" /><Relationship Type="http://schemas.openxmlformats.org/officeDocument/2006/relationships/sharedStrings" Target="/xl/sharedStrings.xml" Id="R32ed3e622e32473e" /><Relationship Type="http://schemas.openxmlformats.org/officeDocument/2006/relationships/worksheet" Target="/xl/worksheets/sheet1.xml" Id="R52532d1ca54949e0" /><Relationship Type="http://schemas.openxmlformats.org/officeDocument/2006/relationships/worksheet" Target="/xl/worksheets/sheet2.xml" Id="R6a21403b5fd942b1" /><Relationship Type="http://schemas.openxmlformats.org/officeDocument/2006/relationships/worksheet" Target="/xl/worksheets/sheet3.xml" Id="R7213e56d46e54a0b" /><Relationship Type="http://schemas.openxmlformats.org/officeDocument/2006/relationships/worksheet" Target="/xl/worksheets/sheet4.xml" Id="R7c6fddbf0fc84178" /><Relationship Type="http://schemas.openxmlformats.org/officeDocument/2006/relationships/worksheet" Target="/xl/worksheets/sheet5.xml" Id="R226b5cef0d334791" /><Relationship Type="http://schemas.openxmlformats.org/officeDocument/2006/relationships/worksheet" Target="/xl/worksheets/sheet6.xml" Id="Raee743873dda4e25" /><Relationship Type="http://schemas.openxmlformats.org/officeDocument/2006/relationships/worksheet" Target="/xl/worksheets/sheet7.xml" Id="R5520f94172c34e7b" /><Relationship Type="http://schemas.openxmlformats.org/officeDocument/2006/relationships/worksheet" Target="/xl/worksheets/sheet8.xml" Id="R303c07249bad405b" /><Relationship Type="http://schemas.openxmlformats.org/officeDocument/2006/relationships/worksheet" Target="/xl/worksheets/sheet9.xml" Id="R36b573d9885948ce" /><Relationship Type="http://schemas.openxmlformats.org/officeDocument/2006/relationships/worksheet" Target="/xl/worksheets/sheet10.xml" Id="R9bb7697e22be4539" /><Relationship Type="http://schemas.openxmlformats.org/officeDocument/2006/relationships/worksheet" Target="/xl/worksheets/sheet11.xml" Id="R5e6c67d3f8f9440f" /><Relationship Type="http://schemas.openxmlformats.org/officeDocument/2006/relationships/worksheet" Target="/xl/worksheets/sheet12.xml" Id="R9d6c34b0b2cf4d7a" /><Relationship Type="http://schemas.openxmlformats.org/officeDocument/2006/relationships/worksheet" Target="/xl/worksheets/sheet13.xml" Id="Rce7bb8bed2b0486e" /><Relationship Type="http://schemas.openxmlformats.org/officeDocument/2006/relationships/worksheet" Target="/xl/worksheets/sheet14.xml" Id="Rea55a8961fc049e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a7d49f8032468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Canonical entities by class</a:t>
            </a:r>
          </a:p>
        </c:rich>
      </c:tx>
      <c:overlay val="0"/>
    </c:title>
    <c:plotArea>
      <c:barChart>
        <c:barDir val="col"/>
        <c:varyColors val="0"/>
        <c:ser>
          <c:idx val="0"/>
          <c:order val="0"/>
          <c:tx>
            <c:v>Count</c:v>
          </c:tx>
          <c:cat>
            <c:strRef>
              <c:f>'Quality Summary'!$A$14:$A$16</c:f>
              <c:strCache>
                <c:ptCount val="0"/>
              </c:strCache>
            </c:strRef>
          </c:cat>
          <c:val>
            <c:numRef>
              <c:f>'Quality Summary'!$B$14:$B$16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12</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a7d49f8032468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3" name="ReadMeFactsTable" displayName="ReadMeFactsTable" ref="A9:D16" headerRowCount="1" totalsRowCount="0" totalsRowShown="0">
  <x:tableColumns count="4">
    <x:tableColumn id="1" name="Release fact"/>
    <x:tableColumn id="2" name="Value"/>
    <x:tableColumn id="3" name="Meaning / Σημασία"/>
    <x:tableColumn id="4" name="Source"/>
  </x:tableColumns>
  <x:tableStyleInfo name="TableStyleMedium2" showFirstColumn="0" showLastColumn="0" showRowStripes="1" showColumnStripes="0"/>
</x:table>
</file>

<file path=xl/tables/table2.xml><?xml version="1.0" encoding="utf-8"?>
<x:table xmlns:x="http://schemas.openxmlformats.org/spreadsheetml/2006/main" id="1" name="EntitiesTable" displayName="EntitiesTable" ref="A4:X230" headerRowCount="1" totalsRowCount="0" totalsRowShown="0">
  <x:autoFilter ref="A4:X230"/>
  <x:tableColumns count="24">
    <x:tableColumn id="1" name="entity_id"/>
    <x:tableColumn id="2" name="legacy_id"/>
    <x:tableColumn id="3" name="entity_class"/>
    <x:tableColumn id="4" name="entity_subtype"/>
    <x:tableColumn id="5" name="legacy_subtype"/>
    <x:tableColumn id="6" name="collections"/>
    <x:tableColumn id="7" name="preferred_name_el"/>
    <x:tableColumn id="8" name="preferred_name_en"/>
    <x:tableColumn id="9" name="ancient_name_grc"/>
    <x:tableColumn id="10" name="description_el"/>
    <x:tableColumn id="11" name="description_en"/>
    <x:tableColumn id="12" name="sanctuary_scope"/>
    <x:tableColumn id="13" name="sanctuary_setting"/>
    <x:tableColumn id="14" name="sanctuary_function_tags"/>
    <x:tableColumn id="15" name="ancient_region_authority_id"/>
    <x:tableColumn id="16" name="temporal_precision"/>
    <x:tableColumn id="17" name="location_certainty"/>
    <x:tableColumn id="18" name="record_confidence"/>
    <x:tableColumn id="19" name="review_state"/>
    <x:tableColumn id="20" name="translation_status"/>
    <x:tableColumn id="21" name="data_version"/>
    <x:tableColumn id="22" name="source_origin"/>
    <x:tableColumn id="23" name="last_reviewed"/>
    <x:tableColumn id="24" name="reviewer"/>
  </x:tableColumns>
  <x:tableStyleInfo name="TableStyleMedium2" showFirstColumn="0" showLastColumn="0" showRowStripes="1" showColumnStripes="0"/>
</x:table>
</file>

<file path=xl/tables/table3.xml><?xml version="1.0" encoding="utf-8"?>
<x:table xmlns:x="http://schemas.openxmlformats.org/spreadsheetml/2006/main" id="2" name="NamesTable" displayName="NamesTable" ref="A4:K675" headerRowCount="1" totalsRowCount="0" totalsRowShown="0">
  <x:autoFilter ref="A4:K675"/>
  <x:tableColumns count="11">
    <x:tableColumn id="1" name="name_id"/>
    <x:tableColumn id="2" name="entity_id"/>
    <x:tableColumn id="3" name="name"/>
    <x:tableColumn id="4" name="language"/>
    <x:tableColumn id="5" name="script"/>
    <x:tableColumn id="6" name="name_type"/>
    <x:tableColumn id="7" name="is_preferred"/>
    <x:tableColumn id="8" name="start_year"/>
    <x:tableColumn id="9" name="end_year"/>
    <x:tableColumn id="10" name="source_id"/>
    <x:tableColumn id="11" name="review_state"/>
  </x:tableColumns>
  <x:tableStyleInfo name="TableStyleMedium2" showFirstColumn="0" showLastColumn="0" showRowStripes="1" showColumnStripes="0"/>
</x:table>
</file>

<file path=xl/tables/table4.xml><?xml version="1.0" encoding="utf-8"?>
<x:table xmlns:x="http://schemas.openxmlformats.org/spreadsheetml/2006/main" id="3" name="PlacesTable" displayName="PlacesTable" ref="A4:S230" headerRowCount="1" totalsRowCount="0" totalsRowShown="0">
  <x:autoFilter ref="A4:S230"/>
  <x:tableColumns count="19">
    <x:tableColumn id="1" name="place_id"/>
    <x:tableColumn id="2" name="entity_id"/>
    <x:tableColumn id="3" name="latitude"/>
    <x:tableColumn id="4" name="longitude"/>
    <x:tableColumn id="5" name="geometry_wkt"/>
    <x:tableColumn id="6" name="geometry_geojson"/>
    <x:tableColumn id="7" name="geometry_role"/>
    <x:tableColumn id="8" name="location_certainty"/>
    <x:tableColumn id="9" name="location_precision"/>
    <x:tableColumn id="10" name="modern_country_el"/>
    <x:tableColumn id="11" name="modern_country_en"/>
    <x:tableColumn id="12" name="country_iso3"/>
    <x:tableColumn id="13" name="country_iso2"/>
    <x:tableColumn id="14" name="modern_locality"/>
    <x:tableColumn id="15" name="coordinate_source_text"/>
    <x:tableColumn id="16" name="spatial_note_el"/>
    <x:tableColumn id="17" name="spatial_note_en"/>
    <x:tableColumn id="18" name="source_id"/>
    <x:tableColumn id="19" name="review_state"/>
  </x:tableColumns>
  <x:tableStyleInfo name="TableStyleMedium2" showFirstColumn="0" showLastColumn="0" showRowStripes="1" showColumnStripes="0"/>
</x:table>
</file>

<file path=xl/tables/table5.xml><?xml version="1.0" encoding="utf-8"?>
<x:table xmlns:x="http://schemas.openxmlformats.org/spreadsheetml/2006/main" id="4" name="ChronologiesTable" displayName="ChronologiesTable" ref="A4:O230" headerRowCount="1" totalsRowCount="0" totalsRowShown="0">
  <x:autoFilter ref="A4:O230"/>
  <x:tableColumns count="15">
    <x:tableColumn id="1" name="chronology_id"/>
    <x:tableColumn id="2" name="entity_id"/>
    <x:tableColumn id="3" name="start_year"/>
    <x:tableColumn id="4" name="end_year"/>
    <x:tableColumn id="5" name="start_precision"/>
    <x:tableColumn id="6" name="end_precision"/>
    <x:tableColumn id="7" name="temporal_precision"/>
    <x:tableColumn id="8" name="chronology_basis"/>
    <x:tableColumn id="9" name="display_cutoff"/>
    <x:tableColumn id="10" name="label_el"/>
    <x:tableColumn id="11" name="label_en"/>
    <x:tableColumn id="12" name="note_el"/>
    <x:tableColumn id="13" name="note_en"/>
    <x:tableColumn id="14" name="source_id"/>
    <x:tableColumn id="15" name="review_state"/>
  </x:tableColumns>
  <x:tableStyleInfo name="TableStyleMedium2" showFirstColumn="0" showLastColumn="0" showRowStripes="1" showColumnStripes="0"/>
</x:table>
</file>

<file path=xl/tables/table6.xml><?xml version="1.0" encoding="utf-8"?>
<x:table xmlns:x="http://schemas.openxmlformats.org/spreadsheetml/2006/main" id="5" name="AuthoritiesTable" displayName="AuthoritiesTable" ref="A4:G316" headerRowCount="1" totalsRowCount="0" totalsRowShown="0">
  <x:autoFilter ref="A4:G316"/>
  <x:tableColumns count="7">
    <x:tableColumn id="1" name="authority_id"/>
    <x:tableColumn id="2" name="authority_type"/>
    <x:tableColumn id="3" name="preferred_label_el"/>
    <x:tableColumn id="4" name="preferred_label_en"/>
    <x:tableColumn id="5" name="uri"/>
    <x:tableColumn id="6" name="source_id"/>
    <x:tableColumn id="7" name="review_state"/>
  </x:tableColumns>
  <x:tableStyleInfo name="TableStyleMedium2" showFirstColumn="0" showLastColumn="0" showRowStripes="1" showColumnStripes="0"/>
</x:table>
</file>

<file path=xl/tables/table7.xml><?xml version="1.0" encoding="utf-8"?>
<x:table xmlns:x="http://schemas.openxmlformats.org/spreadsheetml/2006/main" id="6" name="RelationshipsTable" displayName="RelationshipsTable" ref="A4:K330" headerRowCount="1" totalsRowCount="0" totalsRowShown="0">
  <x:autoFilter ref="A4:K330"/>
  <x:tableColumns count="11">
    <x:tableColumn id="1" name="relationship_id"/>
    <x:tableColumn id="2" name="subject_entity_id"/>
    <x:tableColumn id="3" name="predicate"/>
    <x:tableColumn id="4" name="object_entity_id"/>
    <x:tableColumn id="5" name="object_authority_id"/>
    <x:tableColumn id="6" name="object_label_el"/>
    <x:tableColumn id="7" name="object_label_en"/>
    <x:tableColumn id="8" name="certainty"/>
    <x:tableColumn id="9" name="source_id"/>
    <x:tableColumn id="10" name="migration_evidence_el"/>
    <x:tableColumn id="11" name="review_state"/>
  </x:tableColumns>
  <x:tableStyleInfo name="TableStyleMedium2" showFirstColumn="0" showLastColumn="0" showRowStripes="1" showColumnStripes="0"/>
</x:table>
</file>

<file path=xl/tables/table8.xml><?xml version="1.0" encoding="utf-8"?>
<x:table xmlns:x="http://schemas.openxmlformats.org/spreadsheetml/2006/main" id="7" name="SourcesTable" displayName="SourcesTable" ref="A4:L217" headerRowCount="1" totalsRowCount="0" totalsRowShown="0">
  <x:autoFilter ref="A4:L217"/>
  <x:tableColumns count="12">
    <x:tableColumn id="1" name="source_id"/>
    <x:tableColumn id="2" name="url"/>
    <x:tableColumn id="3" name="title"/>
    <x:tableColumn id="4" name="publisher"/>
    <x:tableColumn id="5" name="source_class"/>
    <x:tableColumn id="6" name="language"/>
    <x:tableColumn id="7" name="license"/>
    <x:tableColumn id="8" name="accessed_on"/>
    <x:tableColumn id="9" name="http_status"/>
    <x:tableColumn id="10" name="url_status"/>
    <x:tableColumn id="11" name="citation"/>
    <x:tableColumn id="12" name="notes"/>
  </x:tableColumns>
  <x:tableStyleInfo name="TableStyleMedium2" showFirstColumn="0" showLastColumn="0" showRowStripes="1" showColumnStripes="0"/>
</x:table>
</file>

<file path=xl/tables/table9.xml><?xml version="1.0" encoding="utf-8"?>
<x:table xmlns:x="http://schemas.openxmlformats.org/spreadsheetml/2006/main" id="8" name="SourceSupportTable" displayName="SourceSupportTable" ref="A4:E1593" headerRowCount="1" totalsRowCount="0" totalsRowShown="0">
  <x:autoFilter ref="A4:E1593"/>
  <x:tableColumns count="5">
    <x:tableColumn id="1" name="entity_source_id"/>
    <x:tableColumn id="2" name="entity_id"/>
    <x:tableColumn id="3" name="source_id"/>
    <x:tableColumn id="4" name="support_scope"/>
    <x:tableColumn id="5" name="is_primary"/>
  </x:tableColumns>
  <x:tableStyleInfo name="TableStyleMedium2" showFirstColumn="0" showLastColumn="0" showRowStripes="1" showColumnStripes="0"/>
</x:table>
</file>

<file path=xl/tables/table10.xml><?xml version="1.0" encoding="utf-8"?>
<x:table xmlns:x="http://schemas.openxmlformats.org/spreadsheetml/2006/main" id="9" name="ExternalIdsTable" displayName="ExternalIdsTable" ref="A4:H188" headerRowCount="1" totalsRowCount="0" totalsRowShown="0">
  <x:autoFilter ref="A4:H188"/>
  <x:tableColumns count="8">
    <x:tableColumn id="1" name="external_id"/>
    <x:tableColumn id="2" name="entity_id"/>
    <x:tableColumn id="3" name="place_id"/>
    <x:tableColumn id="4" name="scheme"/>
    <x:tableColumn id="5" name="identifier"/>
    <x:tableColumn id="6" name="uri"/>
    <x:tableColumn id="7" name="match_type"/>
    <x:tableColumn id="8" name="source_id"/>
  </x:tableColumns>
  <x:tableStyleInfo name="TableStyleMedium2" showFirstColumn="0" showLastColumn="0" showRowStripes="1" showColumnStripes="0"/>
</x:table>
</file>

<file path=xl/tables/table11.xml><?xml version="1.0" encoding="utf-8"?>
<x:table xmlns:x="http://schemas.openxmlformats.org/spreadsheetml/2006/main" id="10" name="ReviewQueueTable" displayName="ReviewQueueTable" ref="A4:F47" headerRowCount="1" totalsRowCount="0" totalsRowShown="0">
  <x:autoFilter ref="A4:F47"/>
  <x:tableColumns count="6">
    <x:tableColumn id="1" name="severity"/>
    <x:tableColumn id="2" name="code"/>
    <x:tableColumn id="3" name="table"/>
    <x:tableColumn id="4" name="record_id"/>
    <x:tableColumn id="5" name="message"/>
    <x:tableColumn id="6" name="recommendation"/>
  </x:tableColumns>
  <x:tableStyleInfo name="TableStyleMedium2" showFirstColumn="0" showLastColumn="0" showRowStripes="1" showColumnStripes="0"/>
</x:table>
</file>

<file path=xl/tables/table12.xml><?xml version="1.0" encoding="utf-8"?>
<x:table xmlns:x="http://schemas.openxmlformats.org/spreadsheetml/2006/main" id="11" name="CandidateAuditTable" displayName="CandidateAuditTable" ref="A4:K19" headerRowCount="1" totalsRowCount="0" totalsRowShown="0">
  <x:autoFilter ref="A4:K19"/>
  <x:tableColumns count="11">
    <x:tableColumn id="1" name="candidate_id"/>
    <x:tableColumn id="2" name="name_el"/>
    <x:tableColumn id="3" name="name_en"/>
    <x:tableColumn id="4" name="entity_class"/>
    <x:tableColumn id="5" name="collection"/>
    <x:tableColumn id="6" name="authoritative_source"/>
    <x:tableColumn id="7" name="external_identifier"/>
    <x:tableColumn id="8" name="decision"/>
    <x:tableColumn id="9" name="reason_el"/>
    <x:tableColumn id="10" name="reason_en"/>
    <x:tableColumn id="11" name="reviewed_on"/>
  </x:tableColumns>
  <x:tableStyleInfo name="TableStyleMedium2" showFirstColumn="0" showLastColumn="0" showRowStripes="1" showColumnStripes="0"/>
</x:table>
</file>

<file path=xl/tables/table13.xml><?xml version="1.0" encoding="utf-8"?>
<x:table xmlns:x="http://schemas.openxmlformats.org/spreadsheetml/2006/main" id="12" name="VocabulariesTable" displayName="VocabulariesTable" ref="A4:G116" headerRowCount="1" totalsRowCount="0" totalsRowShown="0">
  <x:autoFilter ref="A4:G116"/>
  <x:tableColumns count="7">
    <x:tableColumn id="1" name="vocabulary"/>
    <x:tableColumn id="2" name="code"/>
    <x:tableColumn id="3" name="label_el"/>
    <x:tableColumn id="4" name="label_en"/>
    <x:tableColumn id="5" name="definition_el"/>
    <x:tableColumn id="6" name="definition_en"/>
    <x:tableColumn id="7" name="sort_ord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606817a76de426c" /></Relationships>
</file>

<file path=xl/worksheets/_rels/sheet2.xml.rels>&#65279;<?xml version="1.0" encoding="utf-8"?><Relationships xmlns="http://schemas.openxmlformats.org/package/2006/relationships"><Relationship Type="http://schemas.openxmlformats.org/officeDocument/2006/relationships/drawing" Target="/xl/drawings/drawing1.xml" Id="R264d338e677147de" /></Relationships>
</file>

<file path=xl/worksheets/_rels/sheet3.xml.rels>&#65279;<?xml version="1.0" encoding="utf-8"?><Relationships xmlns="http://schemas.openxmlformats.org/package/2006/relationships"><Relationship Type="http://schemas.openxmlformats.org/officeDocument/2006/relationships/table" Target="/xl/tables/table2.xml" Id="R6fdd26c38e7245f9" /></Relationships>
</file>

<file path=xl/worksheets/_rels/sheet4.xml.rels>&#65279;<?xml version="1.0" encoding="utf-8"?><Relationships xmlns="http://schemas.openxmlformats.org/package/2006/relationships"><Relationship Type="http://schemas.openxmlformats.org/officeDocument/2006/relationships/table" Target="/xl/tables/table3.xml" Id="R9c66a3bd33a5490d" /></Relationships>
</file>

<file path=xl/worksheets/_rels/sheet5.xml.rels>&#65279;<?xml version="1.0" encoding="utf-8"?><Relationships xmlns="http://schemas.openxmlformats.org/package/2006/relationships"><Relationship Type="http://schemas.openxmlformats.org/officeDocument/2006/relationships/table" Target="/xl/tables/table4.xml" Id="R18431205065a4433" /></Relationships>
</file>

<file path=xl/worksheets/_rels/sheet6.xml.rels>&#65279;<?xml version="1.0" encoding="utf-8"?><Relationships xmlns="http://schemas.openxmlformats.org/package/2006/relationships"><Relationship Type="http://schemas.openxmlformats.org/officeDocument/2006/relationships/table" Target="/xl/tables/table5.xml" Id="Rb5e019840cee4345" /></Relationships>
</file>

<file path=xl/worksheets/_rels/sheet7.xml.rels>&#65279;<?xml version="1.0" encoding="utf-8"?><Relationships xmlns="http://schemas.openxmlformats.org/package/2006/relationships"><Relationship Type="http://schemas.openxmlformats.org/officeDocument/2006/relationships/table" Target="/xl/tables/table6.xml" Id="R5d9f44a5108a4613" /></Relationships>
</file>

<file path=xl/worksheets/_rels/sheet8.xml.rels>&#65279;<?xml version="1.0" encoding="utf-8"?><Relationships xmlns="http://schemas.openxmlformats.org/package/2006/relationships"><Relationship Type="http://schemas.openxmlformats.org/officeDocument/2006/relationships/table" Target="/xl/tables/table7.xml" Id="R4b5678d927a0406d" /></Relationships>
</file>

<file path=xl/worksheets/_rels/sheet9.xml.rels>&#65279;<?xml version="1.0" encoding="utf-8"?><Relationships xmlns="http://schemas.openxmlformats.org/package/2006/relationships"><Relationship Type="http://schemas.openxmlformats.org/officeDocument/2006/relationships/table" Target="/xl/tables/table8.xml" Id="Rff25262b9cd64422" /></Relationships>
</file>

<file path=xl/worksheets/_rels/sheet10.xml.rels>&#65279;<?xml version="1.0" encoding="utf-8"?><Relationships xmlns="http://schemas.openxmlformats.org/package/2006/relationships"><Relationship Type="http://schemas.openxmlformats.org/officeDocument/2006/relationships/table" Target="/xl/tables/table9.xml" Id="Rf8d8779562f64f48" /></Relationships>
</file>

<file path=xl/worksheets/_rels/sheet11.xml.rels>&#65279;<?xml version="1.0" encoding="utf-8"?><Relationships xmlns="http://schemas.openxmlformats.org/package/2006/relationships"><Relationship Type="http://schemas.openxmlformats.org/officeDocument/2006/relationships/table" Target="/xl/tables/table10.xml" Id="Rb732d336da7546fc" /></Relationships>
</file>

<file path=xl/worksheets/_rels/sheet12.xml.rels>&#65279;<?xml version="1.0" encoding="utf-8"?><Relationships xmlns="http://schemas.openxmlformats.org/package/2006/relationships"><Relationship Type="http://schemas.openxmlformats.org/officeDocument/2006/relationships/table" Target="/xl/tables/table11.xml" Id="Rc2281dd2f72b4ae3" /></Relationships>
</file>

<file path=xl/worksheets/_rels/sheet13.xml.rels>&#65279;<?xml version="1.0" encoding="utf-8"?><Relationships xmlns="http://schemas.openxmlformats.org/package/2006/relationships"><Relationship Type="http://schemas.openxmlformats.org/officeDocument/2006/relationships/table" Target="/xl/tables/table12.xml" Id="R38b05253553d4139" /></Relationships>
</file>

<file path=xl/worksheets/_rels/sheet14.xml.rels>&#65279;<?xml version="1.0" encoding="utf-8"?><Relationships xmlns="http://schemas.openxmlformats.org/package/2006/relationships"><Relationship Type="http://schemas.openxmlformats.org/officeDocument/2006/relationships/table" Target="/xl/tables/table13.xml" Id="R3534831df49a4a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8" hidden="0" customWidth="1"/>
    <x:col min="4" max="4" width="38" hidden="0" customWidth="1"/>
    <x:col min="5" max="5" width="16" hidden="0" customWidth="1"/>
    <x:col min="6" max="6" width="16" hidden="0" customWidth="1"/>
    <x:col min="7" max="7" width="16" hidden="0" customWidth="1"/>
    <x:col min="8" max="8" width="16" hidden="0" customWidth="1"/>
  </x:cols>
  <x:sheetData>
    <x:row r="1" ht="34" customHeight="1">
      <x:c r="A1" s="3" t="str">
        <x:v>Ancient Greek World Atlas — Data Review</x:v>
      </x:c>
      <x:c r="B1" s="3"/>
      <x:c r="C1" s="3"/>
      <x:c r="D1" s="3"/>
      <x:c r="E1" s="3"/>
      <x:c r="F1" s="3"/>
      <x:c r="G1" s="3"/>
      <x:c r="H1" s="3"/>
    </x:row>
    <x:row r="2" ht="28" customHeight="1">
      <x:c r="A2" s="8" t="str">
        <x:v>Άτλας του Αρχαίου Ελληνικού Κόσμου — Επιμελητικός έλεγχος δεδομένων</x:v>
      </x:c>
      <x:c r="B2" s="8"/>
      <x:c r="C2" s="8"/>
      <x:c r="D2" s="8"/>
      <x:c r="E2" s="8"/>
      <x:c r="F2" s="8"/>
      <x:c r="G2" s="8"/>
      <x:c r="H2" s="8"/>
    </x:row>
    <x:row r="4">
      <x:c r="A4" s="23" t="str">
        <x:v>Purpose / Σκοπός</x:v>
      </x:c>
      <x:c r="B4" s="23"/>
      <x:c r="C4" s="23"/>
      <x:c r="D4" s="23"/>
      <x:c r="E4" s="23"/>
      <x:c r="F4" s="23"/>
      <x:c r="G4" s="23"/>
      <x:c r="H4" s="23"/>
    </x:row>
    <x:row r="5">
      <x:c r="A5" s="43" t="str">
        <x:v>A human-review companion to the canonical CSV release. It contains the complete normalized tables, quality warnings, controlled vocabularies and expansion ledger. Greek is the authoritative editorial language. The CSV files remain the source of truth.
Συνοδευτικό αρχείο ανθρώπινου ελέγχου για την κανονική έκδοση CSV. Περιλαμβάνει τους πλήρεις πίνακες, τις προειδοποιήσεις ποιότητας, τα ελεγχόμενα λεξιλόγια και το μητρώο επεκτάσεων. Η ελληνική είναι η κύρια επιμελητική γλώσσα.</x:v>
      </x:c>
      <x:c r="B5" s="44"/>
      <x:c r="C5" s="44"/>
      <x:c r="D5" s="44"/>
      <x:c r="E5" s="44"/>
      <x:c r="F5" s="44"/>
      <x:c r="G5" s="44"/>
      <x:c r="H5" s="45"/>
    </x:row>
    <x:row r="6">
      <x:c r="A6" s="46"/>
      <x:c r="B6" s="47"/>
      <x:c r="C6" s="47"/>
      <x:c r="D6" s="47"/>
      <x:c r="E6" s="47"/>
      <x:c r="F6" s="47"/>
      <x:c r="G6" s="47"/>
      <x:c r="H6" s="48"/>
    </x:row>
    <x:row r="7">
      <x:c r="A7" s="49"/>
      <x:c r="B7" s="50"/>
      <x:c r="C7" s="50"/>
      <x:c r="D7" s="50"/>
      <x:c r="E7" s="50"/>
      <x:c r="F7" s="50"/>
      <x:c r="G7" s="50"/>
      <x:c r="H7" s="51"/>
    </x:row>
    <x:row r="9">
      <x:c r="A9" s="52" t="str">
        <x:v>Release fact</x:v>
      </x:c>
      <x:c r="B9" s="52" t="str">
        <x:v>Value</x:v>
      </x:c>
      <x:c r="C9" s="52" t="str">
        <x:v>Meaning / Σημασία</x:v>
      </x:c>
      <x:c r="D9" s="52" t="str">
        <x:v>Source</x:v>
      </x:c>
    </x:row>
    <x:row r="10">
      <x:c r="A10" t="str">
        <x:v>Dataset version</x:v>
      </x:c>
      <x:c r="B10" t="str">
        <x:v>1.0.0</x:v>
      </x:c>
      <x:c r="C10" t="str">
        <x:v>Semantic version of the canonical release</x:v>
      </x:c>
      <x:c r="D10" t="str">
        <x:v>reports/quality-report.json</x:v>
      </x:c>
    </x:row>
    <x:row r="11">
      <x:c r="A11" t="str">
        <x:v>Validation status</x:v>
      </x:c>
      <x:c r="B11" t="str">
        <x:v>PASS</x:v>
      </x:c>
      <x:c r="C11" t="str">
        <x:v>Zero hard validation errors required</x:v>
      </x:c>
      <x:c r="D11" t="str">
        <x:v>reports/quality-report.json</x:v>
      </x:c>
    </x:row>
    <x:row r="12">
      <x:c r="A12" t="str">
        <x:v>Canonical entities</x:v>
      </x:c>
      <x:c r="B12" t="n">
        <x:v>226</x:v>
      </x:c>
      <x:c r="C12" t="str">
        <x:v>Submitted core preserved after normalization</x:v>
      </x:c>
      <x:c r="D12" t="str">
        <x:v>data/canonical/entities.csv</x:v>
      </x:c>
    </x:row>
    <x:row r="13">
      <x:c r="A13" t="str">
        <x:v>Pleiades matches</x:v>
      </x:c>
      <x:c r="B13" t="str">
        <x:v>184/184</x:v>
      </x:c>
      <x:c r="C13" t="str">
        <x:v>Canonical ID and URI reconciliations</x:v>
      </x:c>
      <x:c r="D13" t="str">
        <x:v>data/research/pleiades-reconciliation.csv</x:v>
      </x:c>
    </x:row>
    <x:row r="14">
      <x:c r="A14" t="str">
        <x:v>Bilingual completeness</x:v>
      </x:c>
      <x:c r="B14" t="str">
        <x:v>100%</x:v>
      </x:c>
      <x:c r="C14" t="str">
        <x:v>Greek and English names and descriptions</x:v>
      </x:c>
      <x:c r="D14" t="str">
        <x:v>reports/quality-report.json</x:v>
      </x:c>
    </x:row>
    <x:row r="15">
      <x:c r="A15" t="str">
        <x:v>Source-scope completeness</x:v>
      </x:c>
      <x:c r="B15" t="str">
        <x:v>100%</x:v>
      </x:c>
      <x:c r="C15" t="str">
        <x:v>Seven required support scopes per entity</x:v>
      </x:c>
      <x:c r="D15" t="str">
        <x:v>data/canonical/entity_sources.csv</x:v>
      </x:c>
    </x:row>
    <x:row r="16">
      <x:c r="A16" t="str">
        <x:v>Warnings</x:v>
      </x:c>
      <x:c r="B16" t="n">
        <x:v>43</x:v>
      </x:c>
      <x:c r="C16" t="str">
        <x:v>Documented uncertainty/access conditions; not validation errors</x:v>
      </x:c>
      <x:c r="D16" t="str">
        <x:v>reports/review-queue.csv</x:v>
      </x:c>
    </x:row>
    <x:row r="18">
      <x:c r="A18" s="54" t="str">
        <x:v>How to review / Τρόπος ελέγχου</x:v>
      </x:c>
      <x:c r="B18" s="54"/>
      <x:c r="C18" s="54"/>
      <x:c r="D18" s="54"/>
      <x:c r="E18" s="54"/>
      <x:c r="F18" s="54"/>
      <x:c r="G18" s="54"/>
      <x:c r="H18" s="54"/>
    </x:row>
    <x:row r="19">
      <x:c r="A19" s="73" t="str">
        <x:v>1. Start with Quality Summary.  2. Filter Review Queue by code.  3. Use record_id to locate the row in Entities, Places, Chronologies, Relationships or Sources.  4. Consult the source URL and the bilingual notes.  5. Record proposed additions in the research CSVs, not by editing generated exports.
1. Ξεκινήστε από τη Σύνοψη Ποιότητας.  2. Φιλτράρετε την Ουρά Ελέγχου.  3. Χρησιμοποιήστε το record_id για να βρείτε την εγγραφή.  4. Ελέγξτε την πηγή και τις δίγλωσσες σημειώσεις.  5. Οι αλλαγές γίνονται στα ερευνητικά CSV και όχι στα παραγόμενα αρχεία.</x:v>
      </x:c>
      <x:c r="B19" s="74"/>
      <x:c r="C19" s="74"/>
      <x:c r="D19" s="74"/>
      <x:c r="E19" s="74"/>
      <x:c r="F19" s="74"/>
      <x:c r="G19" s="74"/>
      <x:c r="H19" s="75"/>
    </x:row>
    <x:row r="20">
      <x:c r="A20" s="76"/>
      <x:c r="B20" s="77"/>
      <x:c r="C20" s="77"/>
      <x:c r="D20" s="77"/>
      <x:c r="E20" s="77"/>
      <x:c r="F20" s="77"/>
      <x:c r="G20" s="77"/>
      <x:c r="H20" s="78"/>
    </x:row>
    <x:row r="21">
      <x:c r="A21" s="76"/>
      <x:c r="B21" s="77"/>
      <x:c r="C21" s="77"/>
      <x:c r="D21" s="77"/>
      <x:c r="E21" s="77"/>
      <x:c r="F21" s="77"/>
      <x:c r="G21" s="77"/>
      <x:c r="H21" s="78"/>
    </x:row>
    <x:row r="22">
      <x:c r="A22" s="76"/>
      <x:c r="B22" s="77"/>
      <x:c r="C22" s="77"/>
      <x:c r="D22" s="77"/>
      <x:c r="E22" s="77"/>
      <x:c r="F22" s="77"/>
      <x:c r="G22" s="77"/>
      <x:c r="H22" s="78"/>
    </x:row>
    <x:row r="23">
      <x:c r="A23" s="79"/>
      <x:c r="B23" s="80"/>
      <x:c r="C23" s="80"/>
      <x:c r="D23" s="80"/>
      <x:c r="E23" s="80"/>
      <x:c r="F23" s="80"/>
      <x:c r="G23" s="80"/>
      <x:c r="H23" s="81"/>
    </x:row>
  </x:sheetData>
  <x:mergeCells>
    <x:mergeCell ref="A1:H1"/>
    <x:mergeCell ref="A2:H2"/>
    <x:mergeCell ref="A4:H4"/>
    <x:mergeCell ref="A5:H7"/>
    <x:mergeCell ref="A18:H18"/>
    <x:mergeCell ref="A19:H23"/>
  </x:mergeCells>
  <x:pageMargins left="0.7" right="0.7" top="0.75" bottom="0.75" header="0.3" footer="0.3"/>
  <x:tableParts count="1">
    <x:tablePart xmlns:r="http://schemas.openxmlformats.org/officeDocument/2006/relationships" r:id="R0606817a76de426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4" customHeight="1">
      <x:c r="A1" s="3" t="str">
        <x:v>Quality Summary / Σύνοψη Ποιότητας</x:v>
      </x:c>
      <x:c r="B1" s="3"/>
      <x:c r="C1" s="3"/>
      <x:c r="D1" s="3"/>
      <x:c r="E1" s="3"/>
      <x:c r="F1" s="3"/>
      <x:c r="G1" s="3"/>
      <x:c r="H1" s="3"/>
      <x:c r="I1" s="3"/>
      <x:c r="J1" s="3"/>
      <x:c r="K1" s="3"/>
      <x:c r="L1" s="3"/>
    </x:row>
    <x:row r="2" ht="28" customHeight="1">
      <x:c r="A2" s="8" t="str">
        <x:v>Formula-driven release counts with the machine-validation result and the remaining transparent review warnings.</x:v>
      </x:c>
      <x:c r="B2" s="8"/>
      <x:c r="C2" s="8"/>
      <x:c r="D2" s="8"/>
      <x:c r="E2" s="8"/>
      <x:c r="F2" s="8"/>
      <x:c r="G2" s="8"/>
      <x:c r="H2" s="8"/>
      <x:c r="I2" s="8"/>
      <x:c r="J2" s="8"/>
      <x:c r="K2" s="8"/>
      <x:c r="L2" s="8"/>
    </x:row>
    <x:row r="4">
      <x:c r="A4" s="85" t="str">
        <x:v>TOTAL ENTITIES / ΟΝΤΟΤΗΤΕΣ</x:v>
      </x:c>
      <x:c r="B4" s="85"/>
      <x:c r="C4" s="107" t="str">
        <x:v>BILINGUAL COMPLETE / ΔΙΓΛΩΣΣΑ</x:v>
      </x:c>
      <x:c r="D4" s="107"/>
      <x:c r="E4" s="127" t="str">
        <x:v>RELATIONSHIPS / ΣΧΕΣΕΙΣ</x:v>
      </x:c>
      <x:c r="F4" s="127"/>
      <x:c r="G4" s="85" t="str">
        <x:v>SOURCES / ΠΗΓΕΣ</x:v>
      </x:c>
      <x:c r="H4" s="85"/>
      <x:c r="I4" s="107" t="str">
        <x:v>PLEIADES MATCHES</x:v>
      </x:c>
      <x:c r="J4" s="107"/>
      <x:c r="K4" s="127" t="str">
        <x:v>VALIDATION ERRORS / ΣΦΑΛΜΑΤΑ</x:v>
      </x:c>
      <x:c r="L4" s="127"/>
    </x:row>
    <x:row r="5">
      <x:c r="A5" s="99" t="n">
        <x:f>COUNTA('Entities'!$A$5:$A$230)</x:f>
        <x:v>226</x:v>
      </x:c>
      <x:c r="B5" s="100"/>
      <x:c r="C5" s="120" t="n">
        <x:f>COUNTIFS('Entities'!$G$5:$G$230,"&lt;&gt;",'Entities'!$H$5:$H$230,"&lt;&gt;",'Entities'!$J$5:$J$230,"&lt;&gt;",'Entities'!$K$5:$K$230,"&lt;&gt;")</x:f>
        <x:v>226</x:v>
      </x:c>
      <x:c r="D5" s="121"/>
      <x:c r="E5" s="140" t="n">
        <x:f>COUNTA('Relationships'!$A$5:$A$330)</x:f>
        <x:v>326</x:v>
      </x:c>
      <x:c r="F5" s="141"/>
      <x:c r="G5" s="99" t="n">
        <x:f>COUNTA('Sources'!$A$5:$A$217)</x:f>
        <x:v>213</x:v>
      </x:c>
      <x:c r="H5" s="100"/>
      <x:c r="I5" s="120" t="n">
        <x:f>COUNTA('External IDs'!$A$5:$A$188)</x:f>
        <x:v>184</x:v>
      </x:c>
      <x:c r="J5" s="121"/>
      <x:c r="K5" s="140" t="n">
        <x:f>COUNTIF('Review Queue'!$A$5:$A$47,"error")</x:f>
        <x:v>0</x:v>
      </x:c>
      <x:c r="L5" s="141"/>
    </x:row>
    <x:row r="6">
      <x:c r="A6" s="101"/>
      <x:c r="B6" s="102"/>
      <x:c r="C6" s="122"/>
      <x:c r="D6" s="123"/>
      <x:c r="E6" s="142"/>
      <x:c r="F6" s="143"/>
      <x:c r="G6" s="101"/>
      <x:c r="H6" s="102"/>
      <x:c r="I6" s="122"/>
      <x:c r="J6" s="123"/>
      <x:c r="K6" s="142"/>
      <x:c r="L6" s="143"/>
    </x:row>
    <x:row r="8">
      <x:c r="A8" s="85" t="str">
        <x:v>SETTLEMENTS / ΟΙΚΙΣΜΟΙ</x:v>
      </x:c>
      <x:c r="B8" s="85"/>
      <x:c r="C8" s="107" t="str">
        <x:v>SANCTUARIES / ΙΕΡΑ</x:v>
      </x:c>
      <x:c r="D8" s="107"/>
      <x:c r="E8" s="127" t="str">
        <x:v>POLITIES / ΠΟΛΙΤΕΙΕΣ</x:v>
      </x:c>
      <x:c r="F8" s="127"/>
      <x:c r="G8" s="85" t="str">
        <x:v>PROXY POINTS</x:v>
      </x:c>
      <x:c r="H8" s="85"/>
      <x:c r="I8" s="107" t="str">
        <x:v>URL UNAVAILABLE</x:v>
      </x:c>
      <x:c r="J8" s="107"/>
      <x:c r="K8" s="127" t="str">
        <x:v>WARNINGS / ΠΡΟΕΙΔΟΠΟΙΗΣΕΙΣ</x:v>
      </x:c>
      <x:c r="L8" s="127"/>
    </x:row>
    <x:row r="9">
      <x:c r="A9" s="99" t="n">
        <x:f>COUNTIF('Entities'!$C$5:$C$230,"settlement")</x:f>
        <x:v>119</x:v>
      </x:c>
      <x:c r="B9" s="100"/>
      <x:c r="C9" s="120" t="n">
        <x:f>COUNTIF('Entities'!$C$5:$C$230,"sanctuary")</x:f>
        <x:v>70</x:v>
      </x:c>
      <x:c r="D9" s="121"/>
      <x:c r="E9" s="140" t="n">
        <x:f>COUNTIF('Entities'!$C$5:$C$230,"polity")</x:f>
        <x:v>37</x:v>
      </x:c>
      <x:c r="F9" s="141"/>
      <x:c r="G9" s="99" t="n">
        <x:f>COUNTIF('Places'!$G$5:$G$230,"proxy")</x:f>
        <x:v>8</x:v>
      </x:c>
      <x:c r="H9" s="100"/>
      <x:c r="I9" s="120" t="n">
        <x:f>COUNTIF('Sources'!$J$5:$J$217,"unavailable")</x:f>
        <x:v>13</x:v>
      </x:c>
      <x:c r="J9" s="121"/>
      <x:c r="K9" s="140" t="n">
        <x:f>COUNTIF('Review Queue'!$A$5:$A$47,"warning")</x:f>
        <x:v>43</x:v>
      </x:c>
      <x:c r="L9" s="141"/>
    </x:row>
    <x:row r="10">
      <x:c r="A10" s="101"/>
      <x:c r="B10" s="102"/>
      <x:c r="C10" s="122"/>
      <x:c r="D10" s="123"/>
      <x:c r="E10" s="142"/>
      <x:c r="F10" s="143"/>
      <x:c r="G10" s="101"/>
      <x:c r="H10" s="102"/>
      <x:c r="I10" s="122"/>
      <x:c r="J10" s="123"/>
      <x:c r="K10" s="142"/>
      <x:c r="L10" s="143"/>
    </x:row>
    <x:row r="13">
      <x:c r="A13" s="153" t="str">
        <x:v>Entity class</x:v>
      </x:c>
      <x:c r="B13" s="154" t="str">
        <x:v>Count</x:v>
      </x:c>
    </x:row>
    <x:row r="14">
      <x:c r="A14" s="147" t="str">
        <x:v>Settlements</x:v>
      </x:c>
      <x:c r="B14" s="148" t="n">
        <x:f>COUNTIF('Entities'!$C$5:$C$230,"settlement")</x:f>
        <x:v>119</x:v>
      </x:c>
    </x:row>
    <x:row r="15">
      <x:c r="A15" s="147" t="str">
        <x:v>Sanctuaries</x:v>
      </x:c>
      <x:c r="B15" s="148" t="n">
        <x:f>COUNTIF('Entities'!$C$5:$C$230,"sanctuary")</x:f>
        <x:v>70</x:v>
      </x:c>
    </x:row>
    <x:row r="16">
      <x:c r="A16" s="149" t="str">
        <x:v>Polities</x:v>
      </x:c>
      <x:c r="B16" s="150" t="n">
        <x:f>COUNTIF('Entities'!$C$5:$C$230,"polity")</x:f>
        <x:v>37</x:v>
      </x:c>
    </x:row>
    <x:row r="19">
      <x:c r="A19" s="157" t="str">
        <x:v>Warning code</x:v>
      </x:c>
      <x:c r="B19" s="158" t="str">
        <x:v>Count</x:v>
      </x:c>
    </x:row>
    <x:row r="20">
      <x:c r="A20" s="147" t="str">
        <x:v>RETAINED_UNCERTAINTY</x:v>
      </x:c>
      <x:c r="B20" s="148" t="n">
        <x:f>COUNTIF('Review Queue'!$B$5:$B$47,A20)</x:f>
        <x:v>19</x:v>
      </x:c>
    </x:row>
    <x:row r="21">
      <x:c r="A21" s="147" t="str">
        <x:v>PROXY_GEOMETRY</x:v>
      </x:c>
      <x:c r="B21" s="148" t="n">
        <x:f>COUNTIF('Review Queue'!$B$5:$B$47,A21)</x:f>
        <x:v>8</x:v>
      </x:c>
    </x:row>
    <x:row r="22">
      <x:c r="A22" s="147" t="str">
        <x:v>SOURCE_URL_ACCESS</x:v>
      </x:c>
      <x:c r="B22" s="148" t="n">
        <x:f>COUNTIF('Review Queue'!$B$5:$B$47,A22)</x:f>
        <x:v>15</x:v>
      </x:c>
    </x:row>
    <x:row r="23">
      <x:c r="A23" s="149" t="str">
        <x:v>PLEIADES_COORDINATE_OFFSET</x:v>
      </x:c>
      <x:c r="B23" s="150" t="n">
        <x:f>COUNTIF('Review Queue'!$B$5:$B$47,A23)</x:f>
        <x:v>1</x:v>
      </x:c>
    </x:row>
    <x:row r="26">
      <x:c r="A26" s="178" t="str">
        <x:v>PASS — zero hard errors. The 43 warnings are deliberate transparency: 19 reviewed records retain medium confidence, 8 points are explicit proxies, 15 source URLs were unavailable or unchecked during the dated access test, and one Pleiades coordinate difference exceeds 500 m.
ΕΠΙΤΥΧΙΑ — μηδενικά υποχρεωτικά σφάλματα. Οι 43 προειδοποιήσεις διατηρούν ορατές τις ιστορικές αβεβαιότητες και τις συνθήκες πρόσβασης.</x:v>
      </x:c>
      <x:c r="B26" s="179"/>
      <x:c r="C26" s="179"/>
      <x:c r="D26" s="179"/>
      <x:c r="E26" s="179"/>
      <x:c r="F26" s="179"/>
      <x:c r="G26" s="179"/>
      <x:c r="H26" s="179"/>
      <x:c r="I26" s="179"/>
      <x:c r="J26" s="179"/>
      <x:c r="K26" s="179"/>
      <x:c r="L26" s="180"/>
    </x:row>
    <x:row r="27">
      <x:c r="A27" s="181"/>
      <x:c r="B27" s="182"/>
      <x:c r="C27" s="182"/>
      <x:c r="D27" s="182"/>
      <x:c r="E27" s="182"/>
      <x:c r="F27" s="182"/>
      <x:c r="G27" s="182"/>
      <x:c r="H27" s="182"/>
      <x:c r="I27" s="182"/>
      <x:c r="J27" s="182"/>
      <x:c r="K27" s="182"/>
      <x:c r="L27" s="183"/>
    </x:row>
    <x:row r="28">
      <x:c r="A28" s="181"/>
      <x:c r="B28" s="182"/>
      <x:c r="C28" s="182"/>
      <x:c r="D28" s="182"/>
      <x:c r="E28" s="182"/>
      <x:c r="F28" s="182"/>
      <x:c r="G28" s="182"/>
      <x:c r="H28" s="182"/>
      <x:c r="I28" s="182"/>
      <x:c r="J28" s="182"/>
      <x:c r="K28" s="182"/>
      <x:c r="L28" s="183"/>
    </x:row>
    <x:row r="29">
      <x:c r="A29" s="184"/>
      <x:c r="B29" s="185"/>
      <x:c r="C29" s="185"/>
      <x:c r="D29" s="185"/>
      <x:c r="E29" s="185"/>
      <x:c r="F29" s="185"/>
      <x:c r="G29" s="185"/>
      <x:c r="H29" s="185"/>
      <x:c r="I29" s="185"/>
      <x:c r="J29" s="185"/>
      <x:c r="K29" s="185"/>
      <x:c r="L29" s="186"/>
    </x:row>
  </x:sheetData>
  <x:mergeCells>
    <x:mergeCell ref="A1:L1"/>
    <x:mergeCell ref="A2:L2"/>
    <x:mergeCell ref="A4:B4"/>
    <x:mergeCell ref="A5:B6"/>
    <x:mergeCell ref="C4:D4"/>
    <x:mergeCell ref="C5:D6"/>
    <x:mergeCell ref="E4:F4"/>
    <x:mergeCell ref="E5:F6"/>
    <x:mergeCell ref="G4:H4"/>
    <x:mergeCell ref="G5:H6"/>
    <x:mergeCell ref="I4:J4"/>
    <x:mergeCell ref="I5:J6"/>
    <x:mergeCell ref="K4:L4"/>
    <x:mergeCell ref="K5:L6"/>
    <x:mergeCell ref="A8:B8"/>
    <x:mergeCell ref="A9:B10"/>
    <x:mergeCell ref="C8:D8"/>
    <x:mergeCell ref="C9:D10"/>
    <x:mergeCell ref="E8:F8"/>
    <x:mergeCell ref="E9:F10"/>
    <x:mergeCell ref="G8:H8"/>
    <x:mergeCell ref="G9:H10"/>
    <x:mergeCell ref="I8:J8"/>
    <x:mergeCell ref="I9:J10"/>
    <x:mergeCell ref="K8:L8"/>
    <x:mergeCell ref="K9:L10"/>
    <x:mergeCell ref="A26:L29"/>
  </x:mergeCells>
  <x:pageMargins left="0.7" right="0.7" top="0.75" bottom="0.75" header="0.3" footer="0.3"/>
  <x:drawing xmlns:r="http://schemas.openxmlformats.org/officeDocument/2006/relationships" r:id="R264d338e677147de"/>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18" hidden="0" customWidth="1"/>
    <x:col min="4" max="4" width="18" hidden="0" customWidth="1"/>
    <x:col min="5" max="5" width="18" hidden="0" customWidth="1"/>
    <x:col min="6" max="6" width="18" hidden="0" customWidth="1"/>
    <x:col min="7" max="7" width="28" hidden="0" customWidth="1"/>
    <x:col min="8" max="8" width="28" hidden="0" customWidth="1"/>
    <x:col min="9" max="9" width="28" hidden="0" customWidth="1"/>
    <x:col min="10" max="10" width="46" hidden="0" customWidth="1"/>
    <x:col min="11" max="11" width="46" hidden="0" customWidth="1"/>
    <x:col min="12" max="12" width="18" hidden="0" customWidth="1"/>
    <x:col min="13" max="13" width="18" hidden="0" customWidth="1"/>
    <x:col min="14" max="14" width="18" hidden="0" customWidth="1"/>
    <x:col min="15" max="15" width="24"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32" hidden="0" customWidth="1"/>
  </x:cols>
  <x:sheetData>
    <x:row r="1" ht="34" customHeight="1">
      <x:c r="A1" s="3" t="str">
        <x:v>Entities / Οντότητες</x:v>
      </x:c>
      <x:c r="B1" s="3"/>
      <x:c r="C1" s="3"/>
      <x:c r="D1" s="3"/>
      <x:c r="E1" s="3"/>
      <x:c r="F1" s="3"/>
      <x:c r="G1" s="3"/>
      <x:c r="H1" s="3"/>
      <x:c r="I1" s="3"/>
      <x:c r="J1" s="3"/>
      <x:c r="K1" s="3"/>
      <x:c r="L1" s="3"/>
      <x:c r="M1" s="3"/>
      <x:c r="N1" s="3"/>
      <x:c r="O1" s="3"/>
      <x:c r="P1" s="3"/>
      <x:c r="Q1" s="3"/>
      <x:c r="R1" s="3"/>
      <x:c r="S1" s="3"/>
      <x:c r="T1" s="3"/>
      <x:c r="U1" s="3"/>
      <x:c r="V1" s="3"/>
      <x:c r="W1" s="3"/>
      <x:c r="X1" s="3"/>
    </x:row>
    <x:row r="2" ht="28" customHeight="1">
      <x:c r="A2" s="8" t="str">
        <x:v>Canonical identity records. Greek is the authoritative editorial language; use IDs when reporting corrections.</x:v>
      </x:c>
      <x:c r="B2" s="8"/>
      <x:c r="C2" s="8"/>
      <x:c r="D2" s="8"/>
      <x:c r="E2" s="8"/>
      <x:c r="F2" s="8"/>
      <x:c r="G2" s="8"/>
      <x:c r="H2" s="8"/>
      <x:c r="I2" s="8"/>
      <x:c r="J2" s="8"/>
      <x:c r="K2" s="8"/>
      <x:c r="L2" s="8"/>
      <x:c r="M2" s="8"/>
      <x:c r="N2" s="8"/>
      <x:c r="O2" s="8"/>
      <x:c r="P2" s="8"/>
      <x:c r="Q2" s="8"/>
      <x:c r="R2" s="8"/>
      <x:c r="S2" s="8"/>
      <x:c r="T2" s="8"/>
      <x:c r="U2" s="8"/>
      <x:c r="V2" s="8"/>
      <x:c r="W2" s="8"/>
      <x:c r="X2" s="8"/>
    </x:row>
    <x:row r="4" ht="30" customHeight="1">
      <x:c r="A4" s="13" t="str">
        <x:v>entity_id</x:v>
      </x:c>
      <x:c r="B4" s="13" t="str">
        <x:v>legacy_id</x:v>
      </x:c>
      <x:c r="C4" s="13" t="str">
        <x:v>entity_class</x:v>
      </x:c>
      <x:c r="D4" s="13" t="str">
        <x:v>entity_subtype</x:v>
      </x:c>
      <x:c r="E4" s="13" t="str">
        <x:v>legacy_subtype</x:v>
      </x:c>
      <x:c r="F4" s="13" t="str">
        <x:v>collections</x:v>
      </x:c>
      <x:c r="G4" s="13" t="str">
        <x:v>preferred_name_el</x:v>
      </x:c>
      <x:c r="H4" s="13" t="str">
        <x:v>preferred_name_en</x:v>
      </x:c>
      <x:c r="I4" s="13" t="str">
        <x:v>ancient_name_grc</x:v>
      </x:c>
      <x:c r="J4" s="13" t="str">
        <x:v>description_el</x:v>
      </x:c>
      <x:c r="K4" s="13" t="str">
        <x:v>description_en</x:v>
      </x:c>
      <x:c r="L4" s="13" t="str">
        <x:v>sanctuary_scope</x:v>
      </x:c>
      <x:c r="M4" s="13" t="str">
        <x:v>sanctuary_setting</x:v>
      </x:c>
      <x:c r="N4" s="13" t="str">
        <x:v>sanctuary_function_tags</x:v>
      </x:c>
      <x:c r="O4" s="13" t="str">
        <x:v>ancient_region_authority_id</x:v>
      </x:c>
      <x:c r="P4" s="13" t="str">
        <x:v>temporal_precision</x:v>
      </x:c>
      <x:c r="Q4" s="13" t="str">
        <x:v>location_certainty</x:v>
      </x:c>
      <x:c r="R4" s="13" t="str">
        <x:v>record_confidence</x:v>
      </x:c>
      <x:c r="S4" s="13" t="str">
        <x:v>review_state</x:v>
      </x:c>
      <x:c r="T4" s="13" t="str">
        <x:v>translation_status</x:v>
      </x:c>
      <x:c r="U4" s="13" t="str">
        <x:v>data_version</x:v>
      </x:c>
      <x:c r="V4" s="13" t="str">
        <x:v>source_origin</x:v>
      </x:c>
      <x:c r="W4" s="13" t="str">
        <x:v>last_reviewed</x:v>
      </x:c>
      <x:c r="X4" s="13" t="str">
        <x:v>reviewer</x:v>
      </x:c>
    </x:row>
    <x:row r="5" ht="44" customHeight="1">
      <x:c r="A5" s="14" t="str">
        <x:v>city-aegina-city</x:v>
      </x:c>
      <x:c r="B5" s="14" t="str">
        <x:v>city-aegina-city</x:v>
      </x:c>
      <x:c r="C5" s="14" t="str">
        <x:v>settlement</x:v>
      </x:c>
      <x:c r="D5" s="14" t="str">
        <x:v>polis</x:v>
      </x:c>
      <x:c r="E5" s="14" t="str">
        <x:v>polis</x:v>
      </x:c>
      <x:c r="F5" s="14" t="str">
        <x:v>city</x:v>
      </x:c>
      <x:c r="G5" s="14" t="str">
        <x:v>Αίγινα</x:v>
      </x:c>
      <x:c r="H5" s="14" t="str">
        <x:v>Aegina</x:v>
      </x:c>
      <x:c r="I5" s="14" t="str">
        <x:v>Αἴγινα</x:v>
      </x:c>
      <x:c r="J5" s="16" t="str">
        <x:v>Νησιωτική εμπορική και ναυτική δύναμη του Σαρωνικού με πρώιμη νομισματοκοπία.</x:v>
      </x:c>
      <x:c r="K5" s="16" t="str">
        <x:v>Saronic island trading and naval power with early coinage.</x:v>
      </x:c>
      <x:c r="L5" s="14"/>
      <x:c r="M5" s="14"/>
      <x:c r="N5" s="14"/>
      <x:c r="O5" s="14" t="str">
        <x:v>region-saronikos</x:v>
      </x:c>
      <x:c r="P5" s="14" t="str">
        <x:v>approximate</x:v>
      </x:c>
      <x:c r="Q5" s="14" t="str">
        <x:v>high</x:v>
      </x:c>
      <x:c r="R5" s="14" t="str">
        <x:v>high</x:v>
      </x:c>
      <x:c r="S5" s="14" t="str">
        <x:v>reviewed</x:v>
      </x:c>
      <x:c r="T5" s="14" t="str">
        <x:v>machine_assisted_reviewed</x:v>
      </x:c>
      <x:c r="U5" s="14" t="str">
        <x:v>1.0.0</x:v>
      </x:c>
      <x:c r="V5" s="14" t="str">
        <x:v>archaios_ellinikos_kosmos_entities_v0_1.csv</x:v>
      </x:c>
      <x:c r="W5" s="17" t="n">
        <x:v>46248</x:v>
      </x:c>
      <x:c r="X5" s="14" t="str">
        <x:v>Codex-assisted normalization of user research</x:v>
      </x:c>
    </x:row>
    <x:row r="6" ht="44" customHeight="1">
      <x:c r="A6" s="14" t="str">
        <x:v>city-aigai-macedonia</x:v>
      </x:c>
      <x:c r="B6" s="14" t="str">
        <x:v>city-aigai-macedonia</x:v>
      </x:c>
      <x:c r="C6" s="14" t="str">
        <x:v>settlement</x:v>
      </x:c>
      <x:c r="D6" s="14" t="str">
        <x:v>polis</x:v>
      </x:c>
      <x:c r="E6" s="14" t="str">
        <x:v>polis</x:v>
      </x:c>
      <x:c r="F6" s="14" t="str">
        <x:v>city</x:v>
      </x:c>
      <x:c r="G6" s="14" t="str">
        <x:v>Αιγές</x:v>
      </x:c>
      <x:c r="H6" s="14" t="str">
        <x:v>Aigai</x:v>
      </x:c>
      <x:c r="I6" s="14" t="str">
        <x:v>Αἰγαί</x:v>
      </x:c>
      <x:c r="J6" s="16" t="str">
        <x:v>Πρώτη πρωτεύουσα και βασιλική νεκρόπολη των αρχαίων Μακεδόνων.</x:v>
      </x:c>
      <x:c r="K6" s="16" t="str">
        <x:v>First capital and royal necropolis of the ancient Macedonians.</x:v>
      </x:c>
      <x:c r="L6" s="14"/>
      <x:c r="M6" s="14"/>
      <x:c r="N6" s="14"/>
      <x:c r="O6" s="14" t="str">
        <x:v>region-makedonia</x:v>
      </x:c>
      <x:c r="P6" s="14" t="str">
        <x:v>approximate</x:v>
      </x:c>
      <x:c r="Q6" s="14" t="str">
        <x:v>high</x:v>
      </x:c>
      <x:c r="R6" s="14" t="str">
        <x:v>high</x:v>
      </x:c>
      <x:c r="S6" s="14" t="str">
        <x:v>reviewed</x:v>
      </x:c>
      <x:c r="T6" s="14" t="str">
        <x:v>machine_assisted_reviewed</x:v>
      </x:c>
      <x:c r="U6" s="14" t="str">
        <x:v>1.0.0</x:v>
      </x:c>
      <x:c r="V6" s="14" t="str">
        <x:v>archaios_ellinikos_kosmos_entities_v0_1.csv</x:v>
      </x:c>
      <x:c r="W6" s="17" t="n">
        <x:v>46248</x:v>
      </x:c>
      <x:c r="X6" s="14" t="str">
        <x:v>Codex-assisted normalization of user research</x:v>
      </x:c>
    </x:row>
    <x:row r="7" ht="44" customHeight="1">
      <x:c r="A7" s="14" t="str">
        <x:v>city-alexandria-egypt</x:v>
      </x:c>
      <x:c r="B7" s="14" t="str">
        <x:v>city-alexandria-egypt</x:v>
      </x:c>
      <x:c r="C7" s="14" t="str">
        <x:v>settlement</x:v>
      </x:c>
      <x:c r="D7" s="14" t="str">
        <x:v>polis</x:v>
      </x:c>
      <x:c r="E7" s="14" t="str">
        <x:v>polis</x:v>
      </x:c>
      <x:c r="F7" s="14" t="str">
        <x:v>city</x:v>
      </x:c>
      <x:c r="G7" s="14" t="str">
        <x:v>Αλεξάνδρεια</x:v>
      </x:c>
      <x:c r="H7" s="14" t="str">
        <x:v>Alexandria</x:v>
      </x:c>
      <x:c r="I7" s="14" t="str">
        <x:v>Ἀλεξάνδρεια</x:v>
      </x:c>
      <x:c r="J7" s="16" t="str">
        <x:v>Πόλη που ίδρυσε ο Αλέξανδρος και πρωτεύουσα των Πτολεμαίων, με κορυφαίο λιμάνι και πνευματικά ιδρύματα.</x:v>
      </x:c>
      <x:c r="K7" s="16" t="str">
        <x:v>City founded by Alexander and capital of the Ptolemies, with a leading port and intellectual institutions.</x:v>
      </x:c>
      <x:c r="L7" s="14"/>
      <x:c r="M7" s="14"/>
      <x:c r="N7" s="14"/>
      <x:c r="O7" s="14" t="str">
        <x:v>region-aigyptos</x:v>
      </x:c>
      <x:c r="P7" s="14" t="str">
        <x:v>approximate</x:v>
      </x:c>
      <x:c r="Q7" s="14" t="str">
        <x:v>high</x:v>
      </x:c>
      <x:c r="R7" s="14" t="str">
        <x:v>high</x:v>
      </x:c>
      <x:c r="S7" s="14" t="str">
        <x:v>reviewed</x:v>
      </x:c>
      <x:c r="T7" s="14" t="str">
        <x:v>machine_assisted_reviewed</x:v>
      </x:c>
      <x:c r="U7" s="14" t="str">
        <x:v>1.0.0</x:v>
      </x:c>
      <x:c r="V7" s="14" t="str">
        <x:v>archaios_ellinikos_kosmos_entities_v0_1.csv</x:v>
      </x:c>
      <x:c r="W7" s="17" t="n">
        <x:v>46248</x:v>
      </x:c>
      <x:c r="X7" s="14" t="str">
        <x:v>Codex-assisted normalization of user research</x:v>
      </x:c>
    </x:row>
    <x:row r="8" ht="44" customHeight="1">
      <x:c r="A8" s="14" t="str">
        <x:v>city-antioch-orontes</x:v>
      </x:c>
      <x:c r="B8" s="14" t="str">
        <x:v>city-antioch-orontes</x:v>
      </x:c>
      <x:c r="C8" s="14" t="str">
        <x:v>settlement</x:v>
      </x:c>
      <x:c r="D8" s="14" t="str">
        <x:v>polis</x:v>
      </x:c>
      <x:c r="E8" s="14" t="str">
        <x:v>polis</x:v>
      </x:c>
      <x:c r="F8" s="14" t="str">
        <x:v>city</x:v>
      </x:c>
      <x:c r="G8" s="14" t="str">
        <x:v>Αντιόχεια επί Ορόντου</x:v>
      </x:c>
      <x:c r="H8" s="14" t="str">
        <x:v>Antioch on the Orontes</x:v>
      </x:c>
      <x:c r="I8" s="14" t="str">
        <x:v>Ἀντιόχεια ἡ ἐπὶ Ὀρόντου</x:v>
      </x:c>
      <x:c r="J8" s="16" t="str">
        <x:v>Σελευκιδική πρωτεύουσα και μία από τις μεγαλύτερες ελληνιστικές και ρωμαϊκές πόλεις της ανατολικής Μεσογείου.</x:v>
      </x:c>
      <x:c r="K8" s="16" t="str">
        <x:v>Seleucid capital and one of the largest Hellenistic and Roman cities in the eastern Mediterranean.</x:v>
      </x:c>
      <x:c r="L8" s="14"/>
      <x:c r="M8" s="14"/>
      <x:c r="N8" s="14"/>
      <x:c r="O8" s="14" t="str">
        <x:v>region-syria-seleykida</x:v>
      </x:c>
      <x:c r="P8" s="14" t="str">
        <x:v>approximate</x:v>
      </x:c>
      <x:c r="Q8" s="14" t="str">
        <x:v>high</x:v>
      </x:c>
      <x:c r="R8" s="14" t="str">
        <x:v>high</x:v>
      </x:c>
      <x:c r="S8" s="14" t="str">
        <x:v>reviewed</x:v>
      </x:c>
      <x:c r="T8" s="14" t="str">
        <x:v>machine_assisted_reviewed</x:v>
      </x:c>
      <x:c r="U8" s="14" t="str">
        <x:v>1.0.0</x:v>
      </x:c>
      <x:c r="V8" s="14" t="str">
        <x:v>archaios_ellinikos_kosmos_entities_v0_1.csv</x:v>
      </x:c>
      <x:c r="W8" s="17" t="n">
        <x:v>46248</x:v>
      </x:c>
      <x:c r="X8" s="14" t="str">
        <x:v>Codex-assisted normalization of user research</x:v>
      </x:c>
    </x:row>
    <x:row r="9" ht="44" customHeight="1">
      <x:c r="A9" s="14" t="str">
        <x:v>city-argos</x:v>
      </x:c>
      <x:c r="B9" s="14" t="str">
        <x:v>city-argos</x:v>
      </x:c>
      <x:c r="C9" s="14" t="str">
        <x:v>settlement</x:v>
      </x:c>
      <x:c r="D9" s="14" t="str">
        <x:v>polis</x:v>
      </x:c>
      <x:c r="E9" s="14" t="str">
        <x:v>polis</x:v>
      </x:c>
      <x:c r="F9" s="14" t="str">
        <x:v>city</x:v>
      </x:c>
      <x:c r="G9" s="14" t="str">
        <x:v>Άργος</x:v>
      </x:c>
      <x:c r="H9" s="14" t="str">
        <x:v>Argos</x:v>
      </x:c>
      <x:c r="I9" s="14" t="str">
        <x:v>Ἄργος</x:v>
      </x:c>
      <x:c r="J9" s="16" t="str">
        <x:v>Μία από τις μακροβιότερες πόλεις της Πελοποννήσου και σημαντικό κέντρο της Αργολίδας.</x:v>
      </x:c>
      <x:c r="K9" s="16" t="str">
        <x:v>One of the oldest cities in the Peloponnese and an important center of Argolis.</x:v>
      </x:c>
      <x:c r="L9" s="14"/>
      <x:c r="M9" s="14"/>
      <x:c r="N9" s="14"/>
      <x:c r="O9" s="14" t="str">
        <x:v>region-argolida</x:v>
      </x:c>
      <x:c r="P9" s="14" t="str">
        <x:v>approximate</x:v>
      </x:c>
      <x:c r="Q9" s="14" t="str">
        <x:v>high</x:v>
      </x:c>
      <x:c r="R9" s="14" t="str">
        <x:v>high</x:v>
      </x:c>
      <x:c r="S9" s="14" t="str">
        <x:v>reviewed</x:v>
      </x:c>
      <x:c r="T9" s="14" t="str">
        <x:v>machine_assisted_reviewed</x:v>
      </x:c>
      <x:c r="U9" s="14" t="str">
        <x:v>1.0.0</x:v>
      </x:c>
      <x:c r="V9" s="14" t="str">
        <x:v>archaios_ellinikos_kosmos_entities_v0_1.csv</x:v>
      </x:c>
      <x:c r="W9" s="17" t="n">
        <x:v>46248</x:v>
      </x:c>
      <x:c r="X9" s="14" t="str">
        <x:v>Codex-assisted normalization of user research</x:v>
      </x:c>
    </x:row>
    <x:row r="10" ht="44" customHeight="1">
      <x:c r="A10" s="14" t="str">
        <x:v>city-athens-attica</x:v>
      </x:c>
      <x:c r="B10" s="14" t="str">
        <x:v>city-athens-attica</x:v>
      </x:c>
      <x:c r="C10" s="14" t="str">
        <x:v>settlement</x:v>
      </x:c>
      <x:c r="D10" s="14" t="str">
        <x:v>polis</x:v>
      </x:c>
      <x:c r="E10" s="14" t="str">
        <x:v>polis</x:v>
      </x:c>
      <x:c r="F10" s="14" t="str">
        <x:v>city</x:v>
      </x:c>
      <x:c r="G10" s="14" t="str">
        <x:v>Αθήνα</x:v>
      </x:c>
      <x:c r="H10" s="14" t="str">
        <x:v>Athens</x:v>
      </x:c>
      <x:c r="I10" s="14" t="str">
        <x:v>Ἀθῆναι</x:v>
      </x:c>
      <x:c r="J10" s="16" t="str">
        <x:v>Κεντρική πόλη της Αττικής και κορυφαία ναυτική, πολιτική και πνευματική δύναμη της κλασικής εποχής.</x:v>
      </x:c>
      <x:c r="K10" s="16" t="str">
        <x:v>Central city of Attica and leading naval, political and intellectual power of the classical era.</x:v>
      </x:c>
      <x:c r="L10" s="14"/>
      <x:c r="M10" s="14"/>
      <x:c r="N10" s="14"/>
      <x:c r="O10" s="14" t="str">
        <x:v>region-attike</x:v>
      </x:c>
      <x:c r="P10" s="14" t="str">
        <x:v>approximate</x:v>
      </x:c>
      <x:c r="Q10" s="14" t="str">
        <x:v>high</x:v>
      </x:c>
      <x:c r="R10" s="14" t="str">
        <x:v>high</x:v>
      </x:c>
      <x:c r="S10" s="14" t="str">
        <x:v>reviewed</x:v>
      </x:c>
      <x:c r="T10" s="14" t="str">
        <x:v>machine_assisted_reviewed</x:v>
      </x:c>
      <x:c r="U10" s="14" t="str">
        <x:v>1.0.0</x:v>
      </x:c>
      <x:c r="V10" s="14" t="str">
        <x:v>archaios_ellinikos_kosmos_entities_v0_1.csv</x:v>
      </x:c>
      <x:c r="W10" s="17" t="n">
        <x:v>46248</x:v>
      </x:c>
      <x:c r="X10" s="14" t="str">
        <x:v>Codex-assisted normalization of user research</x:v>
      </x:c>
    </x:row>
    <x:row r="11" ht="44" customHeight="1">
      <x:c r="A11" s="14" t="str">
        <x:v>city-chalcis-euboea</x:v>
      </x:c>
      <x:c r="B11" s="14" t="str">
        <x:v>city-chalcis-euboea</x:v>
      </x:c>
      <x:c r="C11" s="14" t="str">
        <x:v>settlement</x:v>
      </x:c>
      <x:c r="D11" s="14" t="str">
        <x:v>polis</x:v>
      </x:c>
      <x:c r="E11" s="14" t="str">
        <x:v>polis</x:v>
      </x:c>
      <x:c r="F11" s="14" t="str">
        <x:v>city</x:v>
      </x:c>
      <x:c r="G11" s="14" t="str">
        <x:v>Χαλκίδα</x:v>
      </x:c>
      <x:c r="H11" s="14" t="str">
        <x:v>Chalcis</x:v>
      </x:c>
      <x:c r="I11" s="14" t="str">
        <x:v>Χαλκίς</x:v>
      </x:c>
      <x:c r="J11" s="16" t="str">
        <x:v>Κύριο ευβοϊκό κέντρο στον Εύριπο και μία από τις πρωτοπόρες πόλεις του ελληνικού αποικισμού.</x:v>
      </x:c>
      <x:c r="K11" s="16" t="str">
        <x:v>Main Euboean center in Euripos and one of the pioneering cities of Greek colonization.</x:v>
      </x:c>
      <x:c r="L11" s="14"/>
      <x:c r="M11" s="14"/>
      <x:c r="N11" s="14"/>
      <x:c r="O11" s="14" t="str">
        <x:v>region-eyboia</x:v>
      </x:c>
      <x:c r="P11" s="14" t="str">
        <x:v>approximate</x:v>
      </x:c>
      <x:c r="Q11" s="14" t="str">
        <x:v>high</x:v>
      </x:c>
      <x:c r="R11" s="14" t="str">
        <x:v>high</x:v>
      </x:c>
      <x:c r="S11" s="14" t="str">
        <x:v>reviewed</x:v>
      </x:c>
      <x:c r="T11" s="14" t="str">
        <x:v>machine_assisted_reviewed</x:v>
      </x:c>
      <x:c r="U11" s="14" t="str">
        <x:v>1.0.0</x:v>
      </x:c>
      <x:c r="V11" s="14" t="str">
        <x:v>archaios_ellinikos_kosmos_entities_v0_1.csv</x:v>
      </x:c>
      <x:c r="W11" s="17" t="n">
        <x:v>46248</x:v>
      </x:c>
      <x:c r="X11" s="14" t="str">
        <x:v>Codex-assisted normalization of user research</x:v>
      </x:c>
    </x:row>
    <x:row r="12" ht="44" customHeight="1">
      <x:c r="A12" s="14" t="str">
        <x:v>city-chios-city</x:v>
      </x:c>
      <x:c r="B12" s="14" t="str">
        <x:v>city-chios-city</x:v>
      </x:c>
      <x:c r="C12" s="14" t="str">
        <x:v>settlement</x:v>
      </x:c>
      <x:c r="D12" s="14" t="str">
        <x:v>polis</x:v>
      </x:c>
      <x:c r="E12" s="14" t="str">
        <x:v>polis</x:v>
      </x:c>
      <x:c r="F12" s="14" t="str">
        <x:v>city</x:v>
      </x:c>
      <x:c r="G12" s="14" t="str">
        <x:v>Χίος</x:v>
      </x:c>
      <x:c r="H12" s="14" t="str">
        <x:v>Chios</x:v>
      </x:c>
      <x:c r="I12" s="14" t="str">
        <x:v>Χίος</x:v>
      </x:c>
      <x:c r="J12" s="16" t="str">
        <x:v>Νησιωτική πόλη με ισχυρή ναυτιλία, εμπόριο οίνου και συμμετοχή στην Ιωνική Δωδεκάπολη.</x:v>
      </x:c>
      <x:c r="K12" s="16" t="str">
        <x:v>Island city with strong shipping, wine trade and participation in the Ionian Dodecapolis.</x:v>
      </x:c>
      <x:c r="L12" s="14"/>
      <x:c r="M12" s="14"/>
      <x:c r="N12" s="14"/>
      <x:c r="O12" s="14" t="str">
        <x:v>region-ionia-chios</x:v>
      </x:c>
      <x:c r="P12" s="14" t="str">
        <x:v>approximate</x:v>
      </x:c>
      <x:c r="Q12" s="14" t="str">
        <x:v>high</x:v>
      </x:c>
      <x:c r="R12" s="14" t="str">
        <x:v>high</x:v>
      </x:c>
      <x:c r="S12" s="14" t="str">
        <x:v>reviewed</x:v>
      </x:c>
      <x:c r="T12" s="14" t="str">
        <x:v>machine_assisted_reviewed</x:v>
      </x:c>
      <x:c r="U12" s="14" t="str">
        <x:v>1.0.0</x:v>
      </x:c>
      <x:c r="V12" s="14" t="str">
        <x:v>archaios_ellinikos_kosmos_entities_v0_1.csv</x:v>
      </x:c>
      <x:c r="W12" s="17" t="n">
        <x:v>46248</x:v>
      </x:c>
      <x:c r="X12" s="14" t="str">
        <x:v>Codex-assisted normalization of user research</x:v>
      </x:c>
    </x:row>
    <x:row r="13" ht="44" customHeight="1">
      <x:c r="A13" s="14" t="str">
        <x:v>city-corinth</x:v>
      </x:c>
      <x:c r="B13" s="14" t="str">
        <x:v>city-corinth</x:v>
      </x:c>
      <x:c r="C13" s="14" t="str">
        <x:v>settlement</x:v>
      </x:c>
      <x:c r="D13" s="14" t="str">
        <x:v>polis</x:v>
      </x:c>
      <x:c r="E13" s="14" t="str">
        <x:v>polis</x:v>
      </x:c>
      <x:c r="F13" s="14" t="str">
        <x:v>city</x:v>
      </x:c>
      <x:c r="G13" s="14" t="str">
        <x:v>Κόρινθος</x:v>
      </x:c>
      <x:c r="H13" s="14" t="str">
        <x:v>Corinth</x:v>
      </x:c>
      <x:c r="I13" s="14" t="str">
        <x:v>Κόρινθος</x:v>
      </x:c>
      <x:c r="J13" s="16" t="str">
        <x:v>Ισχυρή εμπορική πόλη στον Ισθμό· καταστράφηκε το 146 π.Χ. και επανιδρύθηκε ως ρωμαϊκή αποικία το 44 π.Χ.</x:v>
      </x:c>
      <x:c r="K13" s="16" t="str">
        <x:v>A major commercial city on the Isthmus; it was destroyed in 146 BCE and refounded as a Roman colony in 44 BCE.</x:v>
      </x:c>
      <x:c r="L13" s="14"/>
      <x:c r="M13" s="14"/>
      <x:c r="N13" s="14"/>
      <x:c r="O13" s="14" t="str">
        <x:v>region-korinthia</x:v>
      </x:c>
      <x:c r="P13" s="14" t="str">
        <x:v>approximate</x:v>
      </x:c>
      <x:c r="Q13" s="14" t="str">
        <x:v>high</x:v>
      </x:c>
      <x:c r="R13" s="14" t="str">
        <x:v>high</x:v>
      </x:c>
      <x:c r="S13" s="14" t="str">
        <x:v>reviewed</x:v>
      </x:c>
      <x:c r="T13" s="14" t="str">
        <x:v>machine_assisted_reviewed</x:v>
      </x:c>
      <x:c r="U13" s="14" t="str">
        <x:v>1.0.0</x:v>
      </x:c>
      <x:c r="V13" s="14" t="str">
        <x:v>archaios_ellinikos_kosmos_entities_v0_1.csv</x:v>
      </x:c>
      <x:c r="W13" s="17" t="n">
        <x:v>46248</x:v>
      </x:c>
      <x:c r="X13" s="14" t="str">
        <x:v>Codex-assisted normalization of user research</x:v>
      </x:c>
    </x:row>
    <x:row r="14" ht="44" customHeight="1">
      <x:c r="A14" s="14" t="str">
        <x:v>city-demetrias</x:v>
      </x:c>
      <x:c r="B14" s="14" t="str">
        <x:v>city-demetrias</x:v>
      </x:c>
      <x:c r="C14" s="14" t="str">
        <x:v>settlement</x:v>
      </x:c>
      <x:c r="D14" s="14" t="str">
        <x:v>polis</x:v>
      </x:c>
      <x:c r="E14" s="14" t="str">
        <x:v>polis</x:v>
      </x:c>
      <x:c r="F14" s="14" t="str">
        <x:v>city</x:v>
      </x:c>
      <x:c r="G14" s="14" t="str">
        <x:v>Δημητριάδα</x:v>
      </x:c>
      <x:c r="H14" s="14" t="str">
        <x:v>Demetrias</x:v>
      </x:c>
      <x:c r="I14" s="14" t="str">
        <x:v>Δημητριάς</x:v>
      </x:c>
      <x:c r="J14" s="16" t="str">
        <x:v>Ελληνιστική πόλη που ίδρυσε ο Δημήτριος Πολιορκητής με συνοικισμό παραλιακών οικισμών.</x:v>
      </x:c>
      <x:c r="K14" s="16" t="str">
        <x:v>A Hellenistic city founded by Demetrios Poliorketes through the synoecism of coastal settlements.</x:v>
      </x:c>
      <x:c r="L14" s="14"/>
      <x:c r="M14" s="14"/>
      <x:c r="N14" s="14"/>
      <x:c r="O14" s="14" t="str">
        <x:v>region-magnesia</x:v>
      </x:c>
      <x:c r="P14" s="14" t="str">
        <x:v>approximate</x:v>
      </x:c>
      <x:c r="Q14" s="14" t="str">
        <x:v>high</x:v>
      </x:c>
      <x:c r="R14" s="14" t="str">
        <x:v>high</x:v>
      </x:c>
      <x:c r="S14" s="14" t="str">
        <x:v>reviewed</x:v>
      </x:c>
      <x:c r="T14" s="14" t="str">
        <x:v>machine_assisted_reviewed</x:v>
      </x:c>
      <x:c r="U14" s="14" t="str">
        <x:v>1.0.0</x:v>
      </x:c>
      <x:c r="V14" s="14" t="str">
        <x:v>archaios_ellinikos_kosmos_entities_v0_1.csv</x:v>
      </x:c>
      <x:c r="W14" s="17" t="n">
        <x:v>46248</x:v>
      </x:c>
      <x:c r="X14" s="14" t="str">
        <x:v>Codex-assisted normalization of user research</x:v>
      </x:c>
    </x:row>
    <x:row r="15" ht="44" customHeight="1">
      <x:c r="A15" s="14" t="str">
        <x:v>city-dion</x:v>
      </x:c>
      <x:c r="B15" s="14" t="str">
        <x:v>city-dion</x:v>
      </x:c>
      <x:c r="C15" s="14" t="str">
        <x:v>settlement</x:v>
      </x:c>
      <x:c r="D15" s="14" t="str">
        <x:v>polis</x:v>
      </x:c>
      <x:c r="E15" s="14" t="str">
        <x:v>polis</x:v>
      </x:c>
      <x:c r="F15" s="14" t="str">
        <x:v>city</x:v>
      </x:c>
      <x:c r="G15" s="14" t="str">
        <x:v>Δίον</x:v>
      </x:c>
      <x:c r="H15" s="14" t="str">
        <x:v>Dion</x:v>
      </x:c>
      <x:c r="I15" s="14" t="str">
        <x:v>Δῖον</x:v>
      </x:c>
      <x:c r="J15" s="16" t="str">
        <x:v>Ιερή και αστική έδρα των Μακεδόνων στους πρόποδες του Ολύμπου.</x:v>
      </x:c>
      <x:c r="K15" s="16" t="str">
        <x:v>Sacred and civil seat of the Macedonians at the foot of Mount Olympus.</x:v>
      </x:c>
      <x:c r="L15" s="14"/>
      <x:c r="M15" s="14"/>
      <x:c r="N15" s="14"/>
      <x:c r="O15" s="14" t="str">
        <x:v>region-makedonia</x:v>
      </x:c>
      <x:c r="P15" s="14" t="str">
        <x:v>approximate</x:v>
      </x:c>
      <x:c r="Q15" s="14" t="str">
        <x:v>high</x:v>
      </x:c>
      <x:c r="R15" s="14" t="str">
        <x:v>high</x:v>
      </x:c>
      <x:c r="S15" s="14" t="str">
        <x:v>reviewed</x:v>
      </x:c>
      <x:c r="T15" s="14" t="str">
        <x:v>machine_assisted_reviewed</x:v>
      </x:c>
      <x:c r="U15" s="14" t="str">
        <x:v>1.0.0</x:v>
      </x:c>
      <x:c r="V15" s="14" t="str">
        <x:v>archaios_ellinikos_kosmos_entities_v0_1.csv</x:v>
      </x:c>
      <x:c r="W15" s="17" t="n">
        <x:v>46248</x:v>
      </x:c>
      <x:c r="X15" s="14" t="str">
        <x:v>Codex-assisted normalization of user research</x:v>
      </x:c>
    </x:row>
    <x:row r="16" ht="44" customHeight="1">
      <x:c r="A16" s="14" t="str">
        <x:v>city-epidaurus-city</x:v>
      </x:c>
      <x:c r="B16" s="14" t="str">
        <x:v>city-epidaurus-city</x:v>
      </x:c>
      <x:c r="C16" s="14" t="str">
        <x:v>settlement</x:v>
      </x:c>
      <x:c r="D16" s="14" t="str">
        <x:v>polis</x:v>
      </x:c>
      <x:c r="E16" s="14" t="str">
        <x:v>polis</x:v>
      </x:c>
      <x:c r="F16" s="14" t="str">
        <x:v>city</x:v>
      </x:c>
      <x:c r="G16" s="14" t="str">
        <x:v>Επίδαυρος</x:v>
      </x:c>
      <x:c r="H16" s="14" t="str">
        <x:v>Epidaurus</x:v>
      </x:c>
      <x:c r="I16" s="14" t="str">
        <x:v>Ἐπίδαυρος</x:v>
      </x:c>
      <x:c r="J16" s="16" t="str">
        <x:v>Παράκτια πόλη της Αργολίδας, πολιτικό κέντρο της επικράτειας όπου βρισκόταν και το Ασκληπιείο.</x:v>
      </x:c>
      <x:c r="K16" s="16" t="str">
        <x:v>A coastal city of Argolis and the political centre of the territory that also contained the sanctuary of Asclepius.</x:v>
      </x:c>
      <x:c r="L16" s="14"/>
      <x:c r="M16" s="14"/>
      <x:c r="N16" s="14"/>
      <x:c r="O16" s="14" t="str">
        <x:v>region-argolida</x:v>
      </x:c>
      <x:c r="P16" s="14" t="str">
        <x:v>approximate</x:v>
      </x:c>
      <x:c r="Q16" s="14" t="str">
        <x:v>high</x:v>
      </x:c>
      <x:c r="R16" s="14" t="str">
        <x:v>high</x:v>
      </x:c>
      <x:c r="S16" s="14" t="str">
        <x:v>reviewed</x:v>
      </x:c>
      <x:c r="T16" s="14" t="str">
        <x:v>machine_assisted_reviewed</x:v>
      </x:c>
      <x:c r="U16" s="14" t="str">
        <x:v>1.0.0</x:v>
      </x:c>
      <x:c r="V16" s="14" t="str">
        <x:v>archaios_ellinikos_kosmos_entities_v0_1.csv</x:v>
      </x:c>
      <x:c r="W16" s="17" t="n">
        <x:v>46248</x:v>
      </x:c>
      <x:c r="X16" s="14" t="str">
        <x:v>Codex-assisted normalization of user research</x:v>
      </x:c>
    </x:row>
    <x:row r="17" ht="44" customHeight="1">
      <x:c r="A17" s="14" t="str">
        <x:v>city-eretria-euboea</x:v>
      </x:c>
      <x:c r="B17" s="14" t="str">
        <x:v>city-eretria-euboea</x:v>
      </x:c>
      <x:c r="C17" s="14" t="str">
        <x:v>settlement</x:v>
      </x:c>
      <x:c r="D17" s="14" t="str">
        <x:v>polis</x:v>
      </x:c>
      <x:c r="E17" s="14" t="str">
        <x:v>polis</x:v>
      </x:c>
      <x:c r="F17" s="14" t="str">
        <x:v>city</x:v>
      </x:c>
      <x:c r="G17" s="14" t="str">
        <x:v>Ερέτρια</x:v>
      </x:c>
      <x:c r="H17" s="14" t="str">
        <x:v>Eretria</x:v>
      </x:c>
      <x:c r="I17" s="14" t="str">
        <x:v>Ἐρέτρια</x:v>
      </x:c>
      <x:c r="J17" s="16" t="str">
        <x:v>Ισχυρή ευβοϊκή πόλη με εμπορικά δίκτυα και αποικίες στο Αιγαίο και τη Δύση.</x:v>
      </x:c>
      <x:c r="K17" s="16" t="str">
        <x:v>Powerful Euboean city with trade networks and colonies in the Aegean and the West.</x:v>
      </x:c>
      <x:c r="L17" s="14"/>
      <x:c r="M17" s="14"/>
      <x:c r="N17" s="14"/>
      <x:c r="O17" s="14" t="str">
        <x:v>region-eyboia</x:v>
      </x:c>
      <x:c r="P17" s="14" t="str">
        <x:v>approximate</x:v>
      </x:c>
      <x:c r="Q17" s="14" t="str">
        <x:v>high</x:v>
      </x:c>
      <x:c r="R17" s="14" t="str">
        <x:v>high</x:v>
      </x:c>
      <x:c r="S17" s="14" t="str">
        <x:v>reviewed</x:v>
      </x:c>
      <x:c r="T17" s="14" t="str">
        <x:v>machine_assisted_reviewed</x:v>
      </x:c>
      <x:c r="U17" s="14" t="str">
        <x:v>1.0.0</x:v>
      </x:c>
      <x:c r="V17" s="14" t="str">
        <x:v>archaios_ellinikos_kosmos_entities_v0_1.csv</x:v>
      </x:c>
      <x:c r="W17" s="17" t="n">
        <x:v>46248</x:v>
      </x:c>
      <x:c r="X17" s="14" t="str">
        <x:v>Codex-assisted normalization of user research</x:v>
      </x:c>
    </x:row>
    <x:row r="18" ht="44" customHeight="1">
      <x:c r="A18" s="14" t="str">
        <x:v>city-gortyn</x:v>
      </x:c>
      <x:c r="B18" s="14" t="str">
        <x:v>city-gortyn</x:v>
      </x:c>
      <x:c r="C18" s="14" t="str">
        <x:v>settlement</x:v>
      </x:c>
      <x:c r="D18" s="14" t="str">
        <x:v>polis</x:v>
      </x:c>
      <x:c r="E18" s="14" t="str">
        <x:v>polis</x:v>
      </x:c>
      <x:c r="F18" s="14" t="str">
        <x:v>city</x:v>
      </x:c>
      <x:c r="G18" s="14" t="str">
        <x:v>Γόρτυνα</x:v>
      </x:c>
      <x:c r="H18" s="14" t="str">
        <x:v>Gortyn</x:v>
      </x:c>
      <x:c r="I18" s="14" t="str">
        <x:v>Γόρτυν</x:v>
      </x:c>
      <x:c r="J18" s="16" t="str">
        <x:v>Μεγάλη κρητική πόλη, γνωστή για τον αρχαϊκό νομικό κώδικα και τη ρωμαϊκή πρωτεύουσα Κρήτης και Κυρηναϊκής.</x:v>
      </x:c>
      <x:c r="K18" s="16" t="str">
        <x:v>Large Cretan city, known for its archaic legal code and the Roman capital of Crete and Cyrenaica.</x:v>
      </x:c>
      <x:c r="L18" s="14"/>
      <x:c r="M18" s="14"/>
      <x:c r="N18" s="14"/>
      <x:c r="O18" s="14" t="str">
        <x:v>region-krete</x:v>
      </x:c>
      <x:c r="P18" s="14" t="str">
        <x:v>approximate</x:v>
      </x:c>
      <x:c r="Q18" s="14" t="str">
        <x:v>high</x:v>
      </x:c>
      <x:c r="R18" s="14" t="str">
        <x:v>high</x:v>
      </x:c>
      <x:c r="S18" s="14" t="str">
        <x:v>reviewed</x:v>
      </x:c>
      <x:c r="T18" s="14" t="str">
        <x:v>machine_assisted_reviewed</x:v>
      </x:c>
      <x:c r="U18" s="14" t="str">
        <x:v>1.0.0</x:v>
      </x:c>
      <x:c r="V18" s="14" t="str">
        <x:v>archaios_ellinikos_kosmos_entities_v0_1.csv</x:v>
      </x:c>
      <x:c r="W18" s="17" t="n">
        <x:v>46248</x:v>
      </x:c>
      <x:c r="X18" s="14" t="str">
        <x:v>Codex-assisted normalization of user research</x:v>
      </x:c>
    </x:row>
    <x:row r="19" ht="44" customHeight="1">
      <x:c r="A19" s="14" t="str">
        <x:v>city-knossos</x:v>
      </x:c>
      <x:c r="B19" s="14" t="str">
        <x:v>city-knossos</x:v>
      </x:c>
      <x:c r="C19" s="14" t="str">
        <x:v>settlement</x:v>
      </x:c>
      <x:c r="D19" s="14" t="str">
        <x:v>polis</x:v>
      </x:c>
      <x:c r="E19" s="14" t="str">
        <x:v>polis</x:v>
      </x:c>
      <x:c r="F19" s="14" t="str">
        <x:v>city</x:v>
      </x:c>
      <x:c r="G19" s="14" t="str">
        <x:v>Κνωσός</x:v>
      </x:c>
      <x:c r="H19" s="14" t="str">
        <x:v>Knossos</x:v>
      </x:c>
      <x:c r="I19" s="14" t="str">
        <x:v>Κνωσός</x:v>
      </x:c>
      <x:c r="J19" s="16" t="str">
        <x:v>Πολυπερίοδη πόλη γύρω από το μινωικό ανακτορικό κέντρο, με συνεχή σημασία και στους ιστορικούς χρόνους.</x:v>
      </x:c>
      <x:c r="K19" s="16" t="str">
        <x:v>Multi-period city around the Minoan palatial center, with continuous importance in historical times as well.</x:v>
      </x:c>
      <x:c r="L19" s="14"/>
      <x:c r="M19" s="14"/>
      <x:c r="N19" s="14"/>
      <x:c r="O19" s="14" t="str">
        <x:v>region-krete</x:v>
      </x:c>
      <x:c r="P19" s="14" t="str">
        <x:v>approximate</x:v>
      </x:c>
      <x:c r="Q19" s="14" t="str">
        <x:v>high</x:v>
      </x:c>
      <x:c r="R19" s="14" t="str">
        <x:v>high</x:v>
      </x:c>
      <x:c r="S19" s="14" t="str">
        <x:v>reviewed</x:v>
      </x:c>
      <x:c r="T19" s="14" t="str">
        <x:v>machine_assisted_reviewed</x:v>
      </x:c>
      <x:c r="U19" s="14" t="str">
        <x:v>1.0.0</x:v>
      </x:c>
      <x:c r="V19" s="14" t="str">
        <x:v>archaios_ellinikos_kosmos_entities_v0_1.csv</x:v>
      </x:c>
      <x:c r="W19" s="17" t="n">
        <x:v>46248</x:v>
      </x:c>
      <x:c r="X19" s="14" t="str">
        <x:v>Codex-assisted normalization of user research</x:v>
      </x:c>
    </x:row>
    <x:row r="20" ht="44" customHeight="1">
      <x:c r="A20" s="14" t="str">
        <x:v>city-kos-city</x:v>
      </x:c>
      <x:c r="B20" s="14" t="str">
        <x:v>city-kos-city</x:v>
      </x:c>
      <x:c r="C20" s="14" t="str">
        <x:v>settlement</x:v>
      </x:c>
      <x:c r="D20" s="14" t="str">
        <x:v>polis</x:v>
      </x:c>
      <x:c r="E20" s="14" t="str">
        <x:v>polis</x:v>
      </x:c>
      <x:c r="F20" s="14" t="str">
        <x:v>city</x:v>
      </x:c>
      <x:c r="G20" s="14" t="str">
        <x:v>Κως</x:v>
      </x:c>
      <x:c r="H20" s="14" t="str">
        <x:v>Kos</x:v>
      </x:c>
      <x:c r="I20" s="14" t="str">
        <x:v>Κῶς</x:v>
      </x:c>
      <x:c r="J20" s="16" t="str">
        <x:v>Η νέα πόλη της Κω ιδρύθηκε με συνοικισμό το 366 π.Χ. και έγινε σημαντικό εμπορικό και ιατρικό κέντρο.</x:v>
      </x:c>
      <x:c r="K20" s="16" t="str">
        <x:v>The new city of Kos was founded by synoecism in 366 BCE and became an important commercial and medical centre.</x:v>
      </x:c>
      <x:c r="L20" s="14"/>
      <x:c r="M20" s="14"/>
      <x:c r="N20" s="14"/>
      <x:c r="O20" s="14" t="str">
        <x:v>region-kos-dodekanesa</x:v>
      </x:c>
      <x:c r="P20" s="14" t="str">
        <x:v>approximate</x:v>
      </x:c>
      <x:c r="Q20" s="14" t="str">
        <x:v>high</x:v>
      </x:c>
      <x:c r="R20" s="14" t="str">
        <x:v>high</x:v>
      </x:c>
      <x:c r="S20" s="14" t="str">
        <x:v>reviewed</x:v>
      </x:c>
      <x:c r="T20" s="14" t="str">
        <x:v>machine_assisted_reviewed</x:v>
      </x:c>
      <x:c r="U20" s="14" t="str">
        <x:v>1.0.0</x:v>
      </x:c>
      <x:c r="V20" s="14" t="str">
        <x:v>archaios_ellinikos_kosmos_entities_v0_1.csv</x:v>
      </x:c>
      <x:c r="W20" s="17" t="n">
        <x:v>46248</x:v>
      </x:c>
      <x:c r="X20" s="14" t="str">
        <x:v>Codex-assisted normalization of user research</x:v>
      </x:c>
    </x:row>
    <x:row r="21" ht="44" customHeight="1">
      <x:c r="A21" s="14" t="str">
        <x:v>city-larissa-thessaly</x:v>
      </x:c>
      <x:c r="B21" s="14" t="str">
        <x:v>city-larissa-thessaly</x:v>
      </x:c>
      <x:c r="C21" s="14" t="str">
        <x:v>settlement</x:v>
      </x:c>
      <x:c r="D21" s="14" t="str">
        <x:v>polis</x:v>
      </x:c>
      <x:c r="E21" s="14" t="str">
        <x:v>polis</x:v>
      </x:c>
      <x:c r="F21" s="14" t="str">
        <x:v>city</x:v>
      </x:c>
      <x:c r="G21" s="14" t="str">
        <x:v>Λάρισα</x:v>
      </x:c>
      <x:c r="H21" s="14" t="str">
        <x:v>Larissa</x:v>
      </x:c>
      <x:c r="I21" s="14" t="str">
        <x:v>Λάρισα</x:v>
      </x:c>
      <x:c r="J21" s="16" t="str">
        <x:v>Κεντρική θεσσαλική πόλη και έδρα της αριστοκρατικής οικογένειας των Αλευαδών.</x:v>
      </x:c>
      <x:c r="K21" s="16" t="str">
        <x:v>A central Thessalian city and seat of the aristocratic Aleuadae.</x:v>
      </x:c>
      <x:c r="L21" s="14"/>
      <x:c r="M21" s="14"/>
      <x:c r="N21" s="14"/>
      <x:c r="O21" s="14" t="str">
        <x:v>region-thessalia</x:v>
      </x:c>
      <x:c r="P21" s="14" t="str">
        <x:v>approximate</x:v>
      </x:c>
      <x:c r="Q21" s="14" t="str">
        <x:v>high</x:v>
      </x:c>
      <x:c r="R21" s="14" t="str">
        <x:v>high</x:v>
      </x:c>
      <x:c r="S21" s="14" t="str">
        <x:v>reviewed</x:v>
      </x:c>
      <x:c r="T21" s="14" t="str">
        <x:v>machine_assisted_reviewed</x:v>
      </x:c>
      <x:c r="U21" s="14" t="str">
        <x:v>1.0.0</x:v>
      </x:c>
      <x:c r="V21" s="14" t="str">
        <x:v>archaios_ellinikos_kosmos_entities_v0_1.csv</x:v>
      </x:c>
      <x:c r="W21" s="17" t="n">
        <x:v>46248</x:v>
      </x:c>
      <x:c r="X21" s="14" t="str">
        <x:v>Codex-assisted normalization of user research</x:v>
      </x:c>
    </x:row>
    <x:row r="22" ht="44" customHeight="1">
      <x:c r="A22" s="14" t="str">
        <x:v>city-lindos</x:v>
      </x:c>
      <x:c r="B22" s="14" t="str">
        <x:v>city-lindos</x:v>
      </x:c>
      <x:c r="C22" s="14" t="str">
        <x:v>settlement</x:v>
      </x:c>
      <x:c r="D22" s="14" t="str">
        <x:v>polis</x:v>
      </x:c>
      <x:c r="E22" s="14" t="str">
        <x:v>polis</x:v>
      </x:c>
      <x:c r="F22" s="14" t="str">
        <x:v>city</x:v>
      </x:c>
      <x:c r="G22" s="14" t="str">
        <x:v>Λίνδος</x:v>
      </x:c>
      <x:c r="H22" s="14" t="str">
        <x:v>Lindos</x:v>
      </x:c>
      <x:c r="I22" s="14" t="str">
        <x:v>Λίνδος</x:v>
      </x:c>
      <x:c r="J22" s="16" t="str">
        <x:v>Μία από τις τρεις αρχαίες πόλεις της Ρόδου, με ισχυρή ναυτική και αποικιακή παράδοση.</x:v>
      </x:c>
      <x:c r="K22" s="16" t="str">
        <x:v>One of the three ancient cities of Rhodes, with a strong maritime and colonial tradition.</x:v>
      </x:c>
      <x:c r="L22" s="14"/>
      <x:c r="M22" s="14"/>
      <x:c r="N22" s="14"/>
      <x:c r="O22" s="14" t="str">
        <x:v>region-rodos-dodekanesa</x:v>
      </x:c>
      <x:c r="P22" s="14" t="str">
        <x:v>approximate</x:v>
      </x:c>
      <x:c r="Q22" s="14" t="str">
        <x:v>high</x:v>
      </x:c>
      <x:c r="R22" s="14" t="str">
        <x:v>high</x:v>
      </x:c>
      <x:c r="S22" s="14" t="str">
        <x:v>reviewed</x:v>
      </x:c>
      <x:c r="T22" s="14" t="str">
        <x:v>machine_assisted_reviewed</x:v>
      </x:c>
      <x:c r="U22" s="14" t="str">
        <x:v>1.0.0</x:v>
      </x:c>
      <x:c r="V22" s="14" t="str">
        <x:v>archaios_ellinikos_kosmos_entities_v0_1.csv</x:v>
      </x:c>
      <x:c r="W22" s="17" t="n">
        <x:v>46248</x:v>
      </x:c>
      <x:c r="X22" s="14" t="str">
        <x:v>Codex-assisted normalization of user research</x:v>
      </x:c>
    </x:row>
    <x:row r="23" ht="44" customHeight="1">
      <x:c r="A23" s="14" t="str">
        <x:v>city-mantinea</x:v>
      </x:c>
      <x:c r="B23" s="14" t="str">
        <x:v>city-mantinea</x:v>
      </x:c>
      <x:c r="C23" s="14" t="str">
        <x:v>settlement</x:v>
      </x:c>
      <x:c r="D23" s="14" t="str">
        <x:v>polis</x:v>
      </x:c>
      <x:c r="E23" s="14" t="str">
        <x:v>polis</x:v>
      </x:c>
      <x:c r="F23" s="14" t="str">
        <x:v>city</x:v>
      </x:c>
      <x:c r="G23" s="14" t="str">
        <x:v>Μαντίνεια</x:v>
      </x:c>
      <x:c r="H23" s="14" t="str">
        <x:v>Mantinea</x:v>
      </x:c>
      <x:c r="I23" s="14" t="str">
        <x:v>Μαντίνεια</x:v>
      </x:c>
      <x:c r="J23" s="16" t="str">
        <x:v>Αρκαδική πόλη γνωστή για τις συγκρούσεις Σπάρτης και Θήβας στην πεδιάδα της.</x:v>
      </x:c>
      <x:c r="K23" s="16" t="str">
        <x:v>Arcadian city known for the clashes between Sparta and Thebes on its plain.</x:v>
      </x:c>
      <x:c r="L23" s="14"/>
      <x:c r="M23" s="14"/>
      <x:c r="N23" s="14"/>
      <x:c r="O23" s="14" t="str">
        <x:v>region-arkadia</x:v>
      </x:c>
      <x:c r="P23" s="14" t="str">
        <x:v>approximate</x:v>
      </x:c>
      <x:c r="Q23" s="14" t="str">
        <x:v>high</x:v>
      </x:c>
      <x:c r="R23" s="14" t="str">
        <x:v>high</x:v>
      </x:c>
      <x:c r="S23" s="14" t="str">
        <x:v>reviewed</x:v>
      </x:c>
      <x:c r="T23" s="14" t="str">
        <x:v>machine_assisted_reviewed</x:v>
      </x:c>
      <x:c r="U23" s="14" t="str">
        <x:v>1.0.0</x:v>
      </x:c>
      <x:c r="V23" s="14" t="str">
        <x:v>archaios_ellinikos_kosmos_entities_v0_1.csv</x:v>
      </x:c>
      <x:c r="W23" s="17" t="n">
        <x:v>46248</x:v>
      </x:c>
      <x:c r="X23" s="14" t="str">
        <x:v>Codex-assisted normalization of user research</x:v>
      </x:c>
    </x:row>
    <x:row r="24" ht="44" customHeight="1">
      <x:c r="A24" s="14" t="str">
        <x:v>city-megalopolis</x:v>
      </x:c>
      <x:c r="B24" s="14" t="str">
        <x:v>city-megalopolis</x:v>
      </x:c>
      <x:c r="C24" s="14" t="str">
        <x:v>settlement</x:v>
      </x:c>
      <x:c r="D24" s="14" t="str">
        <x:v>polis</x:v>
      </x:c>
      <x:c r="E24" s="14" t="str">
        <x:v>polis</x:v>
      </x:c>
      <x:c r="F24" s="14" t="str">
        <x:v>city</x:v>
      </x:c>
      <x:c r="G24" s="14" t="str">
        <x:v>Μεγαλόπολη</x:v>
      </x:c>
      <x:c r="H24" s="14" t="str">
        <x:v>Megalopolis</x:v>
      </x:c>
      <x:c r="I24" s="14" t="str">
        <x:v>Μεγάλη Πόλις</x:v>
      </x:c>
      <x:c r="J24" s="16" t="str">
        <x:v>Ομοσπονδιακό κέντρο του Κοινού των Αρκάδων, δημιουργημένο με συνοικισμό τον 4ο αιώνα π.Χ.</x:v>
      </x:c>
      <x:c r="K24" s="16" t="str">
        <x:v>Federal centre of the Arcadian League, created through synoecism in the fourth century BCE.</x:v>
      </x:c>
      <x:c r="L24" s="14"/>
      <x:c r="M24" s="14"/>
      <x:c r="N24" s="14"/>
      <x:c r="O24" s="14" t="str">
        <x:v>region-arkadia</x:v>
      </x:c>
      <x:c r="P24" s="14" t="str">
        <x:v>approximate</x:v>
      </x:c>
      <x:c r="Q24" s="14" t="str">
        <x:v>high</x:v>
      </x:c>
      <x:c r="R24" s="14" t="str">
        <x:v>high</x:v>
      </x:c>
      <x:c r="S24" s="14" t="str">
        <x:v>reviewed</x:v>
      </x:c>
      <x:c r="T24" s="14" t="str">
        <x:v>machine_assisted_reviewed</x:v>
      </x:c>
      <x:c r="U24" s="14" t="str">
        <x:v>1.0.0</x:v>
      </x:c>
      <x:c r="V24" s="14" t="str">
        <x:v>archaios_ellinikos_kosmos_entities_v0_1.csv</x:v>
      </x:c>
      <x:c r="W24" s="17" t="n">
        <x:v>46248</x:v>
      </x:c>
      <x:c r="X24" s="14" t="str">
        <x:v>Codex-assisted normalization of user research</x:v>
      </x:c>
    </x:row>
    <x:row r="25" ht="44" customHeight="1">
      <x:c r="A25" s="14" t="str">
        <x:v>city-megara</x:v>
      </x:c>
      <x:c r="B25" s="14" t="str">
        <x:v>city-megara</x:v>
      </x:c>
      <x:c r="C25" s="14" t="str">
        <x:v>settlement</x:v>
      </x:c>
      <x:c r="D25" s="14" t="str">
        <x:v>polis</x:v>
      </x:c>
      <x:c r="E25" s="14" t="str">
        <x:v>polis</x:v>
      </x:c>
      <x:c r="F25" s="14" t="str">
        <x:v>city</x:v>
      </x:c>
      <x:c r="G25" s="14" t="str">
        <x:v>Μέγαρα</x:v>
      </x:c>
      <x:c r="H25" s="14" t="str">
        <x:v>Megara</x:v>
      </x:c>
      <x:c r="I25" s="14" t="str">
        <x:v>Μέγαρα</x:v>
      </x:c>
      <x:c r="J25" s="16" t="str">
        <x:v>Πόλη μεταξύ Αττικής και Κορινθίας με εκτεταμένη αποικιακή δραστηριότητα.</x:v>
      </x:c>
      <x:c r="K25" s="16" t="str">
        <x:v>A city between Attica and Corinth with extensive colonial activity.</x:v>
      </x:c>
      <x:c r="L25" s="14"/>
      <x:c r="M25" s="14"/>
      <x:c r="N25" s="14"/>
      <x:c r="O25" s="14" t="str">
        <x:v>region-megarida</x:v>
      </x:c>
      <x:c r="P25" s="14" t="str">
        <x:v>approximate</x:v>
      </x:c>
      <x:c r="Q25" s="14" t="str">
        <x:v>high</x:v>
      </x:c>
      <x:c r="R25" s="14" t="str">
        <x:v>high</x:v>
      </x:c>
      <x:c r="S25" s="14" t="str">
        <x:v>reviewed</x:v>
      </x:c>
      <x:c r="T25" s="14" t="str">
        <x:v>machine_assisted_reviewed</x:v>
      </x:c>
      <x:c r="U25" s="14" t="str">
        <x:v>1.0.0</x:v>
      </x:c>
      <x:c r="V25" s="14" t="str">
        <x:v>archaios_ellinikos_kosmos_entities_v0_1.csv</x:v>
      </x:c>
      <x:c r="W25" s="17" t="n">
        <x:v>46248</x:v>
      </x:c>
      <x:c r="X25" s="14" t="str">
        <x:v>Codex-assisted normalization of user research</x:v>
      </x:c>
    </x:row>
    <x:row r="26" ht="44" customHeight="1">
      <x:c r="A26" s="14" t="str">
        <x:v>city-messene</x:v>
      </x:c>
      <x:c r="B26" s="14" t="str">
        <x:v>city-messene</x:v>
      </x:c>
      <x:c r="C26" s="14" t="str">
        <x:v>settlement</x:v>
      </x:c>
      <x:c r="D26" s="14" t="str">
        <x:v>polis</x:v>
      </x:c>
      <x:c r="E26" s="14" t="str">
        <x:v>polis</x:v>
      </x:c>
      <x:c r="F26" s="14" t="str">
        <x:v>city</x:v>
      </x:c>
      <x:c r="G26" s="14" t="str">
        <x:v>Μεσσήνη</x:v>
      </x:c>
      <x:c r="H26" s="14" t="str">
        <x:v>Messene</x:v>
      </x:c>
      <x:c r="I26" s="14" t="str">
        <x:v>Μεσσήνη</x:v>
      </x:c>
      <x:c r="J26" s="16" t="str">
        <x:v>Νέα πρωτεύουσα των ελεύθερων Μεσσηνίων, ιδρυμένη από τον Επαμεινώνδα το 369 π.Χ.</x:v>
      </x:c>
      <x:c r="K26" s="16" t="str">
        <x:v>New capital of the free Messenians, founded by Epaminondas in 369 BC.</x:v>
      </x:c>
      <x:c r="L26" s="14"/>
      <x:c r="M26" s="14"/>
      <x:c r="N26" s="14"/>
      <x:c r="O26" s="14" t="str">
        <x:v>region-messenia</x:v>
      </x:c>
      <x:c r="P26" s="14" t="str">
        <x:v>approximate</x:v>
      </x:c>
      <x:c r="Q26" s="14" t="str">
        <x:v>high</x:v>
      </x:c>
      <x:c r="R26" s="14" t="str">
        <x:v>high</x:v>
      </x:c>
      <x:c r="S26" s="14" t="str">
        <x:v>reviewed</x:v>
      </x:c>
      <x:c r="T26" s="14" t="str">
        <x:v>machine_assisted_reviewed</x:v>
      </x:c>
      <x:c r="U26" s="14" t="str">
        <x:v>1.0.0</x:v>
      </x:c>
      <x:c r="V26" s="14" t="str">
        <x:v>archaios_ellinikos_kosmos_entities_v0_1.csv</x:v>
      </x:c>
      <x:c r="W26" s="17" t="n">
        <x:v>46248</x:v>
      </x:c>
      <x:c r="X26" s="14" t="str">
        <x:v>Codex-assisted normalization of user research</x:v>
      </x:c>
    </x:row>
    <x:row r="27" ht="44" customHeight="1">
      <x:c r="A27" s="14" t="str">
        <x:v>city-mytilene</x:v>
      </x:c>
      <x:c r="B27" s="14" t="str">
        <x:v>city-mytilene</x:v>
      </x:c>
      <x:c r="C27" s="14" t="str">
        <x:v>settlement</x:v>
      </x:c>
      <x:c r="D27" s="14" t="str">
        <x:v>polis</x:v>
      </x:c>
      <x:c r="E27" s="14" t="str">
        <x:v>polis</x:v>
      </x:c>
      <x:c r="F27" s="14" t="str">
        <x:v>city</x:v>
      </x:c>
      <x:c r="G27" s="14" t="str">
        <x:v>Μυτιλήνη</x:v>
      </x:c>
      <x:c r="H27" s="14" t="str">
        <x:v>Mytilene</x:v>
      </x:c>
      <x:c r="I27" s="14" t="str">
        <x:v>Μυτιλήνη</x:v>
      </x:c>
      <x:c r="J27" s="16" t="str">
        <x:v>Κύρια πόλη της Λέσβου, σημαντικό αιολικό ναυτικό και πνευματικό κέντρο.</x:v>
      </x:c>
      <x:c r="K27" s="16" t="str">
        <x:v>The principal city of Lesbos and an important Aeolian naval and intellectual centre.</x:v>
      </x:c>
      <x:c r="L27" s="14"/>
      <x:c r="M27" s="14"/>
      <x:c r="N27" s="14"/>
      <x:c r="O27" s="14" t="str">
        <x:v>region-lesbos-aiolida</x:v>
      </x:c>
      <x:c r="P27" s="14" t="str">
        <x:v>approximate</x:v>
      </x:c>
      <x:c r="Q27" s="14" t="str">
        <x:v>high</x:v>
      </x:c>
      <x:c r="R27" s="14" t="str">
        <x:v>high</x:v>
      </x:c>
      <x:c r="S27" s="14" t="str">
        <x:v>reviewed</x:v>
      </x:c>
      <x:c r="T27" s="14" t="str">
        <x:v>machine_assisted_reviewed</x:v>
      </x:c>
      <x:c r="U27" s="14" t="str">
        <x:v>1.0.0</x:v>
      </x:c>
      <x:c r="V27" s="14" t="str">
        <x:v>archaios_ellinikos_kosmos_entities_v0_1.csv</x:v>
      </x:c>
      <x:c r="W27" s="17" t="n">
        <x:v>46248</x:v>
      </x:c>
      <x:c r="X27" s="14" t="str">
        <x:v>Codex-assisted normalization of user research</x:v>
      </x:c>
    </x:row>
    <x:row r="28" ht="44" customHeight="1">
      <x:c r="A28" s="14" t="str">
        <x:v>city-naxos-cyclades</x:v>
      </x:c>
      <x:c r="B28" s="14" t="str">
        <x:v>city-naxos-cyclades</x:v>
      </x:c>
      <x:c r="C28" s="14" t="str">
        <x:v>settlement</x:v>
      </x:c>
      <x:c r="D28" s="14" t="str">
        <x:v>polis</x:v>
      </x:c>
      <x:c r="E28" s="14" t="str">
        <x:v>polis</x:v>
      </x:c>
      <x:c r="F28" s="14" t="str">
        <x:v>city</x:v>
      </x:c>
      <x:c r="G28" s="14" t="str">
        <x:v>Νάξος</x:v>
      </x:c>
      <x:c r="H28" s="14" t="str">
        <x:v>Naxos</x:v>
      </x:c>
      <x:c r="I28" s="14" t="str">
        <x:v>Νάξος</x:v>
      </x:c>
      <x:c r="J28" s="16" t="str">
        <x:v>Κυριότερη πόλη της Νάξου και ισχυρό κυκλαδικό κέντρο της αρχαϊκής εποχής.</x:v>
      </x:c>
      <x:c r="K28" s="16" t="str">
        <x:v>Main city of Naxos and a strong Cycladic center of the Archaic era.</x:v>
      </x:c>
      <x:c r="L28" s="14"/>
      <x:c r="M28" s="14"/>
      <x:c r="N28" s="14"/>
      <x:c r="O28" s="14" t="str">
        <x:v>region-kyklades</x:v>
      </x:c>
      <x:c r="P28" s="14" t="str">
        <x:v>approximate</x:v>
      </x:c>
      <x:c r="Q28" s="14" t="str">
        <x:v>high</x:v>
      </x:c>
      <x:c r="R28" s="14" t="str">
        <x:v>high</x:v>
      </x:c>
      <x:c r="S28" s="14" t="str">
        <x:v>reviewed</x:v>
      </x:c>
      <x:c r="T28" s="14" t="str">
        <x:v>machine_assisted_reviewed</x:v>
      </x:c>
      <x:c r="U28" s="14" t="str">
        <x:v>1.0.0</x:v>
      </x:c>
      <x:c r="V28" s="14" t="str">
        <x:v>archaios_ellinikos_kosmos_entities_v0_1.csv</x:v>
      </x:c>
      <x:c r="W28" s="17" t="n">
        <x:v>46248</x:v>
      </x:c>
      <x:c r="X28" s="14" t="str">
        <x:v>Codex-assisted normalization of user research</x:v>
      </x:c>
    </x:row>
    <x:row r="29" ht="44" customHeight="1">
      <x:c r="A29" s="14" t="str">
        <x:v>city-olynthus</x:v>
      </x:c>
      <x:c r="B29" s="14" t="str">
        <x:v>city-olynthus</x:v>
      </x:c>
      <x:c r="C29" s="14" t="str">
        <x:v>settlement</x:v>
      </x:c>
      <x:c r="D29" s="14" t="str">
        <x:v>polis</x:v>
      </x:c>
      <x:c r="E29" s="14" t="str">
        <x:v>polis</x:v>
      </x:c>
      <x:c r="F29" s="14" t="str">
        <x:v>city</x:v>
      </x:c>
      <x:c r="G29" s="14" t="str">
        <x:v>Όλυνθος</x:v>
      </x:c>
      <x:c r="H29" s="14" t="str">
        <x:v>Olynthus</x:v>
      </x:c>
      <x:c r="I29" s="14" t="str">
        <x:v>Ὄλυνθος</x:v>
      </x:c>
      <x:c r="J29" s="16" t="str">
        <x:v>Κύριο κέντρο του Κοινού των Χαλκιδέων, καταστραμμένο από τον Φίλιππο Β΄ το 348 π.Χ.</x:v>
      </x:c>
      <x:c r="K29" s="16" t="str">
        <x:v>Principal centre of the Chalcidian League, destroyed by Philip II in 348 BCE.</x:v>
      </x:c>
      <x:c r="L29" s="14"/>
      <x:c r="M29" s="14"/>
      <x:c r="N29" s="14"/>
      <x:c r="O29" s="14" t="str">
        <x:v>region-chalkidike</x:v>
      </x:c>
      <x:c r="P29" s="14" t="str">
        <x:v>approximate</x:v>
      </x:c>
      <x:c r="Q29" s="14" t="str">
        <x:v>high</x:v>
      </x:c>
      <x:c r="R29" s="14" t="str">
        <x:v>high</x:v>
      </x:c>
      <x:c r="S29" s="14" t="str">
        <x:v>reviewed</x:v>
      </x:c>
      <x:c r="T29" s="14" t="str">
        <x:v>machine_assisted_reviewed</x:v>
      </x:c>
      <x:c r="U29" s="14" t="str">
        <x:v>1.0.0</x:v>
      </x:c>
      <x:c r="V29" s="14" t="str">
        <x:v>archaios_ellinikos_kosmos_entities_v0_1.csv</x:v>
      </x:c>
      <x:c r="W29" s="17" t="n">
        <x:v>46248</x:v>
      </x:c>
      <x:c r="X29" s="14" t="str">
        <x:v>Codex-assisted normalization of user research</x:v>
      </x:c>
    </x:row>
    <x:row r="30" ht="44" customHeight="1">
      <x:c r="A30" s="14" t="str">
        <x:v>city-patrae</x:v>
      </x:c>
      <x:c r="B30" s="14" t="str">
        <x:v>city-patrae</x:v>
      </x:c>
      <x:c r="C30" s="14" t="str">
        <x:v>settlement</x:v>
      </x:c>
      <x:c r="D30" s="14" t="str">
        <x:v>polis</x:v>
      </x:c>
      <x:c r="E30" s="14" t="str">
        <x:v>polis</x:v>
      </x:c>
      <x:c r="F30" s="14" t="str">
        <x:v>city</x:v>
      </x:c>
      <x:c r="G30" s="14" t="str">
        <x:v>Πάτρα</x:v>
      </x:c>
      <x:c r="H30" s="14" t="str">
        <x:v>Patrae</x:v>
      </x:c>
      <x:c r="I30" s="14" t="str">
        <x:v>Πάτραι</x:v>
      </x:c>
      <x:c r="J30" s="16" t="str">
        <x:v>Αχαϊκή πόλη που αναπτύχθηκε ιδιαίτερα ως λιμάνι και ρωμαϊκή αποικία.</x:v>
      </x:c>
      <x:c r="K30" s="16" t="str">
        <x:v>Achaean city that developed especially as a port and Roman colony.</x:v>
      </x:c>
      <x:c r="L30" s="14"/>
      <x:c r="M30" s="14"/>
      <x:c r="N30" s="14"/>
      <x:c r="O30" s="14" t="str">
        <x:v>region-achaia</x:v>
      </x:c>
      <x:c r="P30" s="14" t="str">
        <x:v>approximate</x:v>
      </x:c>
      <x:c r="Q30" s="14" t="str">
        <x:v>high</x:v>
      </x:c>
      <x:c r="R30" s="14" t="str">
        <x:v>high</x:v>
      </x:c>
      <x:c r="S30" s="14" t="str">
        <x:v>reviewed</x:v>
      </x:c>
      <x:c r="T30" s="14" t="str">
        <x:v>machine_assisted_reviewed</x:v>
      </x:c>
      <x:c r="U30" s="14" t="str">
        <x:v>1.0.0</x:v>
      </x:c>
      <x:c r="V30" s="14" t="str">
        <x:v>archaios_ellinikos_kosmos_entities_v0_1.csv</x:v>
      </x:c>
      <x:c r="W30" s="17" t="n">
        <x:v>46248</x:v>
      </x:c>
      <x:c r="X30" s="14" t="str">
        <x:v>Codex-assisted normalization of user research</x:v>
      </x:c>
    </x:row>
    <x:row r="31" ht="44" customHeight="1">
      <x:c r="A31" s="14" t="str">
        <x:v>city-pella</x:v>
      </x:c>
      <x:c r="B31" s="14" t="str">
        <x:v>city-pella</x:v>
      </x:c>
      <x:c r="C31" s="14" t="str">
        <x:v>settlement</x:v>
      </x:c>
      <x:c r="D31" s="14" t="str">
        <x:v>polis</x:v>
      </x:c>
      <x:c r="E31" s="14" t="str">
        <x:v>polis</x:v>
      </x:c>
      <x:c r="F31" s="14" t="str">
        <x:v>city</x:v>
      </x:c>
      <x:c r="G31" s="14" t="str">
        <x:v>Πέλλα</x:v>
      </x:c>
      <x:c r="H31" s="14" t="str">
        <x:v>Pella</x:v>
      </x:c>
      <x:c r="I31" s="14" t="str">
        <x:v>Πέλλα</x:v>
      </x:c>
      <x:c r="J31" s="16" t="str">
        <x:v>Πρωτεύουσα του μακεδονικού βασιλείου από τον 4ο αιώνα π.Χ. και γενέτειρα του Αλεξάνδρου.</x:v>
      </x:c>
      <x:c r="K31" s="16" t="str">
        <x:v>Capital of the Macedonian kingdom since the 4th century BC. and birthplace of Alexander.</x:v>
      </x:c>
      <x:c r="L31" s="14"/>
      <x:c r="M31" s="14"/>
      <x:c r="N31" s="14"/>
      <x:c r="O31" s="14" t="str">
        <x:v>region-makedonia</x:v>
      </x:c>
      <x:c r="P31" s="14" t="str">
        <x:v>approximate</x:v>
      </x:c>
      <x:c r="Q31" s="14" t="str">
        <x:v>high</x:v>
      </x:c>
      <x:c r="R31" s="14" t="str">
        <x:v>high</x:v>
      </x:c>
      <x:c r="S31" s="14" t="str">
        <x:v>reviewed</x:v>
      </x:c>
      <x:c r="T31" s="14" t="str">
        <x:v>machine_assisted_reviewed</x:v>
      </x:c>
      <x:c r="U31" s="14" t="str">
        <x:v>1.0.0</x:v>
      </x:c>
      <x:c r="V31" s="14" t="str">
        <x:v>archaios_ellinikos_kosmos_entities_v0_1.csv</x:v>
      </x:c>
      <x:c r="W31" s="17" t="n">
        <x:v>46248</x:v>
      </x:c>
      <x:c r="X31" s="14" t="str">
        <x:v>Codex-assisted normalization of user research</x:v>
      </x:c>
    </x:row>
    <x:row r="32" ht="44" customHeight="1">
      <x:c r="A32" s="14" t="str">
        <x:v>city-pergamum</x:v>
      </x:c>
      <x:c r="B32" s="14" t="str">
        <x:v>city-pergamum</x:v>
      </x:c>
      <x:c r="C32" s="14" t="str">
        <x:v>settlement</x:v>
      </x:c>
      <x:c r="D32" s="14" t="str">
        <x:v>polis</x:v>
      </x:c>
      <x:c r="E32" s="14" t="str">
        <x:v>polis</x:v>
      </x:c>
      <x:c r="F32" s="14" t="str">
        <x:v>city</x:v>
      </x:c>
      <x:c r="G32" s="14" t="str">
        <x:v>Πέργαμος</x:v>
      </x:c>
      <x:c r="H32" s="14" t="str">
        <x:v>Pergamum</x:v>
      </x:c>
      <x:c r="I32" s="14" t="str">
        <x:v>Πέργαμον</x:v>
      </x:c>
      <x:c r="J32" s="16" t="str">
        <x:v>Οχυρή ελληνιστική πρωτεύουσα των Ατταλιδών και μεγάλο διοικητικό και πολιτιστικό κέντρο.</x:v>
      </x:c>
      <x:c r="K32" s="16" t="str">
        <x:v>Fortified Hellenistic capital of the Attalids and a large administrative and cultural center.</x:v>
      </x:c>
      <x:c r="L32" s="14"/>
      <x:c r="M32" s="14"/>
      <x:c r="N32" s="14"/>
      <x:c r="O32" s="14" t="str">
        <x:v>region-mysia</x:v>
      </x:c>
      <x:c r="P32" s="14" t="str">
        <x:v>approximate</x:v>
      </x:c>
      <x:c r="Q32" s="14" t="str">
        <x:v>high</x:v>
      </x:c>
      <x:c r="R32" s="14" t="str">
        <x:v>high</x:v>
      </x:c>
      <x:c r="S32" s="14" t="str">
        <x:v>reviewed</x:v>
      </x:c>
      <x:c r="T32" s="14" t="str">
        <x:v>machine_assisted_reviewed</x:v>
      </x:c>
      <x:c r="U32" s="14" t="str">
        <x:v>1.0.0</x:v>
      </x:c>
      <x:c r="V32" s="14" t="str">
        <x:v>archaios_ellinikos_kosmos_entities_v0_1.csv</x:v>
      </x:c>
      <x:c r="W32" s="17" t="n">
        <x:v>46248</x:v>
      </x:c>
      <x:c r="X32" s="14" t="str">
        <x:v>Codex-assisted normalization of user research</x:v>
      </x:c>
    </x:row>
    <x:row r="33" ht="44" customHeight="1">
      <x:c r="A33" s="14" t="str">
        <x:v>city-pherae-thessaly</x:v>
      </x:c>
      <x:c r="B33" s="14" t="str">
        <x:v>city-pherae-thessaly</x:v>
      </x:c>
      <x:c r="C33" s="14" t="str">
        <x:v>settlement</x:v>
      </x:c>
      <x:c r="D33" s="14" t="str">
        <x:v>polis</x:v>
      </x:c>
      <x:c r="E33" s="14" t="str">
        <x:v>polis</x:v>
      </x:c>
      <x:c r="F33" s="14" t="str">
        <x:v>city</x:v>
      </x:c>
      <x:c r="G33" s="14" t="str">
        <x:v>Φερές</x:v>
      </x:c>
      <x:c r="H33" s="14" t="str">
        <x:v>Pherae</x:v>
      </x:c>
      <x:c r="I33" s="14" t="str">
        <x:v>Φεραί</x:v>
      </x:c>
      <x:c r="J33" s="16" t="str">
        <x:v>Ισχυρή θεσσαλική πόλη που κυριάρχησε στην περιοχή υπό τον Ιάσονα των Φερών.</x:v>
      </x:c>
      <x:c r="K33" s="16" t="str">
        <x:v>A powerful Thessalian city that dominated the region under Jason of Pherae.</x:v>
      </x:c>
      <x:c r="L33" s="14"/>
      <x:c r="M33" s="14"/>
      <x:c r="N33" s="14"/>
      <x:c r="O33" s="14" t="str">
        <x:v>region-thessalia</x:v>
      </x:c>
      <x:c r="P33" s="14" t="str">
        <x:v>approximate</x:v>
      </x:c>
      <x:c r="Q33" s="14" t="str">
        <x:v>high</x:v>
      </x:c>
      <x:c r="R33" s="14" t="str">
        <x:v>high</x:v>
      </x:c>
      <x:c r="S33" s="14" t="str">
        <x:v>reviewed</x:v>
      </x:c>
      <x:c r="T33" s="14" t="str">
        <x:v>machine_assisted_reviewed</x:v>
      </x:c>
      <x:c r="U33" s="14" t="str">
        <x:v>1.0.0</x:v>
      </x:c>
      <x:c r="V33" s="14" t="str">
        <x:v>archaios_ellinikos_kosmos_entities_v0_1.csv</x:v>
      </x:c>
      <x:c r="W33" s="17" t="n">
        <x:v>46248</x:v>
      </x:c>
      <x:c r="X33" s="14" t="str">
        <x:v>Codex-assisted normalization of user research</x:v>
      </x:c>
    </x:row>
    <x:row r="34" ht="44" customHeight="1">
      <x:c r="A34" s="14" t="str">
        <x:v>city-piraeus</x:v>
      </x:c>
      <x:c r="B34" s="14" t="str">
        <x:v>city-piraeus</x:v>
      </x:c>
      <x:c r="C34" s="14" t="str">
        <x:v>settlement</x:v>
      </x:c>
      <x:c r="D34" s="14" t="str">
        <x:v>polis</x:v>
      </x:c>
      <x:c r="E34" s="14" t="str">
        <x:v>polis</x:v>
      </x:c>
      <x:c r="F34" s="14" t="str">
        <x:v>city</x:v>
      </x:c>
      <x:c r="G34" s="14" t="str">
        <x:v>Πειραιάς</x:v>
      </x:c>
      <x:c r="H34" s="14" t="str">
        <x:v>Piraeus</x:v>
      </x:c>
      <x:c r="I34" s="14" t="str">
        <x:v>Πειραιεύς</x:v>
      </x:c>
      <x:c r="J34" s="16" t="str">
        <x:v>Οχυρωμένο επίνειο της Αθήνας, οργανωμένο ως κύρια βάση του αθηναϊκού στόλου στις αρχές του 5ου αιώνα π.Χ.</x:v>
      </x:c>
      <x:c r="K34" s="16" t="str">
        <x:v>A fortified port of Athens, organized as the main base of the Athenian fleet at the beginning of the 5th century BC.</x:v>
      </x:c>
      <x:c r="L34" s="14"/>
      <x:c r="M34" s="14"/>
      <x:c r="N34" s="14"/>
      <x:c r="O34" s="14" t="str">
        <x:v>region-attike</x:v>
      </x:c>
      <x:c r="P34" s="14" t="str">
        <x:v>approximate</x:v>
      </x:c>
      <x:c r="Q34" s="14" t="str">
        <x:v>high</x:v>
      </x:c>
      <x:c r="R34" s="14" t="str">
        <x:v>high</x:v>
      </x:c>
      <x:c r="S34" s="14" t="str">
        <x:v>reviewed</x:v>
      </x:c>
      <x:c r="T34" s="14" t="str">
        <x:v>machine_assisted_reviewed</x:v>
      </x:c>
      <x:c r="U34" s="14" t="str">
        <x:v>1.0.0</x:v>
      </x:c>
      <x:c r="V34" s="14" t="str">
        <x:v>archaios_ellinikos_kosmos_entities_v0_1.csv</x:v>
      </x:c>
      <x:c r="W34" s="17" t="n">
        <x:v>46248</x:v>
      </x:c>
      <x:c r="X34" s="14" t="str">
        <x:v>Codex-assisted normalization of user research</x:v>
      </x:c>
    </x:row>
    <x:row r="35" ht="44" customHeight="1">
      <x:c r="A35" s="14" t="str">
        <x:v>city-ptolemais-cyrenaica</x:v>
      </x:c>
      <x:c r="B35" s="14" t="str">
        <x:v>city-ptolemais-cyrenaica</x:v>
      </x:c>
      <x:c r="C35" s="14" t="str">
        <x:v>settlement</x:v>
      </x:c>
      <x:c r="D35" s="14" t="str">
        <x:v>polis</x:v>
      </x:c>
      <x:c r="E35" s="14" t="str">
        <x:v>polis</x:v>
      </x:c>
      <x:c r="F35" s="14" t="str">
        <x:v>city</x:v>
      </x:c>
      <x:c r="G35" s="14" t="str">
        <x:v>Πτολεμαΐδα Κυρηναϊκής</x:v>
      </x:c>
      <x:c r="H35" s="14" t="str">
        <x:v>Ptolemais of Cyrenaica</x:v>
      </x:c>
      <x:c r="I35" s="14" t="str">
        <x:v>Πτολεμαΐς</x:v>
      </x:c>
      <x:c r="J35" s="16" t="str">
        <x:v>Η ελληνιστική πόλη που αναπτύχθηκε από το λιμάνι της Βάρκης και έγινε σημαντικό κέντρο της Κυρηναϊκής.</x:v>
      </x:c>
      <x:c r="K35" s="16" t="str">
        <x:v>A Hellenistic city that developed from the port of Barca and became an important centre of Cyrenaica.</x:v>
      </x:c>
      <x:c r="L35" s="14"/>
      <x:c r="M35" s="14"/>
      <x:c r="N35" s="14"/>
      <x:c r="O35" s="14" t="str">
        <x:v>region-kyrenaike</x:v>
      </x:c>
      <x:c r="P35" s="14" t="str">
        <x:v>approximate</x:v>
      </x:c>
      <x:c r="Q35" s="14" t="str">
        <x:v>medium</x:v>
      </x:c>
      <x:c r="R35" s="14" t="str">
        <x:v>medium</x:v>
      </x:c>
      <x:c r="S35" s="14" t="str">
        <x:v>reviewed</x:v>
      </x:c>
      <x:c r="T35" s="14" t="str">
        <x:v>machine_assisted_reviewed</x:v>
      </x:c>
      <x:c r="U35" s="14" t="str">
        <x:v>1.0.0</x:v>
      </x:c>
      <x:c r="V35" s="14" t="str">
        <x:v>archaios_ellinikos_kosmos_entities_v0_1.csv</x:v>
      </x:c>
      <x:c r="W35" s="17" t="n">
        <x:v>46249</x:v>
      </x:c>
      <x:c r="X35" s="14" t="str">
        <x:v>Codex-assisted scholarly review</x:v>
      </x:c>
    </x:row>
    <x:row r="36" ht="44" customHeight="1">
      <x:c r="A36" s="14" t="str">
        <x:v>city-pydna</x:v>
      </x:c>
      <x:c r="B36" s="14" t="str">
        <x:v>city-pydna</x:v>
      </x:c>
      <x:c r="C36" s="14" t="str">
        <x:v>settlement</x:v>
      </x:c>
      <x:c r="D36" s="14" t="str">
        <x:v>polis</x:v>
      </x:c>
      <x:c r="E36" s="14" t="str">
        <x:v>polis</x:v>
      </x:c>
      <x:c r="F36" s="14" t="str">
        <x:v>city</x:v>
      </x:c>
      <x:c r="G36" s="14" t="str">
        <x:v>Πύδνα</x:v>
      </x:c>
      <x:c r="H36" s="14" t="str">
        <x:v>Pydna</x:v>
      </x:c>
      <x:c r="I36" s="14" t="str">
        <x:v>Πύδνα</x:v>
      </x:c>
      <x:c r="J36" s="16" t="str">
        <x:v>Μακεδονικό λιμάνι, γνωστό και από τη ρωμαϊκή νίκη επί του Περσέα το 168 π.Χ.</x:v>
      </x:c>
      <x:c r="K36" s="16" t="str">
        <x:v>Macedonian port, also known from the Roman victory over Perseus in 168 BC.</x:v>
      </x:c>
      <x:c r="L36" s="14"/>
      <x:c r="M36" s="14"/>
      <x:c r="N36" s="14"/>
      <x:c r="O36" s="14" t="str">
        <x:v>region-makedonia</x:v>
      </x:c>
      <x:c r="P36" s="14" t="str">
        <x:v>approximate</x:v>
      </x:c>
      <x:c r="Q36" s="14" t="str">
        <x:v>high</x:v>
      </x:c>
      <x:c r="R36" s="14" t="str">
        <x:v>high</x:v>
      </x:c>
      <x:c r="S36" s="14" t="str">
        <x:v>reviewed</x:v>
      </x:c>
      <x:c r="T36" s="14" t="str">
        <x:v>machine_assisted_reviewed</x:v>
      </x:c>
      <x:c r="U36" s="14" t="str">
        <x:v>1.0.0</x:v>
      </x:c>
      <x:c r="V36" s="14" t="str">
        <x:v>archaios_ellinikos_kosmos_entities_v0_1.csv</x:v>
      </x:c>
      <x:c r="W36" s="17" t="n">
        <x:v>46248</x:v>
      </x:c>
      <x:c r="X36" s="14" t="str">
        <x:v>Codex-assisted normalization of user research</x:v>
      </x:c>
    </x:row>
    <x:row r="37" ht="44" customHeight="1">
      <x:c r="A37" s="14" t="str">
        <x:v>city-rhodes-city</x:v>
      </x:c>
      <x:c r="B37" s="14" t="str">
        <x:v>city-rhodes-city</x:v>
      </x:c>
      <x:c r="C37" s="14" t="str">
        <x:v>settlement</x:v>
      </x:c>
      <x:c r="D37" s="14" t="str">
        <x:v>polis</x:v>
      </x:c>
      <x:c r="E37" s="14" t="str">
        <x:v>polis</x:v>
      </x:c>
      <x:c r="F37" s="14" t="str">
        <x:v>city</x:v>
      </x:c>
      <x:c r="G37" s="14" t="str">
        <x:v>Ρόδος</x:v>
      </x:c>
      <x:c r="H37" s="14" t="str">
        <x:v>Rhodes</x:v>
      </x:c>
      <x:c r="I37" s="14" t="str">
        <x:v>Ῥόδος</x:v>
      </x:c>
      <x:c r="J37" s="16" t="str">
        <x:v>Νέα ομοσπονδιακή πρωτεύουσα του νησιού, ιδρυμένη με συνοικισμό το 408/407 π.Χ.</x:v>
      </x:c>
      <x:c r="K37" s="16" t="str">
        <x:v>The island's new federal capital, founded through synoecism in 408/407 BCE.</x:v>
      </x:c>
      <x:c r="L37" s="14"/>
      <x:c r="M37" s="14"/>
      <x:c r="N37" s="14"/>
      <x:c r="O37" s="14" t="str">
        <x:v>region-rodos-dodekanesa</x:v>
      </x:c>
      <x:c r="P37" s="14" t="str">
        <x:v>approximate</x:v>
      </x:c>
      <x:c r="Q37" s="14" t="str">
        <x:v>high</x:v>
      </x:c>
      <x:c r="R37" s="14" t="str">
        <x:v>high</x:v>
      </x:c>
      <x:c r="S37" s="14" t="str">
        <x:v>reviewed</x:v>
      </x:c>
      <x:c r="T37" s="14" t="str">
        <x:v>machine_assisted_reviewed</x:v>
      </x:c>
      <x:c r="U37" s="14" t="str">
        <x:v>1.0.0</x:v>
      </x:c>
      <x:c r="V37" s="14" t="str">
        <x:v>archaios_ellinikos_kosmos_entities_v0_1.csv</x:v>
      </x:c>
      <x:c r="W37" s="17" t="n">
        <x:v>46248</x:v>
      </x:c>
      <x:c r="X37" s="14" t="str">
        <x:v>Codex-assisted normalization of user research</x:v>
      </x:c>
    </x:row>
    <x:row r="38" ht="44" customHeight="1">
      <x:c r="A38" s="14" t="str">
        <x:v>city-samos-city</x:v>
      </x:c>
      <x:c r="B38" s="14" t="str">
        <x:v>city-samos-city</x:v>
      </x:c>
      <x:c r="C38" s="14" t="str">
        <x:v>settlement</x:v>
      </x:c>
      <x:c r="D38" s="14" t="str">
        <x:v>polis</x:v>
      </x:c>
      <x:c r="E38" s="14" t="str">
        <x:v>polis</x:v>
      </x:c>
      <x:c r="F38" s="14" t="str">
        <x:v>city</x:v>
      </x:c>
      <x:c r="G38" s="14" t="str">
        <x:v>Σάμος</x:v>
      </x:c>
      <x:c r="H38" s="14" t="str">
        <x:v>Samos</x:v>
      </x:c>
      <x:c r="I38" s="14" t="str">
        <x:v>Σάμος</x:v>
      </x:c>
      <x:c r="J38" s="16" t="str">
        <x:v>Ιωνική πόλη και ναυτική δύναμη, ιδιαίτερα ακμαία υπό τον Πολυκράτη τον 6ο αιώνα π.Χ.</x:v>
      </x:c>
      <x:c r="K38" s="16" t="str">
        <x:v>Ionian city and naval power, particularly prosperous under Polycrates in the 6th century BC.</x:v>
      </x:c>
      <x:c r="L38" s="14"/>
      <x:c r="M38" s="14"/>
      <x:c r="N38" s="14"/>
      <x:c r="O38" s="14" t="str">
        <x:v>region-ionia-samos</x:v>
      </x:c>
      <x:c r="P38" s="14" t="str">
        <x:v>approximate</x:v>
      </x:c>
      <x:c r="Q38" s="14" t="str">
        <x:v>high</x:v>
      </x:c>
      <x:c r="R38" s="14" t="str">
        <x:v>high</x:v>
      </x:c>
      <x:c r="S38" s="14" t="str">
        <x:v>reviewed</x:v>
      </x:c>
      <x:c r="T38" s="14" t="str">
        <x:v>machine_assisted_reviewed</x:v>
      </x:c>
      <x:c r="U38" s="14" t="str">
        <x:v>1.0.0</x:v>
      </x:c>
      <x:c r="V38" s="14" t="str">
        <x:v>archaios_ellinikos_kosmos_entities_v0_1.csv</x:v>
      </x:c>
      <x:c r="W38" s="17" t="n">
        <x:v>46248</x:v>
      </x:c>
      <x:c r="X38" s="14" t="str">
        <x:v>Codex-assisted normalization of user research</x:v>
      </x:c>
    </x:row>
    <x:row r="39" ht="44" customHeight="1">
      <x:c r="A39" s="14" t="str">
        <x:v>city-sicyon</x:v>
      </x:c>
      <x:c r="B39" s="14" t="str">
        <x:v>city-sicyon</x:v>
      </x:c>
      <x:c r="C39" s="14" t="str">
        <x:v>settlement</x:v>
      </x:c>
      <x:c r="D39" s="14" t="str">
        <x:v>polis</x:v>
      </x:c>
      <x:c r="E39" s="14" t="str">
        <x:v>polis</x:v>
      </x:c>
      <x:c r="F39" s="14" t="str">
        <x:v>city</x:v>
      </x:c>
      <x:c r="G39" s="14" t="str">
        <x:v>Σικυώνα</x:v>
      </x:c>
      <x:c r="H39" s="14" t="str">
        <x:v>Sicyon</x:v>
      </x:c>
      <x:c r="I39" s="14" t="str">
        <x:v>Σικυών</x:v>
      </x:c>
      <x:c r="J39" s="16" t="str">
        <x:v>Πόλη της βόρειας Πελοποννήσου, ιδιαίτερα γνωστή για τη γλυπτική και τη ζωγραφική της παράδοση.</x:v>
      </x:c>
      <x:c r="K39" s="16" t="str">
        <x:v>City of the northern Peloponnese, particularly known for its sculpture and painting tradition.</x:v>
      </x:c>
      <x:c r="L39" s="14"/>
      <x:c r="M39" s="14"/>
      <x:c r="N39" s="14"/>
      <x:c r="O39" s="14" t="str">
        <x:v>region-korinthia</x:v>
      </x:c>
      <x:c r="P39" s="14" t="str">
        <x:v>approximate</x:v>
      </x:c>
      <x:c r="Q39" s="14" t="str">
        <x:v>high</x:v>
      </x:c>
      <x:c r="R39" s="14" t="str">
        <x:v>high</x:v>
      </x:c>
      <x:c r="S39" s="14" t="str">
        <x:v>reviewed</x:v>
      </x:c>
      <x:c r="T39" s="14" t="str">
        <x:v>machine_assisted_reviewed</x:v>
      </x:c>
      <x:c r="U39" s="14" t="str">
        <x:v>1.0.0</x:v>
      </x:c>
      <x:c r="V39" s="14" t="str">
        <x:v>archaios_ellinikos_kosmos_entities_v0_1.csv</x:v>
      </x:c>
      <x:c r="W39" s="17" t="n">
        <x:v>46248</x:v>
      </x:c>
      <x:c r="X39" s="14" t="str">
        <x:v>Codex-assisted normalization of user research</x:v>
      </x:c>
    </x:row>
    <x:row r="40" ht="44" customHeight="1">
      <x:c r="A40" s="14" t="str">
        <x:v>city-smyrna</x:v>
      </x:c>
      <x:c r="B40" s="14" t="str">
        <x:v>city-smyrna</x:v>
      </x:c>
      <x:c r="C40" s="14" t="str">
        <x:v>settlement</x:v>
      </x:c>
      <x:c r="D40" s="14" t="str">
        <x:v>polis</x:v>
      </x:c>
      <x:c r="E40" s="14" t="str">
        <x:v>polis</x:v>
      </x:c>
      <x:c r="F40" s="14" t="str">
        <x:v>city</x:v>
      </x:c>
      <x:c r="G40" s="14" t="str">
        <x:v>Σμύρνη</x:v>
      </x:c>
      <x:c r="H40" s="14" t="str">
        <x:v>Smyrna</x:v>
      </x:c>
      <x:c r="I40" s="14" t="str">
        <x:v>Σμύρνα</x:v>
      </x:c>
      <x:c r="J40" s="16" t="str">
        <x:v>Η ελληνιστική Σμύρνη ιδρύθηκε εκ νέου κοντά στο όρος Πάγος, διαδεχόμενη την παλαιότερη πόλη στο Μπαϊρακλί.</x:v>
      </x:c>
      <x:c r="K40" s="16" t="str">
        <x:v>Hellenistic Smyrna was re-founded near Mount Pagos, succeeding the older city at Bayrakli.</x:v>
      </x:c>
      <x:c r="L40" s="14"/>
      <x:c r="M40" s="14"/>
      <x:c r="N40" s="14"/>
      <x:c r="O40" s="14" t="str">
        <x:v>region-ionia</x:v>
      </x:c>
      <x:c r="P40" s="14" t="str">
        <x:v>approximate</x:v>
      </x:c>
      <x:c r="Q40" s="14" t="str">
        <x:v>high</x:v>
      </x:c>
      <x:c r="R40" s="14" t="str">
        <x:v>high</x:v>
      </x:c>
      <x:c r="S40" s="14" t="str">
        <x:v>reviewed</x:v>
      </x:c>
      <x:c r="T40" s="14" t="str">
        <x:v>machine_assisted_reviewed</x:v>
      </x:c>
      <x:c r="U40" s="14" t="str">
        <x:v>1.0.0</x:v>
      </x:c>
      <x:c r="V40" s="14" t="str">
        <x:v>archaios_ellinikos_kosmos_entities_v0_1.csv</x:v>
      </x:c>
      <x:c r="W40" s="17" t="n">
        <x:v>46248</x:v>
      </x:c>
      <x:c r="X40" s="14" t="str">
        <x:v>Codex-assisted normalization of user research</x:v>
      </x:c>
    </x:row>
    <x:row r="41" ht="44" customHeight="1">
      <x:c r="A41" s="14" t="str">
        <x:v>city-sparta</x:v>
      </x:c>
      <x:c r="B41" s="14" t="str">
        <x:v>city-sparta</x:v>
      </x:c>
      <x:c r="C41" s="14" t="str">
        <x:v>settlement</x:v>
      </x:c>
      <x:c r="D41" s="14" t="str">
        <x:v>polis</x:v>
      </x:c>
      <x:c r="E41" s="14" t="str">
        <x:v>polis</x:v>
      </x:c>
      <x:c r="F41" s="14" t="str">
        <x:v>city</x:v>
      </x:c>
      <x:c r="G41" s="14" t="str">
        <x:v>Σπάρτη</x:v>
      </x:c>
      <x:c r="H41" s="14" t="str">
        <x:v>Sparta</x:v>
      </x:c>
      <x:c r="I41" s="14" t="str">
        <x:v>Σπάρτη</x:v>
      </x:c>
      <x:c r="J41" s="16" t="str">
        <x:v>Δωρική πόλη της Λακωνίας, γνωστή για το στρατιωτικό και πολιτειακό της σύστημα.</x:v>
      </x:c>
      <x:c r="K41" s="16" t="str">
        <x:v>Doric city of Laconia, known for its military and political system.</x:v>
      </x:c>
      <x:c r="L41" s="14"/>
      <x:c r="M41" s="14"/>
      <x:c r="N41" s="14"/>
      <x:c r="O41" s="14" t="str">
        <x:v>region-lakonia</x:v>
      </x:c>
      <x:c r="P41" s="14" t="str">
        <x:v>approximate</x:v>
      </x:c>
      <x:c r="Q41" s="14" t="str">
        <x:v>high</x:v>
      </x:c>
      <x:c r="R41" s="14" t="str">
        <x:v>high</x:v>
      </x:c>
      <x:c r="S41" s="14" t="str">
        <x:v>reviewed</x:v>
      </x:c>
      <x:c r="T41" s="14" t="str">
        <x:v>machine_assisted_reviewed</x:v>
      </x:c>
      <x:c r="U41" s="14" t="str">
        <x:v>1.0.0</x:v>
      </x:c>
      <x:c r="V41" s="14" t="str">
        <x:v>archaios_ellinikos_kosmos_entities_v0_1.csv</x:v>
      </x:c>
      <x:c r="W41" s="17" t="n">
        <x:v>46248</x:v>
      </x:c>
      <x:c r="X41" s="14" t="str">
        <x:v>Codex-assisted normalization of user research</x:v>
      </x:c>
    </x:row>
    <x:row r="42" ht="44" customHeight="1">
      <x:c r="A42" s="14" t="str">
        <x:v>city-tegea</x:v>
      </x:c>
      <x:c r="B42" s="14" t="str">
        <x:v>city-tegea</x:v>
      </x:c>
      <x:c r="C42" s="14" t="str">
        <x:v>settlement</x:v>
      </x:c>
      <x:c r="D42" s="14" t="str">
        <x:v>polis</x:v>
      </x:c>
      <x:c r="E42" s="14" t="str">
        <x:v>polis</x:v>
      </x:c>
      <x:c r="F42" s="14" t="str">
        <x:v>city</x:v>
      </x:c>
      <x:c r="G42" s="14" t="str">
        <x:v>Τεγέα</x:v>
      </x:c>
      <x:c r="H42" s="14" t="str">
        <x:v>Tegea</x:v>
      </x:c>
      <x:c r="I42" s="14" t="str">
        <x:v>Τεγέα</x:v>
      </x:c>
      <x:c r="J42" s="16" t="str">
        <x:v>Σημαντική αρκαδική πόλη και μακροχρόνια αντίπαλος της Σπάρτης.</x:v>
      </x:c>
      <x:c r="K42" s="16" t="str">
        <x:v>Important Arcadian city and long-time rival of Sparta.</x:v>
      </x:c>
      <x:c r="L42" s="14"/>
      <x:c r="M42" s="14"/>
      <x:c r="N42" s="14"/>
      <x:c r="O42" s="14" t="str">
        <x:v>region-arkadia</x:v>
      </x:c>
      <x:c r="P42" s="14" t="str">
        <x:v>approximate</x:v>
      </x:c>
      <x:c r="Q42" s="14" t="str">
        <x:v>high</x:v>
      </x:c>
      <x:c r="R42" s="14" t="str">
        <x:v>high</x:v>
      </x:c>
      <x:c r="S42" s="14" t="str">
        <x:v>reviewed</x:v>
      </x:c>
      <x:c r="T42" s="14" t="str">
        <x:v>machine_assisted_reviewed</x:v>
      </x:c>
      <x:c r="U42" s="14" t="str">
        <x:v>1.0.0</x:v>
      </x:c>
      <x:c r="V42" s="14" t="str">
        <x:v>archaios_ellinikos_kosmos_entities_v0_1.csv</x:v>
      </x:c>
      <x:c r="W42" s="17" t="n">
        <x:v>46248</x:v>
      </x:c>
      <x:c r="X42" s="14" t="str">
        <x:v>Codex-assisted normalization of user research</x:v>
      </x:c>
    </x:row>
    <x:row r="43" ht="44" customHeight="1">
      <x:c r="A43" s="14" t="str">
        <x:v>city-thebes-boeotia</x:v>
      </x:c>
      <x:c r="B43" s="14" t="str">
        <x:v>city-thebes-boeotia</x:v>
      </x:c>
      <x:c r="C43" s="14" t="str">
        <x:v>settlement</x:v>
      </x:c>
      <x:c r="D43" s="14" t="str">
        <x:v>polis</x:v>
      </x:c>
      <x:c r="E43" s="14" t="str">
        <x:v>polis</x:v>
      </x:c>
      <x:c r="F43" s="14" t="str">
        <x:v>city</x:v>
      </x:c>
      <x:c r="G43" s="14" t="str">
        <x:v>Θήβα</x:v>
      </x:c>
      <x:c r="H43" s="14" t="str">
        <x:v>Thebes</x:v>
      </x:c>
      <x:c r="I43" s="14" t="str">
        <x:v>Θῆβαι</x:v>
      </x:c>
      <x:c r="J43" s="16" t="str">
        <x:v>Ηγετική πόλη της Βοιωτίας, με κορύφωση της ισχύος της τον 4ο αιώνα π.Χ.</x:v>
      </x:c>
      <x:c r="K43" s="16" t="str">
        <x:v>A leading city of Boeotia, with the peak of its power in the 4th century BC.</x:v>
      </x:c>
      <x:c r="L43" s="14"/>
      <x:c r="M43" s="14"/>
      <x:c r="N43" s="14"/>
      <x:c r="O43" s="14" t="str">
        <x:v>region-boiotia</x:v>
      </x:c>
      <x:c r="P43" s="14" t="str">
        <x:v>approximate</x:v>
      </x:c>
      <x:c r="Q43" s="14" t="str">
        <x:v>high</x:v>
      </x:c>
      <x:c r="R43" s="14" t="str">
        <x:v>high</x:v>
      </x:c>
      <x:c r="S43" s="14" t="str">
        <x:v>reviewed</x:v>
      </x:c>
      <x:c r="T43" s="14" t="str">
        <x:v>machine_assisted_reviewed</x:v>
      </x:c>
      <x:c r="U43" s="14" t="str">
        <x:v>1.0.0</x:v>
      </x:c>
      <x:c r="V43" s="14" t="str">
        <x:v>archaios_ellinikos_kosmos_entities_v0_1.csv</x:v>
      </x:c>
      <x:c r="W43" s="17" t="n">
        <x:v>46248</x:v>
      </x:c>
      <x:c r="X43" s="14" t="str">
        <x:v>Codex-assisted normalization of user research</x:v>
      </x:c>
    </x:row>
    <x:row r="44" ht="44" customHeight="1">
      <x:c r="A44" s="14" t="str">
        <x:v>city-thera-city</x:v>
      </x:c>
      <x:c r="B44" s="14" t="str">
        <x:v>city-thera-city</x:v>
      </x:c>
      <x:c r="C44" s="14" t="str">
        <x:v>settlement</x:v>
      </x:c>
      <x:c r="D44" s="14" t="str">
        <x:v>polis</x:v>
      </x:c>
      <x:c r="E44" s="14" t="str">
        <x:v>polis</x:v>
      </x:c>
      <x:c r="F44" s="14" t="str">
        <x:v>city</x:v>
      </x:c>
      <x:c r="G44" s="14" t="str">
        <x:v>Θήρα</x:v>
      </x:c>
      <x:c r="H44" s="14" t="str">
        <x:v>Thera</x:v>
      </x:c>
      <x:c r="I44" s="14" t="str">
        <x:v>Θήρα</x:v>
      </x:c>
      <x:c r="J44" s="16" t="str">
        <x:v>Δωρική πόλη στη Θήρα, μητρόπολη της Κυρήνης σύμφωνα με την αρχαία παράδοση.</x:v>
      </x:c>
      <x:c r="K44" s="16" t="str">
        <x:v>A Doric city on Thera and, according to ancient tradition, the metropolis of Cyrene.</x:v>
      </x:c>
      <x:c r="L44" s="14"/>
      <x:c r="M44" s="14"/>
      <x:c r="N44" s="14"/>
      <x:c r="O44" s="14" t="str">
        <x:v>region-kyklades</x:v>
      </x:c>
      <x:c r="P44" s="14" t="str">
        <x:v>approximate</x:v>
      </x:c>
      <x:c r="Q44" s="14" t="str">
        <x:v>high</x:v>
      </x:c>
      <x:c r="R44" s="14" t="str">
        <x:v>high</x:v>
      </x:c>
      <x:c r="S44" s="14" t="str">
        <x:v>reviewed</x:v>
      </x:c>
      <x:c r="T44" s="14" t="str">
        <x:v>machine_assisted_reviewed</x:v>
      </x:c>
      <x:c r="U44" s="14" t="str">
        <x:v>1.0.0</x:v>
      </x:c>
      <x:c r="V44" s="14" t="str">
        <x:v>archaios_ellinikos_kosmos_entities_v0_1.csv</x:v>
      </x:c>
      <x:c r="W44" s="17" t="n">
        <x:v>46248</x:v>
      </x:c>
      <x:c r="X44" s="14" t="str">
        <x:v>Codex-assisted normalization of user research</x:v>
      </x:c>
    </x:row>
    <x:row r="45" ht="44" customHeight="1">
      <x:c r="A45" s="14" t="str">
        <x:v>city-thessalonica</x:v>
      </x:c>
      <x:c r="B45" s="14" t="str">
        <x:v>city-thessalonica</x:v>
      </x:c>
      <x:c r="C45" s="14" t="str">
        <x:v>settlement</x:v>
      </x:c>
      <x:c r="D45" s="14" t="str">
        <x:v>polis</x:v>
      </x:c>
      <x:c r="E45" s="14" t="str">
        <x:v>polis</x:v>
      </x:c>
      <x:c r="F45" s="14" t="str">
        <x:v>city</x:v>
      </x:c>
      <x:c r="G45" s="14" t="str">
        <x:v>Θεσσαλονίκη</x:v>
      </x:c>
      <x:c r="H45" s="14" t="str">
        <x:v>Thessalonica</x:v>
      </x:c>
      <x:c r="I45" s="14" t="str">
        <x:v>Θεσσαλονίκη</x:v>
      </x:c>
      <x:c r="J45" s="16" t="str">
        <x:v>Πόλη που ίδρυσε ο Κάσσανδρος με συνοικισμό και εξελίχθηκε σε μεγάλο λιμάνι της Μακεδονίας.</x:v>
      </x:c>
      <x:c r="K45" s="16" t="str">
        <x:v>A city founded by Cassander through synoecism that developed into a major Macedonian port.</x:v>
      </x:c>
      <x:c r="L45" s="14"/>
      <x:c r="M45" s="14"/>
      <x:c r="N45" s="14"/>
      <x:c r="O45" s="14" t="str">
        <x:v>region-makedonia</x:v>
      </x:c>
      <x:c r="P45" s="14" t="str">
        <x:v>approximate</x:v>
      </x:c>
      <x:c r="Q45" s="14" t="str">
        <x:v>high</x:v>
      </x:c>
      <x:c r="R45" s="14" t="str">
        <x:v>high</x:v>
      </x:c>
      <x:c r="S45" s="14" t="str">
        <x:v>reviewed</x:v>
      </x:c>
      <x:c r="T45" s="14" t="str">
        <x:v>machine_assisted_reviewed</x:v>
      </x:c>
      <x:c r="U45" s="14" t="str">
        <x:v>1.0.0</x:v>
      </x:c>
      <x:c r="V45" s="14" t="str">
        <x:v>archaios_ellinikos_kosmos_entities_v0_1.csv</x:v>
      </x:c>
      <x:c r="W45" s="17" t="n">
        <x:v>46248</x:v>
      </x:c>
      <x:c r="X45" s="14" t="str">
        <x:v>Codex-assisted normalization of user research</x:v>
      </x:c>
    </x:row>
    <x:row r="46" ht="44" customHeight="1">
      <x:c r="A46" s="14" t="str">
        <x:v>colony-abydos</x:v>
      </x:c>
      <x:c r="B46" s="14" t="str">
        <x:v>colony-abydos</x:v>
      </x:c>
      <x:c r="C46" s="14" t="str">
        <x:v>settlement</x:v>
      </x:c>
      <x:c r="D46" s="14" t="str">
        <x:v>polis</x:v>
      </x:c>
      <x:c r="E46" s="14" t="str">
        <x:v>apoikia</x:v>
      </x:c>
      <x:c r="F46" s="14" t="str">
        <x:v>colony</x:v>
      </x:c>
      <x:c r="G46" s="14" t="str">
        <x:v>Άβυδος</x:v>
      </x:c>
      <x:c r="H46" s="14" t="str">
        <x:v>Abydos</x:v>
      </x:c>
      <x:c r="I46" s="14" t="str">
        <x:v>Ἄβυδος</x:v>
      </x:c>
      <x:c r="J46" s="16" t="str">
        <x:v>Μιλησιακή αποικία στο στενότερο σημείο του Ελλησπόντου, απέναντι από τη Σηστό.</x:v>
      </x:c>
      <x:c r="K46" s="16" t="str">
        <x:v>A Milesian colony at the narrowest point of the Hellespont, opposite Sestos.</x:v>
      </x:c>
      <x:c r="L46" s="14"/>
      <x:c r="M46" s="14"/>
      <x:c r="N46" s="14"/>
      <x:c r="O46" s="14" t="str">
        <x:v>region-troada-ellespontos</x:v>
      </x:c>
      <x:c r="P46" s="14" t="str">
        <x:v>approximate</x:v>
      </x:c>
      <x:c r="Q46" s="14" t="str">
        <x:v>high</x:v>
      </x:c>
      <x:c r="R46" s="14" t="str">
        <x:v>high</x:v>
      </x:c>
      <x:c r="S46" s="14" t="str">
        <x:v>reviewed</x:v>
      </x:c>
      <x:c r="T46" s="14" t="str">
        <x:v>machine_assisted_reviewed</x:v>
      </x:c>
      <x:c r="U46" s="14" t="str">
        <x:v>1.0.0</x:v>
      </x:c>
      <x:c r="V46" s="14" t="str">
        <x:v>archaios_ellinikos_kosmos_entities_v0_1.csv</x:v>
      </x:c>
      <x:c r="W46" s="17" t="n">
        <x:v>46248</x:v>
      </x:c>
      <x:c r="X46" s="14" t="str">
        <x:v>Codex-assisted normalization of user research</x:v>
      </x:c>
    </x:row>
    <x:row r="47" ht="44" customHeight="1">
      <x:c r="A47" s="14" t="str">
        <x:v>colony-akragas</x:v>
      </x:c>
      <x:c r="B47" s="14" t="str">
        <x:v>colony-akragas</x:v>
      </x:c>
      <x:c r="C47" s="14" t="str">
        <x:v>settlement</x:v>
      </x:c>
      <x:c r="D47" s="14" t="str">
        <x:v>polis</x:v>
      </x:c>
      <x:c r="E47" s="14" t="str">
        <x:v>apoikia</x:v>
      </x:c>
      <x:c r="F47" s="14" t="str">
        <x:v>colony</x:v>
      </x:c>
      <x:c r="G47" s="14" t="str">
        <x:v>Ακράγαντας</x:v>
      </x:c>
      <x:c r="H47" s="14" t="str">
        <x:v>Akragas</x:v>
      </x:c>
      <x:c r="I47" s="14" t="str">
        <x:v>Ἀκράγας</x:v>
      </x:c>
      <x:c r="J47" s="16" t="str">
        <x:v>Αποικία της Γέλας με μνημειακό πολεοδομικό και ναοδομικό τοπίο.</x:v>
      </x:c>
      <x:c r="K47" s="16" t="str">
        <x:v>Colony of Gela with a monumental urban and temple landscape.</x:v>
      </x:c>
      <x:c r="L47" s="14"/>
      <x:c r="M47" s="14"/>
      <x:c r="N47" s="14"/>
      <x:c r="O47" s="14" t="str">
        <x:v>region-sikelia</x:v>
      </x:c>
      <x:c r="P47" s="14" t="str">
        <x:v>approximate</x:v>
      </x:c>
      <x:c r="Q47" s="14" t="str">
        <x:v>high</x:v>
      </x:c>
      <x:c r="R47" s="14" t="str">
        <x:v>high</x:v>
      </x:c>
      <x:c r="S47" s="14" t="str">
        <x:v>reviewed</x:v>
      </x:c>
      <x:c r="T47" s="14" t="str">
        <x:v>machine_assisted_reviewed</x:v>
      </x:c>
      <x:c r="U47" s="14" t="str">
        <x:v>1.0.0</x:v>
      </x:c>
      <x:c r="V47" s="14" t="str">
        <x:v>archaios_ellinikos_kosmos_entities_v0_1.csv</x:v>
      </x:c>
      <x:c r="W47" s="17" t="n">
        <x:v>46248</x:v>
      </x:c>
      <x:c r="X47" s="14" t="str">
        <x:v>Codex-assisted normalization of user research</x:v>
      </x:c>
    </x:row>
    <x:row r="48" ht="44" customHeight="1">
      <x:c r="A48" s="14" t="str">
        <x:v>colony-ambracia</x:v>
      </x:c>
      <x:c r="B48" s="14" t="str">
        <x:v>colony-ambracia</x:v>
      </x:c>
      <x:c r="C48" s="14" t="str">
        <x:v>settlement</x:v>
      </x:c>
      <x:c r="D48" s="14" t="str">
        <x:v>polis</x:v>
      </x:c>
      <x:c r="E48" s="14" t="str">
        <x:v>apoikia</x:v>
      </x:c>
      <x:c r="F48" s="14" t="str">
        <x:v>colony</x:v>
      </x:c>
      <x:c r="G48" s="14" t="str">
        <x:v>Αμβρακία</x:v>
      </x:c>
      <x:c r="H48" s="14" t="str">
        <x:v>Ambracia</x:v>
      </x:c>
      <x:c r="I48" s="14" t="str">
        <x:v>Ἀμβρακία</x:v>
      </x:c>
      <x:c r="J48" s="16" t="str">
        <x:v>Κορινθιακή αποικία στον Άραχθο και μεταγενέστερη πρωτεύουσα του Πύρρου.</x:v>
      </x:c>
      <x:c r="K48" s="16" t="str">
        <x:v>Corinthian colony on Arachthos and later capital of Pyrrhus.</x:v>
      </x:c>
      <x:c r="L48" s="14"/>
      <x:c r="M48" s="14"/>
      <x:c r="N48" s="14"/>
      <x:c r="O48" s="14" t="str">
        <x:v>region-epeiros</x:v>
      </x:c>
      <x:c r="P48" s="14" t="str">
        <x:v>approximate</x:v>
      </x:c>
      <x:c r="Q48" s="14" t="str">
        <x:v>high</x:v>
      </x:c>
      <x:c r="R48" s="14" t="str">
        <x:v>high</x:v>
      </x:c>
      <x:c r="S48" s="14" t="str">
        <x:v>reviewed</x:v>
      </x:c>
      <x:c r="T48" s="14" t="str">
        <x:v>machine_assisted_reviewed</x:v>
      </x:c>
      <x:c r="U48" s="14" t="str">
        <x:v>1.0.0</x:v>
      </x:c>
      <x:c r="V48" s="14" t="str">
        <x:v>archaios_ellinikos_kosmos_entities_v0_1.csv</x:v>
      </x:c>
      <x:c r="W48" s="17" t="n">
        <x:v>46248</x:v>
      </x:c>
      <x:c r="X48" s="14" t="str">
        <x:v>Codex-assisted normalization of user research</x:v>
      </x:c>
    </x:row>
    <x:row r="49" ht="44" customHeight="1">
      <x:c r="A49" s="14" t="str">
        <x:v>colony-amisus</x:v>
      </x:c>
      <x:c r="B49" s="14" t="str">
        <x:v>colony-amisus</x:v>
      </x:c>
      <x:c r="C49" s="14" t="str">
        <x:v>settlement</x:v>
      </x:c>
      <x:c r="D49" s="14" t="str">
        <x:v>polis</x:v>
      </x:c>
      <x:c r="E49" s="14" t="str">
        <x:v>apoikia</x:v>
      </x:c>
      <x:c r="F49" s="14" t="str">
        <x:v>colony</x:v>
      </x:c>
      <x:c r="G49" s="14" t="str">
        <x:v>Αμισός</x:v>
      </x:c>
      <x:c r="H49" s="14" t="str">
        <x:v>Amisus</x:v>
      </x:c>
      <x:c r="I49" s="14" t="str">
        <x:v>Ἀμισός</x:v>
      </x:c>
      <x:c r="J49" s="16" t="str">
        <x:v>Ελληνική αποικία στη νότια ακτή του Ευξείνου, σημαντικό λιμάνι του Πόντου.</x:v>
      </x:c>
      <x:c r="K49" s="16" t="str">
        <x:v>Greek colony on the southern coast of the Black Sea, an important port on the Pontus.</x:v>
      </x:c>
      <x:c r="L49" s="14"/>
      <x:c r="M49" s="14"/>
      <x:c r="N49" s="14"/>
      <x:c r="O49" s="14" t="str">
        <x:v>region-pontos</x:v>
      </x:c>
      <x:c r="P49" s="14" t="str">
        <x:v>approximate</x:v>
      </x:c>
      <x:c r="Q49" s="14" t="str">
        <x:v>high</x:v>
      </x:c>
      <x:c r="R49" s="14" t="str">
        <x:v>high</x:v>
      </x:c>
      <x:c r="S49" s="14" t="str">
        <x:v>reviewed</x:v>
      </x:c>
      <x:c r="T49" s="14" t="str">
        <x:v>machine_assisted_reviewed</x:v>
      </x:c>
      <x:c r="U49" s="14" t="str">
        <x:v>1.0.0</x:v>
      </x:c>
      <x:c r="V49" s="14" t="str">
        <x:v>archaios_ellinikos_kosmos_entities_v0_1.csv</x:v>
      </x:c>
      <x:c r="W49" s="17" t="n">
        <x:v>46248</x:v>
      </x:c>
      <x:c r="X49" s="14" t="str">
        <x:v>Codex-assisted normalization of user research</x:v>
      </x:c>
    </x:row>
    <x:row r="50" ht="44" customHeight="1">
      <x:c r="A50" s="14" t="str">
        <x:v>colony-amphipolis</x:v>
      </x:c>
      <x:c r="B50" s="14" t="str">
        <x:v>colony-amphipolis</x:v>
      </x:c>
      <x:c r="C50" s="14" t="str">
        <x:v>settlement</x:v>
      </x:c>
      <x:c r="D50" s="14" t="str">
        <x:v>polis</x:v>
      </x:c>
      <x:c r="E50" s="14" t="str">
        <x:v>apoikia</x:v>
      </x:c>
      <x:c r="F50" s="14" t="str">
        <x:v>colony</x:v>
      </x:c>
      <x:c r="G50" s="14" t="str">
        <x:v>Αμφίπολη</x:v>
      </x:c>
      <x:c r="H50" s="14" t="str">
        <x:v>Amphipolis</x:v>
      </x:c>
      <x:c r="I50" s="14" t="str">
        <x:v>Ἀμφίπολις</x:v>
      </x:c>
      <x:c r="J50" s="16" t="str">
        <x:v>Αθηναϊκή αποικία στον Στρυμόνα, στρατηγική για ξυλεία, μεταλλεία και τον δρόμο προς τη Θράκη.</x:v>
      </x:c>
      <x:c r="K50" s="16" t="str">
        <x:v>An Athenian colony on the Strymon, strategically important for timber, mines and the route into Thrace.</x:v>
      </x:c>
      <x:c r="L50" s="14"/>
      <x:c r="M50" s="14"/>
      <x:c r="N50" s="14"/>
      <x:c r="O50" s="14" t="str">
        <x:v>region-makedonia-edonida</x:v>
      </x:c>
      <x:c r="P50" s="14" t="str">
        <x:v>approximate</x:v>
      </x:c>
      <x:c r="Q50" s="14" t="str">
        <x:v>high</x:v>
      </x:c>
      <x:c r="R50" s="14" t="str">
        <x:v>high</x:v>
      </x:c>
      <x:c r="S50" s="14" t="str">
        <x:v>reviewed</x:v>
      </x:c>
      <x:c r="T50" s="14" t="str">
        <x:v>machine_assisted_reviewed</x:v>
      </x:c>
      <x:c r="U50" s="14" t="str">
        <x:v>1.0.0</x:v>
      </x:c>
      <x:c r="V50" s="14" t="str">
        <x:v>archaios_ellinikos_kosmos_entities_v0_1.csv</x:v>
      </x:c>
      <x:c r="W50" s="17" t="n">
        <x:v>46248</x:v>
      </x:c>
      <x:c r="X50" s="14" t="str">
        <x:v>Codex-assisted normalization of user research</x:v>
      </x:c>
    </x:row>
    <x:row r="51" ht="44" customHeight="1">
      <x:c r="A51" s="14" t="str">
        <x:v>colony-ancona</x:v>
      </x:c>
      <x:c r="B51" s="14" t="str">
        <x:v>colony-ancona</x:v>
      </x:c>
      <x:c r="C51" s="14" t="str">
        <x:v>settlement</x:v>
      </x:c>
      <x:c r="D51" s="14" t="str">
        <x:v>polis</x:v>
      </x:c>
      <x:c r="E51" s="14" t="str">
        <x:v>apoikia</x:v>
      </x:c>
      <x:c r="F51" s="14" t="str">
        <x:v>colony</x:v>
      </x:c>
      <x:c r="G51" s="14" t="str">
        <x:v>Αγκών</x:v>
      </x:c>
      <x:c r="H51" s="14" t="str">
        <x:v>Ancon</x:v>
      </x:c>
      <x:c r="I51" s="14" t="str">
        <x:v>Ἀγκών</x:v>
      </x:c>
      <x:c r="J51" s="16" t="str">
        <x:v>Λιμάνι που ίδρυσαν Συρακούσιοι άποικοι στην καμπή της ιταλικής ακτής της Αδριατικής.</x:v>
      </x:c>
      <x:c r="K51" s="16" t="str">
        <x:v>Port established by Syracusan colonists at the bend of the Italian Adriatic coast.</x:v>
      </x:c>
      <x:c r="L51" s="14"/>
      <x:c r="M51" s="14"/>
      <x:c r="N51" s="14"/>
      <x:c r="O51" s="14" t="str">
        <x:v>region-pikeno</x:v>
      </x:c>
      <x:c r="P51" s="14" t="str">
        <x:v>approximate</x:v>
      </x:c>
      <x:c r="Q51" s="14" t="str">
        <x:v>high</x:v>
      </x:c>
      <x:c r="R51" s="14" t="str">
        <x:v>high</x:v>
      </x:c>
      <x:c r="S51" s="14" t="str">
        <x:v>reviewed</x:v>
      </x:c>
      <x:c r="T51" s="14" t="str">
        <x:v>machine_assisted_reviewed</x:v>
      </x:c>
      <x:c r="U51" s="14" t="str">
        <x:v>1.0.0</x:v>
      </x:c>
      <x:c r="V51" s="14" t="str">
        <x:v>archaios_ellinikos_kosmos_entities_v0_1.csv</x:v>
      </x:c>
      <x:c r="W51" s="17" t="n">
        <x:v>46248</x:v>
      </x:c>
      <x:c r="X51" s="14" t="str">
        <x:v>Codex-assisted normalization of user research</x:v>
      </x:c>
    </x:row>
    <x:row r="52" ht="44" customHeight="1">
      <x:c r="A52" s="14" t="str">
        <x:v>colony-apollonia-cyrenaica</x:v>
      </x:c>
      <x:c r="B52" s="14" t="str">
        <x:v>colony-apollonia-cyrenaica</x:v>
      </x:c>
      <x:c r="C52" s="14" t="str">
        <x:v>settlement</x:v>
      </x:c>
      <x:c r="D52" s="14" t="str">
        <x:v>polis</x:v>
      </x:c>
      <x:c r="E52" s="14" t="str">
        <x:v>apoikia</x:v>
      </x:c>
      <x:c r="F52" s="14" t="str">
        <x:v>colony</x:v>
      </x:c>
      <x:c r="G52" s="14" t="str">
        <x:v>Απολλωνία Κυρηναϊκής</x:v>
      </x:c>
      <x:c r="H52" s="14" t="str">
        <x:v>Apollonia of Cyrenaica</x:v>
      </x:c>
      <x:c r="I52" s="14" t="str">
        <x:v>Ἀπολλωνία</x:v>
      </x:c>
      <x:c r="J52" s="16" t="str">
        <x:v>Το επίνειο της Κυρήνης, που εξελίχθηκε σε αυτόνομη πόλη και μέλος της Πεντάπολης.</x:v>
      </x:c>
      <x:c r="K52" s="16" t="str">
        <x:v>The port of Cyrene, which developed into an autonomous city and member of the Cyrenaican Pentapolis.</x:v>
      </x:c>
      <x:c r="L52" s="14"/>
      <x:c r="M52" s="14"/>
      <x:c r="N52" s="14"/>
      <x:c r="O52" s="14" t="str">
        <x:v>region-kyrenaike</x:v>
      </x:c>
      <x:c r="P52" s="14" t="str">
        <x:v>approximate</x:v>
      </x:c>
      <x:c r="Q52" s="14" t="str">
        <x:v>high</x:v>
      </x:c>
      <x:c r="R52" s="14" t="str">
        <x:v>high</x:v>
      </x:c>
      <x:c r="S52" s="14" t="str">
        <x:v>reviewed</x:v>
      </x:c>
      <x:c r="T52" s="14" t="str">
        <x:v>machine_assisted_reviewed</x:v>
      </x:c>
      <x:c r="U52" s="14" t="str">
        <x:v>1.0.0</x:v>
      </x:c>
      <x:c r="V52" s="14" t="str">
        <x:v>archaios_ellinikos_kosmos_entities_v0_1.csv</x:v>
      </x:c>
      <x:c r="W52" s="17" t="n">
        <x:v>46248</x:v>
      </x:c>
      <x:c r="X52" s="14" t="str">
        <x:v>Codex-assisted normalization of user research</x:v>
      </x:c>
    </x:row>
    <x:row r="53" ht="44" customHeight="1">
      <x:c r="A53" s="14" t="str">
        <x:v>colony-apollonia-illyria</x:v>
      </x:c>
      <x:c r="B53" s="14" t="str">
        <x:v>colony-apollonia-illyria</x:v>
      </x:c>
      <x:c r="C53" s="14" t="str">
        <x:v>settlement</x:v>
      </x:c>
      <x:c r="D53" s="14" t="str">
        <x:v>polis</x:v>
      </x:c>
      <x:c r="E53" s="14" t="str">
        <x:v>apoikia</x:v>
      </x:c>
      <x:c r="F53" s="14" t="str">
        <x:v>colony</x:v>
      </x:c>
      <x:c r="G53" s="14" t="str">
        <x:v>Απολλωνία Ιλλυρίας</x:v>
      </x:c>
      <x:c r="H53" s="14" t="str">
        <x:v>Apollonia</x:v>
      </x:c>
      <x:c r="I53" s="14" t="str">
        <x:v>Ἀπολλωνία</x:v>
      </x:c>
      <x:c r="J53" s="16" t="str">
        <x:v>Κορινθιακή και κερκυραϊκή αποικία κοντά στον Αώο, σημαντικός σταθμός της Εγνατίας οδού.</x:v>
      </x:c>
      <x:c r="K53" s="16" t="str">
        <x:v>A joint Corinthian and Corcyraean colony near the Aoos and an important station on the Via Egnatia.</x:v>
      </x:c>
      <x:c r="L53" s="14"/>
      <x:c r="M53" s="14"/>
      <x:c r="N53" s="14"/>
      <x:c r="O53" s="14" t="str">
        <x:v>region-illyria</x:v>
      </x:c>
      <x:c r="P53" s="14" t="str">
        <x:v>approximate</x:v>
      </x:c>
      <x:c r="Q53" s="14" t="str">
        <x:v>high</x:v>
      </x:c>
      <x:c r="R53" s="14" t="str">
        <x:v>high</x:v>
      </x:c>
      <x:c r="S53" s="14" t="str">
        <x:v>reviewed</x:v>
      </x:c>
      <x:c r="T53" s="14" t="str">
        <x:v>machine_assisted_reviewed</x:v>
      </x:c>
      <x:c r="U53" s="14" t="str">
        <x:v>1.0.0</x:v>
      </x:c>
      <x:c r="V53" s="14" t="str">
        <x:v>archaios_ellinikos_kosmos_entities_v0_1.csv</x:v>
      </x:c>
      <x:c r="W53" s="17" t="n">
        <x:v>46248</x:v>
      </x:c>
      <x:c r="X53" s="14" t="str">
        <x:v>Codex-assisted normalization of user research</x:v>
      </x:c>
    </x:row>
    <x:row r="54" ht="44" customHeight="1">
      <x:c r="A54" s="14" t="str">
        <x:v>colony-apollonia-pontica</x:v>
      </x:c>
      <x:c r="B54" s="14" t="str">
        <x:v>colony-apollonia-pontica</x:v>
      </x:c>
      <x:c r="C54" s="14" t="str">
        <x:v>settlement</x:v>
      </x:c>
      <x:c r="D54" s="14" t="str">
        <x:v>polis</x:v>
      </x:c>
      <x:c r="E54" s="14" t="str">
        <x:v>apoikia</x:v>
      </x:c>
      <x:c r="F54" s="14" t="str">
        <x:v>colony</x:v>
      </x:c>
      <x:c r="G54" s="14" t="str">
        <x:v>Απολλωνία Ποντική</x:v>
      </x:c>
      <x:c r="H54" s="14" t="str">
        <x:v>Apollonia Pontica</x:v>
      </x:c>
      <x:c r="I54" s="14" t="str">
        <x:v>Ἀπολλωνία Ποντική</x:v>
      </x:c>
      <x:c r="J54" s="16" t="str">
        <x:v>Μεγάλη μιλησιακή αποικία της δυτικής ακτής του Ευξείνου, μεταγενέστερα γνωστή ως Σωζόπολις.</x:v>
      </x:c>
      <x:c r="K54" s="16" t="str">
        <x:v>Large Milesian colony of the western coast of the Black Sea, later known as Sozopolis.</x:v>
      </x:c>
      <x:c r="L54" s="14"/>
      <x:c r="M54" s="14"/>
      <x:c r="N54" s="14"/>
      <x:c r="O54" s="14" t="str">
        <x:v>region-thrake-eyxeinos-pontos</x:v>
      </x:c>
      <x:c r="P54" s="14" t="str">
        <x:v>approximate</x:v>
      </x:c>
      <x:c r="Q54" s="14" t="str">
        <x:v>high</x:v>
      </x:c>
      <x:c r="R54" s="14" t="str">
        <x:v>high</x:v>
      </x:c>
      <x:c r="S54" s="14" t="str">
        <x:v>reviewed</x:v>
      </x:c>
      <x:c r="T54" s="14" t="str">
        <x:v>machine_assisted_reviewed</x:v>
      </x:c>
      <x:c r="U54" s="14" t="str">
        <x:v>1.0.0</x:v>
      </x:c>
      <x:c r="V54" s="14" t="str">
        <x:v>archaios_ellinikos_kosmos_entities_v0_1.csv</x:v>
      </x:c>
      <x:c r="W54" s="17" t="n">
        <x:v>46248</x:v>
      </x:c>
      <x:c r="X54" s="14" t="str">
        <x:v>Codex-assisted normalization of user research</x:v>
      </x:c>
    </x:row>
    <x:row r="55" ht="44" customHeight="1">
      <x:c r="A55" s="14" t="str">
        <x:v>colony-assos</x:v>
      </x:c>
      <x:c r="B55" s="14" t="str">
        <x:v>colony-assos</x:v>
      </x:c>
      <x:c r="C55" s="14" t="str">
        <x:v>settlement</x:v>
      </x:c>
      <x:c r="D55" s="14" t="str">
        <x:v>polis</x:v>
      </x:c>
      <x:c r="E55" s="14" t="str">
        <x:v>apoikia</x:v>
      </x:c>
      <x:c r="F55" s="14" t="str">
        <x:v>colony</x:v>
      </x:c>
      <x:c r="G55" s="14" t="str">
        <x:v>Άσσος</x:v>
      </x:c>
      <x:c r="H55" s="14" t="str">
        <x:v>Assos</x:v>
      </x:c>
      <x:c r="I55" s="14" t="str">
        <x:v>Ἄσσος</x:v>
      </x:c>
      <x:c r="J55" s="16" t="str">
        <x:v>Αιολική αποικία της Μήθυμνας σε οχυρό ύψωμα απέναντι από τη Λέσβο.</x:v>
      </x:c>
      <x:c r="K55" s="16" t="str">
        <x:v>An Aeolian colony of Methymna on a fortified hill opposite Lesbos.</x:v>
      </x:c>
      <x:c r="L55" s="14"/>
      <x:c r="M55" s="14"/>
      <x:c r="N55" s="14"/>
      <x:c r="O55" s="14" t="str">
        <x:v>region-troada</x:v>
      </x:c>
      <x:c r="P55" s="14" t="str">
        <x:v>approximate</x:v>
      </x:c>
      <x:c r="Q55" s="14" t="str">
        <x:v>high</x:v>
      </x:c>
      <x:c r="R55" s="14" t="str">
        <x:v>high</x:v>
      </x:c>
      <x:c r="S55" s="14" t="str">
        <x:v>reviewed</x:v>
      </x:c>
      <x:c r="T55" s="14" t="str">
        <x:v>machine_assisted_reviewed</x:v>
      </x:c>
      <x:c r="U55" s="14" t="str">
        <x:v>1.0.0</x:v>
      </x:c>
      <x:c r="V55" s="14" t="str">
        <x:v>archaios_ellinikos_kosmos_entities_v0_1.csv</x:v>
      </x:c>
      <x:c r="W55" s="17" t="n">
        <x:v>46248</x:v>
      </x:c>
      <x:c r="X55" s="14" t="str">
        <x:v>Codex-assisted normalization of user research</x:v>
      </x:c>
    </x:row>
    <x:row r="56" ht="44" customHeight="1">
      <x:c r="A56" s="14" t="str">
        <x:v>colony-barca-cyrenaica</x:v>
      </x:c>
      <x:c r="B56" s="14" t="str">
        <x:v>colony-barca-cyrenaica</x:v>
      </x:c>
      <x:c r="C56" s="14" t="str">
        <x:v>settlement</x:v>
      </x:c>
      <x:c r="D56" s="14" t="str">
        <x:v>polis</x:v>
      </x:c>
      <x:c r="E56" s="14" t="str">
        <x:v>apoikia</x:v>
      </x:c>
      <x:c r="F56" s="14" t="str">
        <x:v>colony</x:v>
      </x:c>
      <x:c r="G56" s="14" t="str">
        <x:v>Βάρκη</x:v>
      </x:c>
      <x:c r="H56" s="14" t="str">
        <x:v>Barca</x:v>
      </x:c>
      <x:c r="I56" s="14" t="str">
        <x:v>Βάρκη</x:v>
      </x:c>
      <x:c r="J56" s="16" t="str">
        <x:v>Ελληνική αποικία της ενδοχώρας της Κυρηναϊκής με λιμάνι τη μετέπειτα Πτολεμαΐδα.</x:v>
      </x:c>
      <x:c r="K56" s="16" t="str">
        <x:v>A Greek colony in the Cyrenaican interior whose port later developed into Ptolemais.</x:v>
      </x:c>
      <x:c r="L56" s="14"/>
      <x:c r="M56" s="14"/>
      <x:c r="N56" s="14"/>
      <x:c r="O56" s="14" t="str">
        <x:v>region-kyrenaike</x:v>
      </x:c>
      <x:c r="P56" s="14" t="str">
        <x:v>approximate</x:v>
      </x:c>
      <x:c r="Q56" s="14" t="str">
        <x:v>high</x:v>
      </x:c>
      <x:c r="R56" s="14" t="str">
        <x:v>high</x:v>
      </x:c>
      <x:c r="S56" s="14" t="str">
        <x:v>reviewed</x:v>
      </x:c>
      <x:c r="T56" s="14" t="str">
        <x:v>machine_assisted_reviewed</x:v>
      </x:c>
      <x:c r="U56" s="14" t="str">
        <x:v>1.0.0</x:v>
      </x:c>
      <x:c r="V56" s="14" t="str">
        <x:v>archaios_ellinikos_kosmos_entities_v0_1.csv</x:v>
      </x:c>
      <x:c r="W56" s="17" t="n">
        <x:v>46248</x:v>
      </x:c>
      <x:c r="X56" s="14" t="str">
        <x:v>Codex-assisted normalization of user research</x:v>
      </x:c>
    </x:row>
    <x:row r="57" ht="44" customHeight="1">
      <x:c r="A57" s="14" t="str">
        <x:v>colony-byzantium</x:v>
      </x:c>
      <x:c r="B57" s="14" t="str">
        <x:v>colony-byzantium</x:v>
      </x:c>
      <x:c r="C57" s="14" t="str">
        <x:v>settlement</x:v>
      </x:c>
      <x:c r="D57" s="14" t="str">
        <x:v>polis</x:v>
      </x:c>
      <x:c r="E57" s="14" t="str">
        <x:v>apoikia</x:v>
      </x:c>
      <x:c r="F57" s="14" t="str">
        <x:v>colony</x:v>
      </x:c>
      <x:c r="G57" s="14" t="str">
        <x:v>Βυζάντιο</x:v>
      </x:c>
      <x:c r="H57" s="14" t="str">
        <x:v>Byzantium</x:v>
      </x:c>
      <x:c r="I57" s="14" t="str">
        <x:v>Βυζάντιον</x:v>
      </x:c>
      <x:c r="J57" s="16" t="str">
        <x:v>Μεγαρική αποικία σε εξαιρετική θέση στον Βόσπορο· το 330 μ.Χ. μετασχηματίστηκε σε Κωνσταντινούπολη.</x:v>
      </x:c>
      <x:c r="K57" s="16" t="str">
        <x:v>A Megarian colony in an exceptional position on the Bosporus; in 330 CE it was transformed into Constantinople.</x:v>
      </x:c>
      <x:c r="L57" s="14"/>
      <x:c r="M57" s="14"/>
      <x:c r="N57" s="14"/>
      <x:c r="O57" s="14" t="str">
        <x:v>region-thrake-bosporos</x:v>
      </x:c>
      <x:c r="P57" s="14" t="str">
        <x:v>approximate</x:v>
      </x:c>
      <x:c r="Q57" s="14" t="str">
        <x:v>high</x:v>
      </x:c>
      <x:c r="R57" s="14" t="str">
        <x:v>high</x:v>
      </x:c>
      <x:c r="S57" s="14" t="str">
        <x:v>reviewed</x:v>
      </x:c>
      <x:c r="T57" s="14" t="str">
        <x:v>machine_assisted_reviewed</x:v>
      </x:c>
      <x:c r="U57" s="14" t="str">
        <x:v>1.0.0</x:v>
      </x:c>
      <x:c r="V57" s="14" t="str">
        <x:v>archaios_ellinikos_kosmos_entities_v0_1.csv</x:v>
      </x:c>
      <x:c r="W57" s="17" t="n">
        <x:v>46248</x:v>
      </x:c>
      <x:c r="X57" s="14" t="str">
        <x:v>Codex-assisted normalization of user research</x:v>
      </x:c>
    </x:row>
    <x:row r="58" ht="44" customHeight="1">
      <x:c r="A58" s="14" t="str">
        <x:v>colony-callatis</x:v>
      </x:c>
      <x:c r="B58" s="14" t="str">
        <x:v>colony-callatis</x:v>
      </x:c>
      <x:c r="C58" s="14" t="str">
        <x:v>settlement</x:v>
      </x:c>
      <x:c r="D58" s="14" t="str">
        <x:v>polis</x:v>
      </x:c>
      <x:c r="E58" s="14" t="str">
        <x:v>apoikia</x:v>
      </x:c>
      <x:c r="F58" s="14" t="str">
        <x:v>colony</x:v>
      </x:c>
      <x:c r="G58" s="14" t="str">
        <x:v>Κάλλατις</x:v>
      </x:c>
      <x:c r="H58" s="14" t="str">
        <x:v>Callatis</x:v>
      </x:c>
      <x:c r="I58" s="14" t="str">
        <x:v>Κάλλατις</x:v>
      </x:c>
      <x:c r="J58" s="16" t="str">
        <x:v>Ηρακλειώτικη αποικία στη δυτική ακτή του Ευξείνου, με δραστήρια ελληνιστική οικονομία.</x:v>
      </x:c>
      <x:c r="K58" s="16" t="str">
        <x:v>A colony of Heraclea Pontica on the western Black Sea coast, with an active Hellenistic economy.</x:v>
      </x:c>
      <x:c r="L58" s="14"/>
      <x:c r="M58" s="14"/>
      <x:c r="N58" s="14"/>
      <x:c r="O58" s="14" t="str">
        <x:v>region-skythia-mikra</x:v>
      </x:c>
      <x:c r="P58" s="14" t="str">
        <x:v>approximate</x:v>
      </x:c>
      <x:c r="Q58" s="14" t="str">
        <x:v>high</x:v>
      </x:c>
      <x:c r="R58" s="14" t="str">
        <x:v>high</x:v>
      </x:c>
      <x:c r="S58" s="14" t="str">
        <x:v>reviewed</x:v>
      </x:c>
      <x:c r="T58" s="14" t="str">
        <x:v>machine_assisted_reviewed</x:v>
      </x:c>
      <x:c r="U58" s="14" t="str">
        <x:v>1.0.0</x:v>
      </x:c>
      <x:c r="V58" s="14" t="str">
        <x:v>archaios_ellinikos_kosmos_entities_v0_1.csv</x:v>
      </x:c>
      <x:c r="W58" s="17" t="n">
        <x:v>46248</x:v>
      </x:c>
      <x:c r="X58" s="14" t="str">
        <x:v>Codex-assisted normalization of user research</x:v>
      </x:c>
    </x:row>
    <x:row r="59" ht="44" customHeight="1">
      <x:c r="A59" s="14" t="str">
        <x:v>colony-catana</x:v>
      </x:c>
      <x:c r="B59" s="14" t="str">
        <x:v>colony-catana</x:v>
      </x:c>
      <x:c r="C59" s="14" t="str">
        <x:v>settlement</x:v>
      </x:c>
      <x:c r="D59" s="14" t="str">
        <x:v>polis</x:v>
      </x:c>
      <x:c r="E59" s="14" t="str">
        <x:v>apoikia</x:v>
      </x:c>
      <x:c r="F59" s="14" t="str">
        <x:v>colony</x:v>
      </x:c>
      <x:c r="G59" s="14" t="str">
        <x:v>Κατάνη</x:v>
      </x:c>
      <x:c r="H59" s="14" t="str">
        <x:v>Catana</x:v>
      </x:c>
      <x:c r="I59" s="14" t="str">
        <x:v>Κατάνη</x:v>
      </x:c>
      <x:c r="J59" s="16" t="str">
        <x:v>Χαλκιδική αποικία στους πρόποδες της Αίτνας, στη θέση της σύγχρονης Κατάνιας.</x:v>
      </x:c>
      <x:c r="K59" s="16" t="str">
        <x:v>A Chalcidian colony at the foot of Mount Etna, on the site of modern Catania.</x:v>
      </x:c>
      <x:c r="L59" s="14"/>
      <x:c r="M59" s="14"/>
      <x:c r="N59" s="14"/>
      <x:c r="O59" s="14" t="str">
        <x:v>region-sikelia</x:v>
      </x:c>
      <x:c r="P59" s="14" t="str">
        <x:v>approximate</x:v>
      </x:c>
      <x:c r="Q59" s="14" t="str">
        <x:v>high</x:v>
      </x:c>
      <x:c r="R59" s="14" t="str">
        <x:v>high</x:v>
      </x:c>
      <x:c r="S59" s="14" t="str">
        <x:v>reviewed</x:v>
      </x:c>
      <x:c r="T59" s="14" t="str">
        <x:v>machine_assisted_reviewed</x:v>
      </x:c>
      <x:c r="U59" s="14" t="str">
        <x:v>1.0.0</x:v>
      </x:c>
      <x:c r="V59" s="14" t="str">
        <x:v>archaios_ellinikos_kosmos_entities_v0_1.csv</x:v>
      </x:c>
      <x:c r="W59" s="17" t="n">
        <x:v>46248</x:v>
      </x:c>
      <x:c r="X59" s="14" t="str">
        <x:v>Codex-assisted normalization of user research</x:v>
      </x:c>
    </x:row>
    <x:row r="60" ht="44" customHeight="1">
      <x:c r="A60" s="14" t="str">
        <x:v>colony-chalcedon</x:v>
      </x:c>
      <x:c r="B60" s="14" t="str">
        <x:v>colony-chalcedon</x:v>
      </x:c>
      <x:c r="C60" s="14" t="str">
        <x:v>settlement</x:v>
      </x:c>
      <x:c r="D60" s="14" t="str">
        <x:v>polis</x:v>
      </x:c>
      <x:c r="E60" s="14" t="str">
        <x:v>apoikia</x:v>
      </x:c>
      <x:c r="F60" s="14" t="str">
        <x:v>colony</x:v>
      </x:c>
      <x:c r="G60" s="14" t="str">
        <x:v>Χαλκηδόνα</x:v>
      </x:c>
      <x:c r="H60" s="14" t="str">
        <x:v>Chalcedon</x:v>
      </x:c>
      <x:c r="I60" s="14" t="str">
        <x:v>Χαλκηδών</x:v>
      </x:c>
      <x:c r="J60" s="16" t="str">
        <x:v>Μεγαρική αποικία στην ασιατική είσοδο του Βοσπόρου, απέναντι από το Βυζάντιο.</x:v>
      </x:c>
      <x:c r="K60" s="16" t="str">
        <x:v>Megarian colony at the Asian entrance to the Bosphorus, opposite Byzantium.</x:v>
      </x:c>
      <x:c r="L60" s="14"/>
      <x:c r="M60" s="14"/>
      <x:c r="N60" s="14"/>
      <x:c r="O60" s="14" t="str">
        <x:v>region-bithynia-bosporos</x:v>
      </x:c>
      <x:c r="P60" s="14" t="str">
        <x:v>approximate</x:v>
      </x:c>
      <x:c r="Q60" s="14" t="str">
        <x:v>high</x:v>
      </x:c>
      <x:c r="R60" s="14" t="str">
        <x:v>high</x:v>
      </x:c>
      <x:c r="S60" s="14" t="str">
        <x:v>reviewed</x:v>
      </x:c>
      <x:c r="T60" s="14" t="str">
        <x:v>machine_assisted_reviewed</x:v>
      </x:c>
      <x:c r="U60" s="14" t="str">
        <x:v>1.0.0</x:v>
      </x:c>
      <x:c r="V60" s="14" t="str">
        <x:v>archaios_ellinikos_kosmos_entities_v0_1.csv</x:v>
      </x:c>
      <x:c r="W60" s="17" t="n">
        <x:v>46248</x:v>
      </x:c>
      <x:c r="X60" s="14" t="str">
        <x:v>Codex-assisted normalization of user research</x:v>
      </x:c>
    </x:row>
    <x:row r="61" ht="44" customHeight="1">
      <x:c r="A61" s="14" t="str">
        <x:v>colony-chersonesus-taurica</x:v>
      </x:c>
      <x:c r="B61" s="14" t="str">
        <x:v>colony-chersonesus-taurica</x:v>
      </x:c>
      <x:c r="C61" s="14" t="str">
        <x:v>settlement</x:v>
      </x:c>
      <x:c r="D61" s="14" t="str">
        <x:v>polis</x:v>
      </x:c>
      <x:c r="E61" s="14" t="str">
        <x:v>apoikia</x:v>
      </x:c>
      <x:c r="F61" s="14" t="str">
        <x:v>colony</x:v>
      </x:c>
      <x:c r="G61" s="14" t="str">
        <x:v>Χερσόνησος Ταυρική</x:v>
      </x:c>
      <x:c r="H61" s="14" t="str">
        <x:v>Chersonesus Taurica</x:v>
      </x:c>
      <x:c r="I61" s="14" t="str">
        <x:v>Χερσόνησος</x:v>
      </x:c>
      <x:c r="J61" s="16" t="str">
        <x:v>Ηρακλειώτικη αποικία στη νοτιοδυτική Κριμαία με οργανωμένη αγροτική χώρα.</x:v>
      </x:c>
      <x:c r="K61" s="16" t="str">
        <x:v>A colony of Heraclea Pontica in southwestern Crimea, distinguished by its organized agricultural chora.</x:v>
      </x:c>
      <x:c r="L61" s="14"/>
      <x:c r="M61" s="14"/>
      <x:c r="N61" s="14"/>
      <x:c r="O61" s="14" t="str">
        <x:v>region-tayrike</x:v>
      </x:c>
      <x:c r="P61" s="14" t="str">
        <x:v>approximate</x:v>
      </x:c>
      <x:c r="Q61" s="14" t="str">
        <x:v>high</x:v>
      </x:c>
      <x:c r="R61" s="14" t="str">
        <x:v>high</x:v>
      </x:c>
      <x:c r="S61" s="14" t="str">
        <x:v>reviewed</x:v>
      </x:c>
      <x:c r="T61" s="14" t="str">
        <x:v>machine_assisted_reviewed</x:v>
      </x:c>
      <x:c r="U61" s="14" t="str">
        <x:v>1.0.0</x:v>
      </x:c>
      <x:c r="V61" s="14" t="str">
        <x:v>archaios_ellinikos_kosmos_entities_v0_1.csv</x:v>
      </x:c>
      <x:c r="W61" s="17" t="n">
        <x:v>46248</x:v>
      </x:c>
      <x:c r="X61" s="14" t="str">
        <x:v>Codex-assisted normalization of user research</x:v>
      </x:c>
    </x:row>
    <x:row r="62" ht="44" customHeight="1">
      <x:c r="A62" s="14" t="str">
        <x:v>colony-clazomenae</x:v>
      </x:c>
      <x:c r="B62" s="14" t="str">
        <x:v>colony-clazomenae</x:v>
      </x:c>
      <x:c r="C62" s="14" t="str">
        <x:v>settlement</x:v>
      </x:c>
      <x:c r="D62" s="14" t="str">
        <x:v>polis</x:v>
      </x:c>
      <x:c r="E62" s="14" t="str">
        <x:v>apoikia</x:v>
      </x:c>
      <x:c r="F62" s="14" t="str">
        <x:v>colony</x:v>
      </x:c>
      <x:c r="G62" s="14" t="str">
        <x:v>Κλαζομενές</x:v>
      </x:c>
      <x:c r="H62" s="14" t="str">
        <x:v>Clazomenae</x:v>
      </x:c>
      <x:c r="I62" s="14" t="str">
        <x:v>Κλαζομεναί</x:v>
      </x:c>
      <x:c r="J62" s="16" t="str">
        <x:v>Ιωνική πόλη σε νησίδα και στην απέναντι ακτή, σημαντική για την κεραμική και το εμπόριο.</x:v>
      </x:c>
      <x:c r="K62" s="16" t="str">
        <x:v>Ionian city on an island and on the opposite coast, important for pottery and trade.</x:v>
      </x:c>
      <x:c r="L62" s="14"/>
      <x:c r="M62" s="14"/>
      <x:c r="N62" s="14"/>
      <x:c r="O62" s="14" t="str">
        <x:v>region-ionia</x:v>
      </x:c>
      <x:c r="P62" s="14" t="str">
        <x:v>approximate</x:v>
      </x:c>
      <x:c r="Q62" s="14" t="str">
        <x:v>high</x:v>
      </x:c>
      <x:c r="R62" s="14" t="str">
        <x:v>high</x:v>
      </x:c>
      <x:c r="S62" s="14" t="str">
        <x:v>reviewed</x:v>
      </x:c>
      <x:c r="T62" s="14" t="str">
        <x:v>machine_assisted_reviewed</x:v>
      </x:c>
      <x:c r="U62" s="14" t="str">
        <x:v>1.0.0</x:v>
      </x:c>
      <x:c r="V62" s="14" t="str">
        <x:v>archaios_ellinikos_kosmos_entities_v0_1.csv</x:v>
      </x:c>
      <x:c r="W62" s="17" t="n">
        <x:v>46248</x:v>
      </x:c>
      <x:c r="X62" s="14" t="str">
        <x:v>Codex-assisted normalization of user research</x:v>
      </x:c>
    </x:row>
    <x:row r="63" ht="44" customHeight="1">
      <x:c r="A63" s="14" t="str">
        <x:v>colony-cnidus</x:v>
      </x:c>
      <x:c r="B63" s="14" t="str">
        <x:v>colony-cnidus</x:v>
      </x:c>
      <x:c r="C63" s="14" t="str">
        <x:v>settlement</x:v>
      </x:c>
      <x:c r="D63" s="14" t="str">
        <x:v>polis</x:v>
      </x:c>
      <x:c r="E63" s="14" t="str">
        <x:v>apoikia</x:v>
      </x:c>
      <x:c r="F63" s="14" t="str">
        <x:v>colony</x:v>
      </x:c>
      <x:c r="G63" s="14" t="str">
        <x:v>Κνίδος</x:v>
      </x:c>
      <x:c r="H63" s="14" t="str">
        <x:v>Cnidus</x:v>
      </x:c>
      <x:c r="I63" s="14" t="str">
        <x:v>Κνίδος</x:v>
      </x:c>
      <x:c r="J63" s="16" t="str">
        <x:v>Η μνημειακή νεότερη Κνίδος στο άκρο της χερσονήσου διαδέχθηκε την αρχαιότερη δωρική εγκατάσταση στο Burgaz.</x:v>
      </x:c>
      <x:c r="K63" s="16" t="str">
        <x:v>The monumental later city of Cnidus at the tip of the peninsula succeeded an earlier Doric settlement at Burgaz.</x:v>
      </x:c>
      <x:c r="L63" s="14"/>
      <x:c r="M63" s="14"/>
      <x:c r="N63" s="14"/>
      <x:c r="O63" s="14" t="str">
        <x:v>region-karia</x:v>
      </x:c>
      <x:c r="P63" s="14" t="str">
        <x:v>approximate</x:v>
      </x:c>
      <x:c r="Q63" s="14" t="str">
        <x:v>high</x:v>
      </x:c>
      <x:c r="R63" s="14" t="str">
        <x:v>high</x:v>
      </x:c>
      <x:c r="S63" s="14" t="str">
        <x:v>reviewed</x:v>
      </x:c>
      <x:c r="T63" s="14" t="str">
        <x:v>machine_assisted_reviewed</x:v>
      </x:c>
      <x:c r="U63" s="14" t="str">
        <x:v>1.0.0</x:v>
      </x:c>
      <x:c r="V63" s="14" t="str">
        <x:v>archaios_ellinikos_kosmos_entities_v0_1.csv</x:v>
      </x:c>
      <x:c r="W63" s="17" t="n">
        <x:v>46248</x:v>
      </x:c>
      <x:c r="X63" s="14" t="str">
        <x:v>Codex-assisted normalization of user research</x:v>
      </x:c>
    </x:row>
    <x:row r="64" ht="44" customHeight="1">
      <x:c r="A64" s="14" t="str">
        <x:v>colony-colophon</x:v>
      </x:c>
      <x:c r="B64" s="14" t="str">
        <x:v>colony-colophon</x:v>
      </x:c>
      <x:c r="C64" s="14" t="str">
        <x:v>settlement</x:v>
      </x:c>
      <x:c r="D64" s="14" t="str">
        <x:v>polis</x:v>
      </x:c>
      <x:c r="E64" s="14" t="str">
        <x:v>apoikia</x:v>
      </x:c>
      <x:c r="F64" s="14" t="str">
        <x:v>colony</x:v>
      </x:c>
      <x:c r="G64" s="14" t="str">
        <x:v>Κολοφώνα</x:v>
      </x:c>
      <x:c r="H64" s="14" t="str">
        <x:v>Colophon</x:v>
      </x:c>
      <x:c r="I64" s="14" t="str">
        <x:v>Κολοφών</x:v>
      </x:c>
      <x:c r="J64" s="16" t="str">
        <x:v>Μία από τις δώδεκα ιωνικές πόλεις, γνωστή για το ιππικό και την πνευματική της παράδοση.</x:v>
      </x:c>
      <x:c r="K64" s="16" t="str">
        <x:v>One of the twelve Ionian cities, known for its cavalry and spiritual tradition.</x:v>
      </x:c>
      <x:c r="L64" s="14"/>
      <x:c r="M64" s="14"/>
      <x:c r="N64" s="14"/>
      <x:c r="O64" s="14" t="str">
        <x:v>region-ionia</x:v>
      </x:c>
      <x:c r="P64" s="14" t="str">
        <x:v>approximate</x:v>
      </x:c>
      <x:c r="Q64" s="14" t="str">
        <x:v>high</x:v>
      </x:c>
      <x:c r="R64" s="14" t="str">
        <x:v>high</x:v>
      </x:c>
      <x:c r="S64" s="14" t="str">
        <x:v>reviewed</x:v>
      </x:c>
      <x:c r="T64" s="14" t="str">
        <x:v>machine_assisted_reviewed</x:v>
      </x:c>
      <x:c r="U64" s="14" t="str">
        <x:v>1.0.0</x:v>
      </x:c>
      <x:c r="V64" s="14" t="str">
        <x:v>archaios_ellinikos_kosmos_entities_v0_1.csv</x:v>
      </x:c>
      <x:c r="W64" s="17" t="n">
        <x:v>46248</x:v>
      </x:c>
      <x:c r="X64" s="14" t="str">
        <x:v>Codex-assisted normalization of user research</x:v>
      </x:c>
    </x:row>
    <x:row r="65" ht="44" customHeight="1">
      <x:c r="A65" s="14" t="str">
        <x:v>colony-corcyra</x:v>
      </x:c>
      <x:c r="B65" s="14" t="str">
        <x:v>colony-corcyra</x:v>
      </x:c>
      <x:c r="C65" s="14" t="str">
        <x:v>settlement</x:v>
      </x:c>
      <x:c r="D65" s="14" t="str">
        <x:v>polis</x:v>
      </x:c>
      <x:c r="E65" s="14" t="str">
        <x:v>apoikia</x:v>
      </x:c>
      <x:c r="F65" s="14" t="str">
        <x:v>colony</x:v>
      </x:c>
      <x:c r="G65" s="14" t="str">
        <x:v>Κέρκυρα</x:v>
      </x:c>
      <x:c r="H65" s="14" t="str">
        <x:v>Corcyra</x:v>
      </x:c>
      <x:c r="I65" s="14" t="str">
        <x:v>Κόρκυρα</x:v>
      </x:c>
      <x:c r="J65" s="16" t="str">
        <x:v>Ισχυρή κορινθιακή αποικία στο Ιόνιο και σημαντικός ναυτικός σταθμός προς τη Δύση.</x:v>
      </x:c>
      <x:c r="K65" s="16" t="str">
        <x:v>A powerful Corinthian colony in the Ionian Sea and an important naval station on routes westward.</x:v>
      </x:c>
      <x:c r="L65" s="14"/>
      <x:c r="M65" s="14"/>
      <x:c r="N65" s="14"/>
      <x:c r="O65" s="14" t="str">
        <x:v>region-epeiros-ionio</x:v>
      </x:c>
      <x:c r="P65" s="14" t="str">
        <x:v>approximate</x:v>
      </x:c>
      <x:c r="Q65" s="14" t="str">
        <x:v>high</x:v>
      </x:c>
      <x:c r="R65" s="14" t="str">
        <x:v>high</x:v>
      </x:c>
      <x:c r="S65" s="14" t="str">
        <x:v>reviewed</x:v>
      </x:c>
      <x:c r="T65" s="14" t="str">
        <x:v>machine_assisted_reviewed</x:v>
      </x:c>
      <x:c r="U65" s="14" t="str">
        <x:v>1.0.0</x:v>
      </x:c>
      <x:c r="V65" s="14" t="str">
        <x:v>archaios_ellinikos_kosmos_entities_v0_1.csv</x:v>
      </x:c>
      <x:c r="W65" s="17" t="n">
        <x:v>46248</x:v>
      </x:c>
      <x:c r="X65" s="14" t="str">
        <x:v>Codex-assisted normalization of user research</x:v>
      </x:c>
    </x:row>
    <x:row r="66" ht="44" customHeight="1">
      <x:c r="A66" s="14" t="str">
        <x:v>colony-croton</x:v>
      </x:c>
      <x:c r="B66" s="14" t="str">
        <x:v>colony-croton</x:v>
      </x:c>
      <x:c r="C66" s="14" t="str">
        <x:v>settlement</x:v>
      </x:c>
      <x:c r="D66" s="14" t="str">
        <x:v>polis</x:v>
      </x:c>
      <x:c r="E66" s="14" t="str">
        <x:v>apoikia</x:v>
      </x:c>
      <x:c r="F66" s="14" t="str">
        <x:v>colony</x:v>
      </x:c>
      <x:c r="G66" s="14" t="str">
        <x:v>Κρότων</x:v>
      </x:c>
      <x:c r="H66" s="14" t="str">
        <x:v>Croton</x:v>
      </x:c>
      <x:c r="I66" s="14" t="str">
        <x:v>Κρότων</x:v>
      </x:c>
      <x:c r="J66" s="16" t="str">
        <x:v>Αχαϊκή αποικία, γνωστή για τους αθλητές της και τη σχολή του Πυθαγόρα.</x:v>
      </x:c>
      <x:c r="K66" s="16" t="str">
        <x:v>Achaean colony, known for its athletes and the school of Pythagoras.</x:v>
      </x:c>
      <x:c r="L66" s="14"/>
      <x:c r="M66" s="14"/>
      <x:c r="N66" s="14"/>
      <x:c r="O66" s="14" t="str">
        <x:v>region-megale-ellada-brettia</x:v>
      </x:c>
      <x:c r="P66" s="14" t="str">
        <x:v>approximate</x:v>
      </x:c>
      <x:c r="Q66" s="14" t="str">
        <x:v>high</x:v>
      </x:c>
      <x:c r="R66" s="14" t="str">
        <x:v>high</x:v>
      </x:c>
      <x:c r="S66" s="14" t="str">
        <x:v>reviewed</x:v>
      </x:c>
      <x:c r="T66" s="14" t="str">
        <x:v>machine_assisted_reviewed</x:v>
      </x:c>
      <x:c r="U66" s="14" t="str">
        <x:v>1.0.0</x:v>
      </x:c>
      <x:c r="V66" s="14" t="str">
        <x:v>archaios_ellinikos_kosmos_entities_v0_1.csv</x:v>
      </x:c>
      <x:c r="W66" s="17" t="n">
        <x:v>46248</x:v>
      </x:c>
      <x:c r="X66" s="14" t="str">
        <x:v>Codex-assisted normalization of user research</x:v>
      </x:c>
    </x:row>
    <x:row r="67" ht="44" customHeight="1">
      <x:c r="A67" s="14" t="str">
        <x:v>colony-cumae-campania</x:v>
      </x:c>
      <x:c r="B67" s="14" t="str">
        <x:v>colony-cumae-campania</x:v>
      </x:c>
      <x:c r="C67" s="14" t="str">
        <x:v>settlement</x:v>
      </x:c>
      <x:c r="D67" s="14" t="str">
        <x:v>polis</x:v>
      </x:c>
      <x:c r="E67" s="14" t="str">
        <x:v>apoikia</x:v>
      </x:c>
      <x:c r="F67" s="14" t="str">
        <x:v>colony</x:v>
      </x:c>
      <x:c r="G67" s="14" t="str">
        <x:v>Κύμη Καμπανίας</x:v>
      </x:c>
      <x:c r="H67" s="14" t="str">
        <x:v>Cumae</x:v>
      </x:c>
      <x:c r="I67" s="14" t="str">
        <x:v>Κύμη</x:v>
      </x:c>
      <x:c r="J67" s="16" t="str">
        <x:v>Πρώιμη ευβοϊκή αποικία στην ιταλική χερσόνησο και μητρόπολη της Νεάπολης.</x:v>
      </x:c>
      <x:c r="K67" s="16" t="str">
        <x:v>Early Euboean colony on the Italian peninsula and metropolis of Naples.</x:v>
      </x:c>
      <x:c r="L67" s="14"/>
      <x:c r="M67" s="14"/>
      <x:c r="N67" s="14"/>
      <x:c r="O67" s="14" t="str">
        <x:v>region-megale-ellada-kampania</x:v>
      </x:c>
      <x:c r="P67" s="14" t="str">
        <x:v>approximate</x:v>
      </x:c>
      <x:c r="Q67" s="14" t="str">
        <x:v>high</x:v>
      </x:c>
      <x:c r="R67" s="14" t="str">
        <x:v>high</x:v>
      </x:c>
      <x:c r="S67" s="14" t="str">
        <x:v>reviewed</x:v>
      </x:c>
      <x:c r="T67" s="14" t="str">
        <x:v>machine_assisted_reviewed</x:v>
      </x:c>
      <x:c r="U67" s="14" t="str">
        <x:v>1.0.0</x:v>
      </x:c>
      <x:c r="V67" s="14" t="str">
        <x:v>archaios_ellinikos_kosmos_entities_v0_1.csv</x:v>
      </x:c>
      <x:c r="W67" s="17" t="n">
        <x:v>46248</x:v>
      </x:c>
      <x:c r="X67" s="14" t="str">
        <x:v>Codex-assisted normalization of user research</x:v>
      </x:c>
    </x:row>
    <x:row r="68" ht="44" customHeight="1">
      <x:c r="A68" s="14" t="str">
        <x:v>colony-cyme-aeolis</x:v>
      </x:c>
      <x:c r="B68" s="14" t="str">
        <x:v>colony-cyme-aeolis</x:v>
      </x:c>
      <x:c r="C68" s="14" t="str">
        <x:v>settlement</x:v>
      </x:c>
      <x:c r="D68" s="14" t="str">
        <x:v>polis</x:v>
      </x:c>
      <x:c r="E68" s="14" t="str">
        <x:v>apoikia</x:v>
      </x:c>
      <x:c r="F68" s="14" t="str">
        <x:v>colony</x:v>
      </x:c>
      <x:c r="G68" s="14" t="str">
        <x:v>Κύμη Αιολίδας</x:v>
      </x:c>
      <x:c r="H68" s="14" t="str">
        <x:v>Cyme</x:v>
      </x:c>
      <x:c r="I68" s="14" t="str">
        <x:v>Κύμη</x:v>
      </x:c>
      <x:c r="J68" s="16" t="str">
        <x:v>Η σημαντικότερη από τις αιολικές πόλεις της μικρασιατικής ακτής και αποικιακό κέντρο.</x:v>
      </x:c>
      <x:c r="K68" s="16" t="str">
        <x:v>The most important of the Aeolian cities of the Asia Minor coast and a colonial center.</x:v>
      </x:c>
      <x:c r="L68" s="14"/>
      <x:c r="M68" s="14"/>
      <x:c r="N68" s="14"/>
      <x:c r="O68" s="14" t="str">
        <x:v>region-aiolida</x:v>
      </x:c>
      <x:c r="P68" s="14" t="str">
        <x:v>approximate</x:v>
      </x:c>
      <x:c r="Q68" s="14" t="str">
        <x:v>high</x:v>
      </x:c>
      <x:c r="R68" s="14" t="str">
        <x:v>high</x:v>
      </x:c>
      <x:c r="S68" s="14" t="str">
        <x:v>reviewed</x:v>
      </x:c>
      <x:c r="T68" s="14" t="str">
        <x:v>machine_assisted_reviewed</x:v>
      </x:c>
      <x:c r="U68" s="14" t="str">
        <x:v>1.0.0</x:v>
      </x:c>
      <x:c r="V68" s="14" t="str">
        <x:v>archaios_ellinikos_kosmos_entities_v0_1.csv</x:v>
      </x:c>
      <x:c r="W68" s="17" t="n">
        <x:v>46248</x:v>
      </x:c>
      <x:c r="X68" s="14" t="str">
        <x:v>Codex-assisted normalization of user research</x:v>
      </x:c>
    </x:row>
    <x:row r="69" ht="44" customHeight="1">
      <x:c r="A69" s="14" t="str">
        <x:v>colony-cyrene</x:v>
      </x:c>
      <x:c r="B69" s="14" t="str">
        <x:v>colony-cyrene</x:v>
      </x:c>
      <x:c r="C69" s="14" t="str">
        <x:v>settlement</x:v>
      </x:c>
      <x:c r="D69" s="14" t="str">
        <x:v>polis</x:v>
      </x:c>
      <x:c r="E69" s="14" t="str">
        <x:v>apoikia</x:v>
      </x:c>
      <x:c r="F69" s="14" t="str">
        <x:v>colony</x:v>
      </x:c>
      <x:c r="G69" s="14" t="str">
        <x:v>Κυρήνη</x:v>
      </x:c>
      <x:c r="H69" s="14" t="str">
        <x:v>Cyrene</x:v>
      </x:c>
      <x:c r="I69" s="14" t="str">
        <x:v>Κυρήνη</x:v>
      </x:c>
      <x:c r="J69" s="16" t="str">
        <x:v>Θηραϊκή αποικία στο οροπέδιο της Κυρηναϊκής και κέντρο της ελληνικής Πεντάπολης.</x:v>
      </x:c>
      <x:c r="K69" s="16" t="str">
        <x:v>Theraic colony on the Cyrenaican plateau and center of the Greek Pentapolis.</x:v>
      </x:c>
      <x:c r="L69" s="14"/>
      <x:c r="M69" s="14"/>
      <x:c r="N69" s="14"/>
      <x:c r="O69" s="14" t="str">
        <x:v>region-kyrenaike</x:v>
      </x:c>
      <x:c r="P69" s="14" t="str">
        <x:v>approximate</x:v>
      </x:c>
      <x:c r="Q69" s="14" t="str">
        <x:v>high</x:v>
      </x:c>
      <x:c r="R69" s="14" t="str">
        <x:v>high</x:v>
      </x:c>
      <x:c r="S69" s="14" t="str">
        <x:v>reviewed</x:v>
      </x:c>
      <x:c r="T69" s="14" t="str">
        <x:v>machine_assisted_reviewed</x:v>
      </x:c>
      <x:c r="U69" s="14" t="str">
        <x:v>1.0.0</x:v>
      </x:c>
      <x:c r="V69" s="14" t="str">
        <x:v>archaios_ellinikos_kosmos_entities_v0_1.csv</x:v>
      </x:c>
      <x:c r="W69" s="17" t="n">
        <x:v>46248</x:v>
      </x:c>
      <x:c r="X69" s="14" t="str">
        <x:v>Codex-assisted normalization of user research</x:v>
      </x:c>
    </x:row>
    <x:row r="70" ht="44" customHeight="1">
      <x:c r="A70" s="14" t="str">
        <x:v>colony-cyzicus</x:v>
      </x:c>
      <x:c r="B70" s="14" t="str">
        <x:v>colony-cyzicus</x:v>
      </x:c>
      <x:c r="C70" s="14" t="str">
        <x:v>settlement</x:v>
      </x:c>
      <x:c r="D70" s="14" t="str">
        <x:v>polis</x:v>
      </x:c>
      <x:c r="E70" s="14" t="str">
        <x:v>apoikia</x:v>
      </x:c>
      <x:c r="F70" s="14" t="str">
        <x:v>colony</x:v>
      </x:c>
      <x:c r="G70" s="14" t="str">
        <x:v>Κύζικος</x:v>
      </x:c>
      <x:c r="H70" s="14" t="str">
        <x:v>Cyzicus</x:v>
      </x:c>
      <x:c r="I70" s="14" t="str">
        <x:v>Κύζικος</x:v>
      </x:c>
      <x:c r="J70" s="16" t="str">
        <x:v>Μιλησιακή αποικία σε στρατηγική θέση της Προποντίδας, με ισχυρό εμπόριο και νόμισμα.</x:v>
      </x:c>
      <x:c r="K70" s="16" t="str">
        <x:v>A Milesian colony in a strategic position on the Propontis, with strong trade and influential coinage.</x:v>
      </x:c>
      <x:c r="L70" s="14"/>
      <x:c r="M70" s="14"/>
      <x:c r="N70" s="14"/>
      <x:c r="O70" s="14" t="str">
        <x:v>region-mysia-propontida</x:v>
      </x:c>
      <x:c r="P70" s="14" t="str">
        <x:v>approximate</x:v>
      </x:c>
      <x:c r="Q70" s="14" t="str">
        <x:v>high</x:v>
      </x:c>
      <x:c r="R70" s="14" t="str">
        <x:v>high</x:v>
      </x:c>
      <x:c r="S70" s="14" t="str">
        <x:v>reviewed</x:v>
      </x:c>
      <x:c r="T70" s="14" t="str">
        <x:v>machine_assisted_reviewed</x:v>
      </x:c>
      <x:c r="U70" s="14" t="str">
        <x:v>1.0.0</x:v>
      </x:c>
      <x:c r="V70" s="14" t="str">
        <x:v>archaios_ellinikos_kosmos_entities_v0_1.csv</x:v>
      </x:c>
      <x:c r="W70" s="17" t="n">
        <x:v>46248</x:v>
      </x:c>
      <x:c r="X70" s="14" t="str">
        <x:v>Codex-assisted normalization of user research</x:v>
      </x:c>
    </x:row>
    <x:row r="71" ht="44" customHeight="1">
      <x:c r="A71" s="14" t="str">
        <x:v>colony-dioscurias</x:v>
      </x:c>
      <x:c r="B71" s="14" t="str">
        <x:v>colony-dioscurias</x:v>
      </x:c>
      <x:c r="C71" s="14" t="str">
        <x:v>settlement</x:v>
      </x:c>
      <x:c r="D71" s="14" t="str">
        <x:v>polis</x:v>
      </x:c>
      <x:c r="E71" s="14" t="str">
        <x:v>apoikia</x:v>
      </x:c>
      <x:c r="F71" s="14" t="str">
        <x:v>colony</x:v>
      </x:c>
      <x:c r="G71" s="14" t="str">
        <x:v>Διοσκουριάς</x:v>
      </x:c>
      <x:c r="H71" s="14" t="str">
        <x:v>Dioscurias</x:v>
      </x:c>
      <x:c r="I71" s="14" t="str">
        <x:v>Διοσκουριάς</x:v>
      </x:c>
      <x:c r="J71" s="16" t="str">
        <x:v>Ελληνικό λιμάνι της Κολχίδας, κόμβος εμπορίου με τον Καύκασο.</x:v>
      </x:c>
      <x:c r="K71" s="16" t="str">
        <x:v>Greek port of Colchis, trade hub with the Caucasus.</x:v>
      </x:c>
      <x:c r="L71" s="14"/>
      <x:c r="M71" s="14"/>
      <x:c r="N71" s="14"/>
      <x:c r="O71" s="14" t="str">
        <x:v>region-kolchida</x:v>
      </x:c>
      <x:c r="P71" s="14" t="str">
        <x:v>approximate</x:v>
      </x:c>
      <x:c r="Q71" s="14" t="str">
        <x:v>high</x:v>
      </x:c>
      <x:c r="R71" s="14" t="str">
        <x:v>high</x:v>
      </x:c>
      <x:c r="S71" s="14" t="str">
        <x:v>reviewed</x:v>
      </x:c>
      <x:c r="T71" s="14" t="str">
        <x:v>machine_assisted_reviewed</x:v>
      </x:c>
      <x:c r="U71" s="14" t="str">
        <x:v>1.0.0</x:v>
      </x:c>
      <x:c r="V71" s="14" t="str">
        <x:v>archaios_ellinikos_kosmos_entities_v0_1.csv</x:v>
      </x:c>
      <x:c r="W71" s="17" t="n">
        <x:v>46248</x:v>
      </x:c>
      <x:c r="X71" s="14" t="str">
        <x:v>Codex-assisted normalization of user research</x:v>
      </x:c>
    </x:row>
    <x:row r="72" ht="44" customHeight="1">
      <x:c r="A72" s="14" t="str">
        <x:v>colony-elea-velia</x:v>
      </x:c>
      <x:c r="B72" s="14" t="str">
        <x:v>colony-elea-velia</x:v>
      </x:c>
      <x:c r="C72" s="14" t="str">
        <x:v>settlement</x:v>
      </x:c>
      <x:c r="D72" s="14" t="str">
        <x:v>polis</x:v>
      </x:c>
      <x:c r="E72" s="14" t="str">
        <x:v>apoikia</x:v>
      </x:c>
      <x:c r="F72" s="14" t="str">
        <x:v>colony</x:v>
      </x:c>
      <x:c r="G72" s="14" t="str">
        <x:v>Ελέα</x:v>
      </x:c>
      <x:c r="H72" s="14" t="str">
        <x:v>Elea</x:v>
      </x:c>
      <x:c r="I72" s="14" t="str">
        <x:v>Ἐλέα</x:v>
      </x:c>
      <x:c r="J72" s="16" t="str">
        <x:v>Πόλη Φωκαέων προσφύγων και πατρίδα της ελεατικής φιλοσοφικής σχολής.</x:v>
      </x:c>
      <x:c r="K72" s="16" t="str">
        <x:v>City of Phocaean refugees and home of the Eleatic school of philosophy.</x:v>
      </x:c>
      <x:c r="L72" s="14"/>
      <x:c r="M72" s="14"/>
      <x:c r="N72" s="14"/>
      <x:c r="O72" s="14" t="str">
        <x:v>region-megale-ellada-leykania</x:v>
      </x:c>
      <x:c r="P72" s="14" t="str">
        <x:v>approximate</x:v>
      </x:c>
      <x:c r="Q72" s="14" t="str">
        <x:v>high</x:v>
      </x:c>
      <x:c r="R72" s="14" t="str">
        <x:v>high</x:v>
      </x:c>
      <x:c r="S72" s="14" t="str">
        <x:v>reviewed</x:v>
      </x:c>
      <x:c r="T72" s="14" t="str">
        <x:v>machine_assisted_reviewed</x:v>
      </x:c>
      <x:c r="U72" s="14" t="str">
        <x:v>1.0.0</x:v>
      </x:c>
      <x:c r="V72" s="14" t="str">
        <x:v>archaios_ellinikos_kosmos_entities_v0_1.csv</x:v>
      </x:c>
      <x:c r="W72" s="17" t="n">
        <x:v>46248</x:v>
      </x:c>
      <x:c r="X72" s="14" t="str">
        <x:v>Codex-assisted normalization of user research</x:v>
      </x:c>
    </x:row>
    <x:row r="73" ht="44" customHeight="1">
      <x:c r="A73" s="14" t="str">
        <x:v>colony-emporion-iberia</x:v>
      </x:c>
      <x:c r="B73" s="14" t="str">
        <x:v>colony-emporion-iberia</x:v>
      </x:c>
      <x:c r="C73" s="14" t="str">
        <x:v>settlement</x:v>
      </x:c>
      <x:c r="D73" s="14" t="str">
        <x:v>polis</x:v>
      </x:c>
      <x:c r="E73" s="14" t="str">
        <x:v>apoikia</x:v>
      </x:c>
      <x:c r="F73" s="14" t="str">
        <x:v>colony</x:v>
      </x:c>
      <x:c r="G73" s="14" t="str">
        <x:v>Εμπόριον</x:v>
      </x:c>
      <x:c r="H73" s="14" t="str">
        <x:v>Emporion</x:v>
      </x:c>
      <x:c r="I73" s="14" t="str">
        <x:v>Ἐμπόριον</x:v>
      </x:c>
      <x:c r="J73" s="16" t="str">
        <x:v>Μασσαλιώτικη εμπορική εγκατάσταση που εξελίχθηκε σε κύρια ελληνική πύλη της Ιβηρικής.</x:v>
      </x:c>
      <x:c r="K73" s="16" t="str">
        <x:v>A Massaliote trading settlement that developed into the principal Greek gateway to Iberia.</x:v>
      </x:c>
      <x:c r="L73" s="14"/>
      <x:c r="M73" s="14"/>
      <x:c r="N73" s="14"/>
      <x:c r="O73" s="14" t="str">
        <x:v>region-iberia-katalonia</x:v>
      </x:c>
      <x:c r="P73" s="14" t="str">
        <x:v>approximate</x:v>
      </x:c>
      <x:c r="Q73" s="14" t="str">
        <x:v>high</x:v>
      </x:c>
      <x:c r="R73" s="14" t="str">
        <x:v>high</x:v>
      </x:c>
      <x:c r="S73" s="14" t="str">
        <x:v>reviewed</x:v>
      </x:c>
      <x:c r="T73" s="14" t="str">
        <x:v>machine_assisted_reviewed</x:v>
      </x:c>
      <x:c r="U73" s="14" t="str">
        <x:v>1.0.0</x:v>
      </x:c>
      <x:c r="V73" s="14" t="str">
        <x:v>archaios_ellinikos_kosmos_entities_v0_1.csv</x:v>
      </x:c>
      <x:c r="W73" s="17" t="n">
        <x:v>46248</x:v>
      </x:c>
      <x:c r="X73" s="14" t="str">
        <x:v>Codex-assisted normalization of user research</x:v>
      </x:c>
    </x:row>
    <x:row r="74" ht="44" customHeight="1">
      <x:c r="A74" s="14" t="str">
        <x:v>colony-ephesus</x:v>
      </x:c>
      <x:c r="B74" s="14" t="str">
        <x:v>colony-ephesus</x:v>
      </x:c>
      <x:c r="C74" s="14" t="str">
        <x:v>settlement</x:v>
      </x:c>
      <x:c r="D74" s="14" t="str">
        <x:v>polis</x:v>
      </x:c>
      <x:c r="E74" s="14" t="str">
        <x:v>apoikia</x:v>
      </x:c>
      <x:c r="F74" s="14" t="str">
        <x:v>colony</x:v>
      </x:c>
      <x:c r="G74" s="14" t="str">
        <x:v>Έφεσος</x:v>
      </x:c>
      <x:c r="H74" s="14" t="str">
        <x:v>Ephesus</x:v>
      </x:c>
      <x:c r="I74" s="14" t="str">
        <x:v>Ἔφεσος</x:v>
      </x:c>
      <x:c r="J74" s="16" t="str">
        <x:v>Ιωνική πόλη με μεγάλο λιμάνι και το περίφημο Αρτεμίσιο, αργότερα πρωτεύουσα της ρωμαϊκής Ασίας.</x:v>
      </x:c>
      <x:c r="K74" s="16" t="str">
        <x:v>Ionian city with a large port and the famous Artemisium, later capital of Roman Asia.</x:v>
      </x:c>
      <x:c r="L74" s="14"/>
      <x:c r="M74" s="14"/>
      <x:c r="N74" s="14"/>
      <x:c r="O74" s="14" t="str">
        <x:v>region-ionia</x:v>
      </x:c>
      <x:c r="P74" s="14" t="str">
        <x:v>approximate</x:v>
      </x:c>
      <x:c r="Q74" s="14" t="str">
        <x:v>high</x:v>
      </x:c>
      <x:c r="R74" s="14" t="str">
        <x:v>high</x:v>
      </x:c>
      <x:c r="S74" s="14" t="str">
        <x:v>reviewed</x:v>
      </x:c>
      <x:c r="T74" s="14" t="str">
        <x:v>machine_assisted_reviewed</x:v>
      </x:c>
      <x:c r="U74" s="14" t="str">
        <x:v>1.0.0</x:v>
      </x:c>
      <x:c r="V74" s="14" t="str">
        <x:v>archaios_ellinikos_kosmos_entities_v0_1.csv</x:v>
      </x:c>
      <x:c r="W74" s="17" t="n">
        <x:v>46248</x:v>
      </x:c>
      <x:c r="X74" s="14" t="str">
        <x:v>Codex-assisted normalization of user research</x:v>
      </x:c>
    </x:row>
    <x:row r="75" ht="44" customHeight="1">
      <x:c r="A75" s="14" t="str">
        <x:v>colony-epidamnos</x:v>
      </x:c>
      <x:c r="B75" s="14" t="str">
        <x:v>colony-epidamnos</x:v>
      </x:c>
      <x:c r="C75" s="14" t="str">
        <x:v>settlement</x:v>
      </x:c>
      <x:c r="D75" s="14" t="str">
        <x:v>polis</x:v>
      </x:c>
      <x:c r="E75" s="14" t="str">
        <x:v>apoikia</x:v>
      </x:c>
      <x:c r="F75" s="14" t="str">
        <x:v>colony</x:v>
      </x:c>
      <x:c r="G75" s="14" t="str">
        <x:v>Επίδαμνος</x:v>
      </x:c>
      <x:c r="H75" s="14" t="str">
        <x:v>Epidamnos</x:v>
      </x:c>
      <x:c r="I75" s="14" t="str">
        <x:v>Ἐπίδαμνος</x:v>
      </x:c>
      <x:c r="J75" s="16" t="str">
        <x:v>Αποικία στην αλβανική ακτή, αργότερα γνωστή ως Δυρράχιο και αφετηρία της Εγνατίας.</x:v>
      </x:c>
      <x:c r="K75" s="16" t="str">
        <x:v>A colony on the Albanian coast, later known as Dyrrachium and a western terminus of the Via Egnatia.</x:v>
      </x:c>
      <x:c r="L75" s="14"/>
      <x:c r="M75" s="14"/>
      <x:c r="N75" s="14"/>
      <x:c r="O75" s="14" t="str">
        <x:v>region-illyria</x:v>
      </x:c>
      <x:c r="P75" s="14" t="str">
        <x:v>approximate</x:v>
      </x:c>
      <x:c r="Q75" s="14" t="str">
        <x:v>high</x:v>
      </x:c>
      <x:c r="R75" s="14" t="str">
        <x:v>high</x:v>
      </x:c>
      <x:c r="S75" s="14" t="str">
        <x:v>reviewed</x:v>
      </x:c>
      <x:c r="T75" s="14" t="str">
        <x:v>machine_assisted_reviewed</x:v>
      </x:c>
      <x:c r="U75" s="14" t="str">
        <x:v>1.0.0</x:v>
      </x:c>
      <x:c r="V75" s="14" t="str">
        <x:v>archaios_ellinikos_kosmos_entities_v0_1.csv</x:v>
      </x:c>
      <x:c r="W75" s="17" t="n">
        <x:v>46248</x:v>
      </x:c>
      <x:c r="X75" s="14" t="str">
        <x:v>Codex-assisted normalization of user research</x:v>
      </x:c>
    </x:row>
    <x:row r="76" ht="44" customHeight="1">
      <x:c r="A76" s="14" t="str">
        <x:v>colony-erythrae-ionia</x:v>
      </x:c>
      <x:c r="B76" s="14" t="str">
        <x:v>colony-erythrae-ionia</x:v>
      </x:c>
      <x:c r="C76" s="14" t="str">
        <x:v>settlement</x:v>
      </x:c>
      <x:c r="D76" s="14" t="str">
        <x:v>polis</x:v>
      </x:c>
      <x:c r="E76" s="14" t="str">
        <x:v>apoikia</x:v>
      </x:c>
      <x:c r="F76" s="14" t="str">
        <x:v>colony</x:v>
      </x:c>
      <x:c r="G76" s="14" t="str">
        <x:v>Ερυθρές</x:v>
      </x:c>
      <x:c r="H76" s="14" t="str">
        <x:v>Erythrae</x:v>
      </x:c>
      <x:c r="I76" s="14" t="str">
        <x:v>Ἐρυθραί</x:v>
      </x:c>
      <x:c r="J76" s="16" t="str">
        <x:v>Ιωνική πόλη στη χερσόνησο της Ερυθραίας, απέναντι από τη Χίο.</x:v>
      </x:c>
      <x:c r="K76" s="16" t="str">
        <x:v>Ionian city on the Erythraean peninsula, opposite Chios.</x:v>
      </x:c>
      <x:c r="L76" s="14"/>
      <x:c r="M76" s="14"/>
      <x:c r="N76" s="14"/>
      <x:c r="O76" s="14" t="str">
        <x:v>region-ionia</x:v>
      </x:c>
      <x:c r="P76" s="14" t="str">
        <x:v>approximate</x:v>
      </x:c>
      <x:c r="Q76" s="14" t="str">
        <x:v>high</x:v>
      </x:c>
      <x:c r="R76" s="14" t="str">
        <x:v>high</x:v>
      </x:c>
      <x:c r="S76" s="14" t="str">
        <x:v>reviewed</x:v>
      </x:c>
      <x:c r="T76" s="14" t="str">
        <x:v>machine_assisted_reviewed</x:v>
      </x:c>
      <x:c r="U76" s="14" t="str">
        <x:v>1.0.0</x:v>
      </x:c>
      <x:c r="V76" s="14" t="str">
        <x:v>archaios_ellinikos_kosmos_entities_v0_1.csv</x:v>
      </x:c>
      <x:c r="W76" s="17" t="n">
        <x:v>46248</x:v>
      </x:c>
      <x:c r="X76" s="14" t="str">
        <x:v>Codex-assisted normalization of user research</x:v>
      </x:c>
    </x:row>
    <x:row r="77" ht="44" customHeight="1">
      <x:c r="A77" s="14" t="str">
        <x:v>colony-euesperides</x:v>
      </x:c>
      <x:c r="B77" s="14" t="str">
        <x:v>colony-euesperides</x:v>
      </x:c>
      <x:c r="C77" s="14" t="str">
        <x:v>settlement</x:v>
      </x:c>
      <x:c r="D77" s="14" t="str">
        <x:v>polis</x:v>
      </x:c>
      <x:c r="E77" s="14" t="str">
        <x:v>apoikia</x:v>
      </x:c>
      <x:c r="F77" s="14" t="str">
        <x:v>colony</x:v>
      </x:c>
      <x:c r="G77" s="14" t="str">
        <x:v>Ευεσπερίδες</x:v>
      </x:c>
      <x:c r="H77" s="14" t="str">
        <x:v>Euesperides</x:v>
      </x:c>
      <x:c r="I77" s="14" t="str">
        <x:v>Εὐεσπερίδες</x:v>
      </x:c>
      <x:c r="J77" s="16" t="str">
        <x:v>Δυτική πόλη της Κυρηναϊκής, μεταφερμένη και μετονομασμένη σε Βερενίκη κατά την πτολεμαϊκή περίοδο.</x:v>
      </x:c>
      <x:c r="K77" s="16" t="str">
        <x:v>Western city of Cyrenaica, moved and renamed Berenice during the Ptolemaic period.</x:v>
      </x:c>
      <x:c r="L77" s="14"/>
      <x:c r="M77" s="14"/>
      <x:c r="N77" s="14"/>
      <x:c r="O77" s="14" t="str">
        <x:v>region-kyrenaike</x:v>
      </x:c>
      <x:c r="P77" s="14" t="str">
        <x:v>approximate</x:v>
      </x:c>
      <x:c r="Q77" s="14" t="str">
        <x:v>high</x:v>
      </x:c>
      <x:c r="R77" s="14" t="str">
        <x:v>high</x:v>
      </x:c>
      <x:c r="S77" s="14" t="str">
        <x:v>reviewed</x:v>
      </x:c>
      <x:c r="T77" s="14" t="str">
        <x:v>machine_assisted_reviewed</x:v>
      </x:c>
      <x:c r="U77" s="14" t="str">
        <x:v>1.0.0</x:v>
      </x:c>
      <x:c r="V77" s="14" t="str">
        <x:v>archaios_ellinikos_kosmos_entities_v0_1.csv</x:v>
      </x:c>
      <x:c r="W77" s="17" t="n">
        <x:v>46248</x:v>
      </x:c>
      <x:c r="X77" s="14" t="str">
        <x:v>Codex-assisted normalization of user research</x:v>
      </x:c>
    </x:row>
    <x:row r="78" ht="44" customHeight="1">
      <x:c r="A78" s="14" t="str">
        <x:v>colony-gela</x:v>
      </x:c>
      <x:c r="B78" s="14" t="str">
        <x:v>colony-gela</x:v>
      </x:c>
      <x:c r="C78" s="14" t="str">
        <x:v>settlement</x:v>
      </x:c>
      <x:c r="D78" s="14" t="str">
        <x:v>polis</x:v>
      </x:c>
      <x:c r="E78" s="14" t="str">
        <x:v>apoikia</x:v>
      </x:c>
      <x:c r="F78" s="14" t="str">
        <x:v>colony</x:v>
      </x:c>
      <x:c r="G78" s="14" t="str">
        <x:v>Γέλα</x:v>
      </x:c>
      <x:c r="H78" s="14" t="str">
        <x:v>Gela</x:v>
      </x:c>
      <x:c r="I78" s="14" t="str">
        <x:v>Γέλα</x:v>
      </x:c>
      <x:c r="J78" s="16" t="str">
        <x:v>Αποικία Ροδίων και Κρητών στη νότια Σικελία και μητρόπολη του Ακράγαντα.</x:v>
      </x:c>
      <x:c r="K78" s="16" t="str">
        <x:v>A colony of Rhodians and Cretans in southern Sicily and the metropolis of Akragas.</x:v>
      </x:c>
      <x:c r="L78" s="14"/>
      <x:c r="M78" s="14"/>
      <x:c r="N78" s="14"/>
      <x:c r="O78" s="14" t="str">
        <x:v>region-sikelia</x:v>
      </x:c>
      <x:c r="P78" s="14" t="str">
        <x:v>approximate</x:v>
      </x:c>
      <x:c r="Q78" s="14" t="str">
        <x:v>high</x:v>
      </x:c>
      <x:c r="R78" s="14" t="str">
        <x:v>high</x:v>
      </x:c>
      <x:c r="S78" s="14" t="str">
        <x:v>reviewed</x:v>
      </x:c>
      <x:c r="T78" s="14" t="str">
        <x:v>machine_assisted_reviewed</x:v>
      </x:c>
      <x:c r="U78" s="14" t="str">
        <x:v>1.0.0</x:v>
      </x:c>
      <x:c r="V78" s="14" t="str">
        <x:v>archaios_ellinikos_kosmos_entities_v0_1.csv</x:v>
      </x:c>
      <x:c r="W78" s="17" t="n">
        <x:v>46248</x:v>
      </x:c>
      <x:c r="X78" s="14" t="str">
        <x:v>Codex-assisted normalization of user research</x:v>
      </x:c>
    </x:row>
    <x:row r="79" ht="44" customHeight="1">
      <x:c r="A79" s="14" t="str">
        <x:v>colony-halicarnassus</x:v>
      </x:c>
      <x:c r="B79" s="14" t="str">
        <x:v>colony-halicarnassus</x:v>
      </x:c>
      <x:c r="C79" s="14" t="str">
        <x:v>settlement</x:v>
      </x:c>
      <x:c r="D79" s="14" t="str">
        <x:v>polis</x:v>
      </x:c>
      <x:c r="E79" s="14" t="str">
        <x:v>apoikia</x:v>
      </x:c>
      <x:c r="F79" s="14" t="str">
        <x:v>colony</x:v>
      </x:c>
      <x:c r="G79" s="14" t="str">
        <x:v>Αλικαρνασσός</x:v>
      </x:c>
      <x:c r="H79" s="14" t="str">
        <x:v>Halicarnassus</x:v>
      </x:c>
      <x:c r="I79" s="14" t="str">
        <x:v>Ἁλικαρνασσός</x:v>
      </x:c>
      <x:c r="J79" s="16" t="str">
        <x:v>Δωρική πόλη της Καρίας, πατρίδα του Ηροδότου και έδρα του Μαυσωλείου.</x:v>
      </x:c>
      <x:c r="K79" s="16" t="str">
        <x:v>Doric city of Caria, hometown of Herodotus and seat of the Mausoleum.</x:v>
      </x:c>
      <x:c r="L79" s="14"/>
      <x:c r="M79" s="14"/>
      <x:c r="N79" s="14"/>
      <x:c r="O79" s="14" t="str">
        <x:v>region-karia</x:v>
      </x:c>
      <x:c r="P79" s="14" t="str">
        <x:v>approximate</x:v>
      </x:c>
      <x:c r="Q79" s="14" t="str">
        <x:v>high</x:v>
      </x:c>
      <x:c r="R79" s="14" t="str">
        <x:v>high</x:v>
      </x:c>
      <x:c r="S79" s="14" t="str">
        <x:v>reviewed</x:v>
      </x:c>
      <x:c r="T79" s="14" t="str">
        <x:v>machine_assisted_reviewed</x:v>
      </x:c>
      <x:c r="U79" s="14" t="str">
        <x:v>1.0.0</x:v>
      </x:c>
      <x:c r="V79" s="14" t="str">
        <x:v>archaios_ellinikos_kosmos_entities_v0_1.csv</x:v>
      </x:c>
      <x:c r="W79" s="17" t="n">
        <x:v>46248</x:v>
      </x:c>
      <x:c r="X79" s="14" t="str">
        <x:v>Codex-assisted normalization of user research</x:v>
      </x:c>
    </x:row>
    <x:row r="80" ht="44" customHeight="1">
      <x:c r="A80" s="14" t="str">
        <x:v>colony-heraclea-pontica</x:v>
      </x:c>
      <x:c r="B80" s="14" t="str">
        <x:v>colony-heraclea-pontica</x:v>
      </x:c>
      <x:c r="C80" s="14" t="str">
        <x:v>settlement</x:v>
      </x:c>
      <x:c r="D80" s="14" t="str">
        <x:v>polis</x:v>
      </x:c>
      <x:c r="E80" s="14" t="str">
        <x:v>apoikia</x:v>
      </x:c>
      <x:c r="F80" s="14" t="str">
        <x:v>colony</x:v>
      </x:c>
      <x:c r="G80" s="14" t="str">
        <x:v>Ηράκλεια Ποντική</x:v>
      </x:c>
      <x:c r="H80" s="14" t="str">
        <x:v>Heraclea Pontica</x:v>
      </x:c>
      <x:c r="I80" s="14" t="str">
        <x:v>Ἡράκλεια ἡ Ποντική</x:v>
      </x:c>
      <x:c r="J80" s="16" t="str">
        <x:v>Ισχυρή αποικία στη νότια ακτή του Ευξείνου, η οποία ίδρυσε δικές της αποικίες.</x:v>
      </x:c>
      <x:c r="K80" s="16" t="str">
        <x:v>A powerful colony on the southern coast of the Black Sea that founded colonies of its own.</x:v>
      </x:c>
      <x:c r="L80" s="14"/>
      <x:c r="M80" s="14"/>
      <x:c r="N80" s="14"/>
      <x:c r="O80" s="14" t="str">
        <x:v>region-bithynia-pontos</x:v>
      </x:c>
      <x:c r="P80" s="14" t="str">
        <x:v>approximate</x:v>
      </x:c>
      <x:c r="Q80" s="14" t="str">
        <x:v>high</x:v>
      </x:c>
      <x:c r="R80" s="14" t="str">
        <x:v>high</x:v>
      </x:c>
      <x:c r="S80" s="14" t="str">
        <x:v>reviewed</x:v>
      </x:c>
      <x:c r="T80" s="14" t="str">
        <x:v>machine_assisted_reviewed</x:v>
      </x:c>
      <x:c r="U80" s="14" t="str">
        <x:v>1.0.0</x:v>
      </x:c>
      <x:c r="V80" s="14" t="str">
        <x:v>archaios_ellinikos_kosmos_entities_v0_1.csv</x:v>
      </x:c>
      <x:c r="W80" s="17" t="n">
        <x:v>46248</x:v>
      </x:c>
      <x:c r="X80" s="14" t="str">
        <x:v>Codex-assisted normalization of user research</x:v>
      </x:c>
    </x:row>
    <x:row r="81" ht="44" customHeight="1">
      <x:c r="A81" s="14" t="str">
        <x:v>colony-himera</x:v>
      </x:c>
      <x:c r="B81" s="14" t="str">
        <x:v>colony-himera</x:v>
      </x:c>
      <x:c r="C81" s="14" t="str">
        <x:v>settlement</x:v>
      </x:c>
      <x:c r="D81" s="14" t="str">
        <x:v>polis</x:v>
      </x:c>
      <x:c r="E81" s="14" t="str">
        <x:v>apoikia</x:v>
      </x:c>
      <x:c r="F81" s="14" t="str">
        <x:v>colony</x:v>
      </x:c>
      <x:c r="G81" s="14" t="str">
        <x:v>Ιμέρα</x:v>
      </x:c>
      <x:c r="H81" s="14" t="str">
        <x:v>Himera</x:v>
      </x:c>
      <x:c r="I81" s="14" t="str">
        <x:v>Ἱμέρα</x:v>
      </x:c>
      <x:c r="J81" s="16" t="str">
        <x:v>Αποικία στη βόρεια Σικελία, τόπος της ελληνικής νίκης του 480 π.Χ. και καταστροφής από την Καρχηδόνα το 409 π.Χ.</x:v>
      </x:c>
      <x:c r="K81" s="16" t="str">
        <x:v>Colony in northern Sicily, site of the Greek victory of 480 BC. and destruction by Carthage in 409 BC.</x:v>
      </x:c>
      <x:c r="L81" s="14"/>
      <x:c r="M81" s="14"/>
      <x:c r="N81" s="14"/>
      <x:c r="O81" s="14" t="str">
        <x:v>region-sikelia</x:v>
      </x:c>
      <x:c r="P81" s="14" t="str">
        <x:v>approximate</x:v>
      </x:c>
      <x:c r="Q81" s="14" t="str">
        <x:v>high</x:v>
      </x:c>
      <x:c r="R81" s="14" t="str">
        <x:v>high</x:v>
      </x:c>
      <x:c r="S81" s="14" t="str">
        <x:v>reviewed</x:v>
      </x:c>
      <x:c r="T81" s="14" t="str">
        <x:v>machine_assisted_reviewed</x:v>
      </x:c>
      <x:c r="U81" s="14" t="str">
        <x:v>1.0.0</x:v>
      </x:c>
      <x:c r="V81" s="14" t="str">
        <x:v>archaios_ellinikos_kosmos_entities_v0_1.csv</x:v>
      </x:c>
      <x:c r="W81" s="17" t="n">
        <x:v>46248</x:v>
      </x:c>
      <x:c r="X81" s="14" t="str">
        <x:v>Codex-assisted normalization of user research</x:v>
      </x:c>
    </x:row>
    <x:row r="82" ht="44" customHeight="1">
      <x:c r="A82" s="14" t="str">
        <x:v>colony-histria-pontica</x:v>
      </x:c>
      <x:c r="B82" s="14" t="str">
        <x:v>colony-histria-pontica</x:v>
      </x:c>
      <x:c r="C82" s="14" t="str">
        <x:v>settlement</x:v>
      </x:c>
      <x:c r="D82" s="14" t="str">
        <x:v>polis</x:v>
      </x:c>
      <x:c r="E82" s="14" t="str">
        <x:v>apoikia</x:v>
      </x:c>
      <x:c r="F82" s="14" t="str">
        <x:v>colony</x:v>
      </x:c>
      <x:c r="G82" s="14" t="str">
        <x:v>Ίστρια</x:v>
      </x:c>
      <x:c r="H82" s="14" t="str">
        <x:v>Histria</x:v>
      </x:c>
      <x:c r="I82" s="14" t="str">
        <x:v>Ἰστρίη</x:v>
      </x:c>
      <x:c r="J82" s="16" t="str">
        <x:v>Πρώιμη μιλησιακή αποικία στις λιμνοθάλασσες του Δούναβη, με μακρά ζωή έως την ύστερη αρχαιότητα.</x:v>
      </x:c>
      <x:c r="K82" s="16" t="str">
        <x:v>Early Milesian colony in the Danube lagoons, long-lived until late antiquity.</x:v>
      </x:c>
      <x:c r="L82" s="14"/>
      <x:c r="M82" s="14"/>
      <x:c r="N82" s="14"/>
      <x:c r="O82" s="14" t="str">
        <x:v>region-skythia-mikra</x:v>
      </x:c>
      <x:c r="P82" s="14" t="str">
        <x:v>approximate</x:v>
      </x:c>
      <x:c r="Q82" s="14" t="str">
        <x:v>high</x:v>
      </x:c>
      <x:c r="R82" s="14" t="str">
        <x:v>high</x:v>
      </x:c>
      <x:c r="S82" s="14" t="str">
        <x:v>reviewed</x:v>
      </x:c>
      <x:c r="T82" s="14" t="str">
        <x:v>machine_assisted_reviewed</x:v>
      </x:c>
      <x:c r="U82" s="14" t="str">
        <x:v>1.0.0</x:v>
      </x:c>
      <x:c r="V82" s="14" t="str">
        <x:v>archaios_ellinikos_kosmos_entities_v0_1.csv</x:v>
      </x:c>
      <x:c r="W82" s="17" t="n">
        <x:v>46248</x:v>
      </x:c>
      <x:c r="X82" s="14" t="str">
        <x:v>Codex-assisted normalization of user research</x:v>
      </x:c>
    </x:row>
    <x:row r="83" ht="44" customHeight="1">
      <x:c r="A83" s="14" t="str">
        <x:v>colony-iasos</x:v>
      </x:c>
      <x:c r="B83" s="14" t="str">
        <x:v>colony-iasos</x:v>
      </x:c>
      <x:c r="C83" s="14" t="str">
        <x:v>settlement</x:v>
      </x:c>
      <x:c r="D83" s="14" t="str">
        <x:v>polis</x:v>
      </x:c>
      <x:c r="E83" s="14" t="str">
        <x:v>apoikia</x:v>
      </x:c>
      <x:c r="F83" s="14" t="str">
        <x:v>colony</x:v>
      </x:c>
      <x:c r="G83" s="14" t="str">
        <x:v>Ιασός</x:v>
      </x:c>
      <x:c r="H83" s="14" t="str">
        <x:v>Iasos</x:v>
      </x:c>
      <x:c r="I83" s="14" t="str">
        <x:v>Ἰασός</x:v>
      </x:c>
      <x:c r="J83" s="16" t="str">
        <x:v>Ελληνική παράκτια πόλη της Καρίας σε μικρή χερσόνησο, με ισχυρή αλιευτική και εμπορική ζωή.</x:v>
      </x:c>
      <x:c r="K83" s="16" t="str">
        <x:v>Greek coastal city of Caria on a small peninsula, with a strong fishing and commercial life.</x:v>
      </x:c>
      <x:c r="L83" s="14"/>
      <x:c r="M83" s="14"/>
      <x:c r="N83" s="14"/>
      <x:c r="O83" s="14" t="str">
        <x:v>region-karia</x:v>
      </x:c>
      <x:c r="P83" s="14" t="str">
        <x:v>approximate</x:v>
      </x:c>
      <x:c r="Q83" s="14" t="str">
        <x:v>high</x:v>
      </x:c>
      <x:c r="R83" s="14" t="str">
        <x:v>high</x:v>
      </x:c>
      <x:c r="S83" s="14" t="str">
        <x:v>reviewed</x:v>
      </x:c>
      <x:c r="T83" s="14" t="str">
        <x:v>machine_assisted_reviewed</x:v>
      </x:c>
      <x:c r="U83" s="14" t="str">
        <x:v>1.0.0</x:v>
      </x:c>
      <x:c r="V83" s="14" t="str">
        <x:v>archaios_ellinikos_kosmos_entities_v0_1.csv</x:v>
      </x:c>
      <x:c r="W83" s="17" t="n">
        <x:v>46248</x:v>
      </x:c>
      <x:c r="X83" s="14" t="str">
        <x:v>Codex-assisted normalization of user research</x:v>
      </x:c>
    </x:row>
    <x:row r="84" ht="44" customHeight="1">
      <x:c r="A84" s="14" t="str">
        <x:v>colony-issa-vis</x:v>
      </x:c>
      <x:c r="B84" s="14" t="str">
        <x:v>colony-issa-vis</x:v>
      </x:c>
      <x:c r="C84" s="14" t="str">
        <x:v>settlement</x:v>
      </x:c>
      <x:c r="D84" s="14" t="str">
        <x:v>polis</x:v>
      </x:c>
      <x:c r="E84" s="14" t="str">
        <x:v>apoikia</x:v>
      </x:c>
      <x:c r="F84" s="14" t="str">
        <x:v>colony</x:v>
      </x:c>
      <x:c r="G84" s="14" t="str">
        <x:v>Ίσσα</x:v>
      </x:c>
      <x:c r="H84" s="14" t="str">
        <x:v>Issa</x:v>
      </x:c>
      <x:c r="I84" s="14" t="str">
        <x:v>Ἴσσα</x:v>
      </x:c>
      <x:c r="J84" s="16" t="str">
        <x:v>Συρακουσιακή αποικία στη νήσο Ίσσα, η οποία ίδρυσε δικές της εγκαταστάσεις στις δαλματικές ακτές.</x:v>
      </x:c>
      <x:c r="K84" s="16" t="str">
        <x:v>A Syracusan colony on the island of Issa that founded settlements of its own on the Dalmatian coast.</x:v>
      </x:c>
      <x:c r="L84" s="14"/>
      <x:c r="M84" s="14"/>
      <x:c r="N84" s="14"/>
      <x:c r="O84" s="14" t="str">
        <x:v>region-dalmatia</x:v>
      </x:c>
      <x:c r="P84" s="14" t="str">
        <x:v>approximate</x:v>
      </x:c>
      <x:c r="Q84" s="14" t="str">
        <x:v>medium</x:v>
      </x:c>
      <x:c r="R84" s="14" t="str">
        <x:v>medium</x:v>
      </x:c>
      <x:c r="S84" s="14" t="str">
        <x:v>reviewed</x:v>
      </x:c>
      <x:c r="T84" s="14" t="str">
        <x:v>machine_assisted_reviewed</x:v>
      </x:c>
      <x:c r="U84" s="14" t="str">
        <x:v>1.0.0</x:v>
      </x:c>
      <x:c r="V84" s="14" t="str">
        <x:v>archaios_ellinikos_kosmos_entities_v0_1.csv</x:v>
      </x:c>
      <x:c r="W84" s="17" t="n">
        <x:v>46249</x:v>
      </x:c>
      <x:c r="X84" s="14" t="str">
        <x:v>Codex-assisted scholarly review</x:v>
      </x:c>
    </x:row>
    <x:row r="85" ht="44" customHeight="1">
      <x:c r="A85" s="14" t="str">
        <x:v>colony-lampsacus</x:v>
      </x:c>
      <x:c r="B85" s="14" t="str">
        <x:v>colony-lampsacus</x:v>
      </x:c>
      <x:c r="C85" s="14" t="str">
        <x:v>settlement</x:v>
      </x:c>
      <x:c r="D85" s="14" t="str">
        <x:v>polis</x:v>
      </x:c>
      <x:c r="E85" s="14" t="str">
        <x:v>apoikia</x:v>
      </x:c>
      <x:c r="F85" s="14" t="str">
        <x:v>colony</x:v>
      </x:c>
      <x:c r="G85" s="14" t="str">
        <x:v>Λάμψακος</x:v>
      </x:c>
      <x:c r="H85" s="14" t="str">
        <x:v>Lampsacus</x:v>
      </x:c>
      <x:c r="I85" s="14" t="str">
        <x:v>Λάμψακος</x:v>
      </x:c>
      <x:c r="J85" s="16" t="str">
        <x:v>Φωκαϊκή αποικία στην ασιατική ακτή του Ελλησπόντου, γνωστή για το κρασί και τη λατρεία του Πριάπου.</x:v>
      </x:c>
      <x:c r="K85" s="16" t="str">
        <x:v>Phocaean colony on the Asian coast of the Hellespont, known for its wine and the worship of Priapus.</x:v>
      </x:c>
      <x:c r="L85" s="14"/>
      <x:c r="M85" s="14"/>
      <x:c r="N85" s="14"/>
      <x:c r="O85" s="14" t="str">
        <x:v>region-troada-ellespontos</x:v>
      </x:c>
      <x:c r="P85" s="14" t="str">
        <x:v>approximate</x:v>
      </x:c>
      <x:c r="Q85" s="14" t="str">
        <x:v>high</x:v>
      </x:c>
      <x:c r="R85" s="14" t="str">
        <x:v>high</x:v>
      </x:c>
      <x:c r="S85" s="14" t="str">
        <x:v>reviewed</x:v>
      </x:c>
      <x:c r="T85" s="14" t="str">
        <x:v>machine_assisted_reviewed</x:v>
      </x:c>
      <x:c r="U85" s="14" t="str">
        <x:v>1.0.0</x:v>
      </x:c>
      <x:c r="V85" s="14" t="str">
        <x:v>archaios_ellinikos_kosmos_entities_v0_1.csv</x:v>
      </x:c>
      <x:c r="W85" s="17" t="n">
        <x:v>46248</x:v>
      </x:c>
      <x:c r="X85" s="14" t="str">
        <x:v>Codex-assisted normalization of user research</x:v>
      </x:c>
    </x:row>
    <x:row r="86" ht="44" customHeight="1">
      <x:c r="A86" s="14" t="str">
        <x:v>colony-leontinoi</x:v>
      </x:c>
      <x:c r="B86" s="14" t="str">
        <x:v>colony-leontinoi</x:v>
      </x:c>
      <x:c r="C86" s="14" t="str">
        <x:v>settlement</x:v>
      </x:c>
      <x:c r="D86" s="14" t="str">
        <x:v>polis</x:v>
      </x:c>
      <x:c r="E86" s="14" t="str">
        <x:v>apoikia</x:v>
      </x:c>
      <x:c r="F86" s="14" t="str">
        <x:v>colony</x:v>
      </x:c>
      <x:c r="G86" s="14" t="str">
        <x:v>Λεοντίνοι</x:v>
      </x:c>
      <x:c r="H86" s="14" t="str">
        <x:v>Leontinoi</x:v>
      </x:c>
      <x:c r="I86" s="14" t="str">
        <x:v>Λεοντῖνοι</x:v>
      </x:c>
      <x:c r="J86" s="16" t="str">
        <x:v>Χαλκιδική αποικία στην εύφορη ενδοχώρα της ανατολικής Σικελίας.</x:v>
      </x:c>
      <x:c r="K86" s="16" t="str">
        <x:v>Chalkidian colony in the fertile hinterland of eastern Sicily.</x:v>
      </x:c>
      <x:c r="L86" s="14"/>
      <x:c r="M86" s="14"/>
      <x:c r="N86" s="14"/>
      <x:c r="O86" s="14" t="str">
        <x:v>region-sikelia</x:v>
      </x:c>
      <x:c r="P86" s="14" t="str">
        <x:v>approximate</x:v>
      </x:c>
      <x:c r="Q86" s="14" t="str">
        <x:v>high</x:v>
      </x:c>
      <x:c r="R86" s="14" t="str">
        <x:v>high</x:v>
      </x:c>
      <x:c r="S86" s="14" t="str">
        <x:v>reviewed</x:v>
      </x:c>
      <x:c r="T86" s="14" t="str">
        <x:v>machine_assisted_reviewed</x:v>
      </x:c>
      <x:c r="U86" s="14" t="str">
        <x:v>1.0.0</x:v>
      </x:c>
      <x:c r="V86" s="14" t="str">
        <x:v>archaios_ellinikos_kosmos_entities_v0_1.csv</x:v>
      </x:c>
      <x:c r="W86" s="17" t="n">
        <x:v>46248</x:v>
      </x:c>
      <x:c r="X86" s="14" t="str">
        <x:v>Codex-assisted normalization of user research</x:v>
      </x:c>
    </x:row>
    <x:row r="87" ht="44" customHeight="1">
      <x:c r="A87" s="14" t="str">
        <x:v>colony-locri-epizephyrii</x:v>
      </x:c>
      <x:c r="B87" s="14" t="str">
        <x:v>colony-locri-epizephyrii</x:v>
      </x:c>
      <x:c r="C87" s="14" t="str">
        <x:v>settlement</x:v>
      </x:c>
      <x:c r="D87" s="14" t="str">
        <x:v>polis</x:v>
      </x:c>
      <x:c r="E87" s="14" t="str">
        <x:v>apoikia</x:v>
      </x:c>
      <x:c r="F87" s="14" t="str">
        <x:v>colony</x:v>
      </x:c>
      <x:c r="G87" s="14" t="str">
        <x:v>Λοκροί Επιζεφύριοι</x:v>
      </x:c>
      <x:c r="H87" s="14" t="str">
        <x:v>Locri Epizephyrii</x:v>
      </x:c>
      <x:c r="I87" s="14" t="str">
        <x:v>Λοκροὶ Ἐπιζεφύριοι</x:v>
      </x:c>
      <x:c r="J87" s="16" t="str">
        <x:v>Λοκρική αποικία γνωστή για τη νομοθεσία του Ζάλευκου και τα ιερά της Περσεφόνης.</x:v>
      </x:c>
      <x:c r="K87" s="16" t="str">
        <x:v>Locrian colony known for the legislation of Zaleucus and the sanctuaries of Persephone.</x:v>
      </x:c>
      <x:c r="L87" s="14"/>
      <x:c r="M87" s="14"/>
      <x:c r="N87" s="14"/>
      <x:c r="O87" s="14" t="str">
        <x:v>region-megale-ellada-brettia</x:v>
      </x:c>
      <x:c r="P87" s="14" t="str">
        <x:v>approximate</x:v>
      </x:c>
      <x:c r="Q87" s="14" t="str">
        <x:v>high</x:v>
      </x:c>
      <x:c r="R87" s="14" t="str">
        <x:v>high</x:v>
      </x:c>
      <x:c r="S87" s="14" t="str">
        <x:v>reviewed</x:v>
      </x:c>
      <x:c r="T87" s="14" t="str">
        <x:v>machine_assisted_reviewed</x:v>
      </x:c>
      <x:c r="U87" s="14" t="str">
        <x:v>1.0.0</x:v>
      </x:c>
      <x:c r="V87" s="14" t="str">
        <x:v>archaios_ellinikos_kosmos_entities_v0_1.csv</x:v>
      </x:c>
      <x:c r="W87" s="17" t="n">
        <x:v>46248</x:v>
      </x:c>
      <x:c r="X87" s="14" t="str">
        <x:v>Codex-assisted normalization of user research</x:v>
      </x:c>
    </x:row>
    <x:row r="88" ht="44" customHeight="1">
      <x:c r="A88" s="14" t="str">
        <x:v>colony-magnesia-maeander</x:v>
      </x:c>
      <x:c r="B88" s="14" t="str">
        <x:v>colony-magnesia-maeander</x:v>
      </x:c>
      <x:c r="C88" s="14" t="str">
        <x:v>settlement</x:v>
      </x:c>
      <x:c r="D88" s="14" t="str">
        <x:v>polis</x:v>
      </x:c>
      <x:c r="E88" s="14" t="str">
        <x:v>apoikia</x:v>
      </x:c>
      <x:c r="F88" s="14" t="str">
        <x:v>colony</x:v>
      </x:c>
      <x:c r="G88" s="14" t="str">
        <x:v>Μαγνησία του Μαιάνδρου</x:v>
      </x:c>
      <x:c r="H88" s="14" t="str">
        <x:v>Magnesia on the Maeander</x:v>
      </x:c>
      <x:c r="I88" s="14" t="str">
        <x:v>Μαγνησία ἡ πρὸς Μαιάνδρῳ</x:v>
      </x:c>
      <x:c r="J88" s="16" t="str">
        <x:v>Ελληνική εγκατάσταση των Μαγνήτων στην κοιλάδα του Μαιάνδρου, γνωστή για το ιερό της Αρτέμιδος Λευκοφρυηνής.</x:v>
      </x:c>
      <x:c r="K88" s="16" t="str">
        <x:v>A Greek settlement of the Magnesians in the Maeander valley, known for the sanctuary of Artemis Leucophryene.</x:v>
      </x:c>
      <x:c r="L88" s="14"/>
      <x:c r="M88" s="14"/>
      <x:c r="N88" s="14"/>
      <x:c r="O88" s="14" t="str">
        <x:v>region-ionia-karia</x:v>
      </x:c>
      <x:c r="P88" s="14" t="str">
        <x:v>approximate</x:v>
      </x:c>
      <x:c r="Q88" s="14" t="str">
        <x:v>high</x:v>
      </x:c>
      <x:c r="R88" s="14" t="str">
        <x:v>high</x:v>
      </x:c>
      <x:c r="S88" s="14" t="str">
        <x:v>reviewed</x:v>
      </x:c>
      <x:c r="T88" s="14" t="str">
        <x:v>machine_assisted_reviewed</x:v>
      </x:c>
      <x:c r="U88" s="14" t="str">
        <x:v>1.0.0</x:v>
      </x:c>
      <x:c r="V88" s="14" t="str">
        <x:v>archaios_ellinikos_kosmos_entities_v0_1.csv</x:v>
      </x:c>
      <x:c r="W88" s="17" t="n">
        <x:v>46248</x:v>
      </x:c>
      <x:c r="X88" s="14" t="str">
        <x:v>Codex-assisted normalization of user research</x:v>
      </x:c>
    </x:row>
    <x:row r="89" ht="44" customHeight="1">
      <x:c r="A89" s="14" t="str">
        <x:v>colony-massalia</x:v>
      </x:c>
      <x:c r="B89" s="14" t="str">
        <x:v>colony-massalia</x:v>
      </x:c>
      <x:c r="C89" s="14" t="str">
        <x:v>settlement</x:v>
      </x:c>
      <x:c r="D89" s="14" t="str">
        <x:v>polis</x:v>
      </x:c>
      <x:c r="E89" s="14" t="str">
        <x:v>apoikia</x:v>
      </x:c>
      <x:c r="F89" s="14" t="str">
        <x:v>colony</x:v>
      </x:c>
      <x:c r="G89" s="14" t="str">
        <x:v>Μασσαλία</x:v>
      </x:c>
      <x:c r="H89" s="14" t="str">
        <x:v>Massalia</x:v>
      </x:c>
      <x:c r="I89" s="14" t="str">
        <x:v>Μασσαλία</x:v>
      </x:c>
      <x:c r="J89" s="16" t="str">
        <x:v>Μεγάλη φωκαϊκή αποικία και κύριος ελληνικός εμπορικός κόμβος της δυτικής Μεσογείου.</x:v>
      </x:c>
      <x:c r="K89" s="16" t="str">
        <x:v>Large Phocaean colony and main Greek commercial hub of the western Mediterranean.</x:v>
      </x:c>
      <x:c r="L89" s="14"/>
      <x:c r="M89" s="14"/>
      <x:c r="N89" s="14"/>
      <x:c r="O89" s="14" t="str">
        <x:v>region-galatia-probegkia</x:v>
      </x:c>
      <x:c r="P89" s="14" t="str">
        <x:v>approximate</x:v>
      </x:c>
      <x:c r="Q89" s="14" t="str">
        <x:v>high</x:v>
      </x:c>
      <x:c r="R89" s="14" t="str">
        <x:v>high</x:v>
      </x:c>
      <x:c r="S89" s="14" t="str">
        <x:v>reviewed</x:v>
      </x:c>
      <x:c r="T89" s="14" t="str">
        <x:v>machine_assisted_reviewed</x:v>
      </x:c>
      <x:c r="U89" s="14" t="str">
        <x:v>1.0.0</x:v>
      </x:c>
      <x:c r="V89" s="14" t="str">
        <x:v>archaios_ellinikos_kosmos_entities_v0_1.csv</x:v>
      </x:c>
      <x:c r="W89" s="17" t="n">
        <x:v>46248</x:v>
      </x:c>
      <x:c r="X89" s="14" t="str">
        <x:v>Codex-assisted normalization of user research</x:v>
      </x:c>
    </x:row>
    <x:row r="90" ht="44" customHeight="1">
      <x:c r="A90" s="14" t="str">
        <x:v>colony-megara-hyblaea</x:v>
      </x:c>
      <x:c r="B90" s="14" t="str">
        <x:v>colony-megara-hyblaea</x:v>
      </x:c>
      <x:c r="C90" s="14" t="str">
        <x:v>settlement</x:v>
      </x:c>
      <x:c r="D90" s="14" t="str">
        <x:v>polis</x:v>
      </x:c>
      <x:c r="E90" s="14" t="str">
        <x:v>apoikia</x:v>
      </x:c>
      <x:c r="F90" s="14" t="str">
        <x:v>colony</x:v>
      </x:c>
      <x:c r="G90" s="14" t="str">
        <x:v>Μέγαρα Υβλαία</x:v>
      </x:c>
      <x:c r="H90" s="14" t="str">
        <x:v>Megara Hyblaea</x:v>
      </x:c>
      <x:c r="I90" s="14" t="str">
        <x:v>Μέγαρα Ὑβλαία</x:v>
      </x:c>
      <x:c r="J90" s="16" t="str">
        <x:v>Μεγαρική αποικία με εξαιρετικά διατηρημένη αρχαϊκή πολεοδομία.</x:v>
      </x:c>
      <x:c r="K90" s="16" t="str">
        <x:v>Megarian colony with exceptionally well-preserved archaic urbanism.</x:v>
      </x:c>
      <x:c r="L90" s="14"/>
      <x:c r="M90" s="14"/>
      <x:c r="N90" s="14"/>
      <x:c r="O90" s="14" t="str">
        <x:v>region-sikelia</x:v>
      </x:c>
      <x:c r="P90" s="14" t="str">
        <x:v>approximate</x:v>
      </x:c>
      <x:c r="Q90" s="14" t="str">
        <x:v>high</x:v>
      </x:c>
      <x:c r="R90" s="14" t="str">
        <x:v>high</x:v>
      </x:c>
      <x:c r="S90" s="14" t="str">
        <x:v>reviewed</x:v>
      </x:c>
      <x:c r="T90" s="14" t="str">
        <x:v>machine_assisted_reviewed</x:v>
      </x:c>
      <x:c r="U90" s="14" t="str">
        <x:v>1.0.0</x:v>
      </x:c>
      <x:c r="V90" s="14" t="str">
        <x:v>archaios_ellinikos_kosmos_entities_v0_1.csv</x:v>
      </x:c>
      <x:c r="W90" s="17" t="n">
        <x:v>46248</x:v>
      </x:c>
      <x:c r="X90" s="14" t="str">
        <x:v>Codex-assisted normalization of user research</x:v>
      </x:c>
    </x:row>
    <x:row r="91" ht="44" customHeight="1">
      <x:c r="A91" s="14" t="str">
        <x:v>colony-mesembria</x:v>
      </x:c>
      <x:c r="B91" s="14" t="str">
        <x:v>colony-mesembria</x:v>
      </x:c>
      <x:c r="C91" s="14" t="str">
        <x:v>settlement</x:v>
      </x:c>
      <x:c r="D91" s="14" t="str">
        <x:v>polis</x:v>
      </x:c>
      <x:c r="E91" s="14" t="str">
        <x:v>apoikia</x:v>
      </x:c>
      <x:c r="F91" s="14" t="str">
        <x:v>colony</x:v>
      </x:c>
      <x:c r="G91" s="14" t="str">
        <x:v>Μεσημβρία</x:v>
      </x:c>
      <x:c r="H91" s="14" t="str">
        <x:v>Mesembria</x:v>
      </x:c>
      <x:c r="I91" s="14" t="str">
        <x:v>Μεσημβρία</x:v>
      </x:c>
      <x:c r="J91" s="16" t="str">
        <x:v>Μεγαρική αποικία σε οχυρή χερσόνησο της θρακικής ακτής.</x:v>
      </x:c>
      <x:c r="K91" s="16" t="str">
        <x:v>Megarian colony on a fortified peninsula of the Thracian coast.</x:v>
      </x:c>
      <x:c r="L91" s="14"/>
      <x:c r="M91" s="14"/>
      <x:c r="N91" s="14"/>
      <x:c r="O91" s="14" t="str">
        <x:v>region-thrake-eyxeinos-pontos</x:v>
      </x:c>
      <x:c r="P91" s="14" t="str">
        <x:v>approximate</x:v>
      </x:c>
      <x:c r="Q91" s="14" t="str">
        <x:v>high</x:v>
      </x:c>
      <x:c r="R91" s="14" t="str">
        <x:v>high</x:v>
      </x:c>
      <x:c r="S91" s="14" t="str">
        <x:v>reviewed</x:v>
      </x:c>
      <x:c r="T91" s="14" t="str">
        <x:v>machine_assisted_reviewed</x:v>
      </x:c>
      <x:c r="U91" s="14" t="str">
        <x:v>1.0.0</x:v>
      </x:c>
      <x:c r="V91" s="14" t="str">
        <x:v>archaios_ellinikos_kosmos_entities_v0_1.csv</x:v>
      </x:c>
      <x:c r="W91" s="17" t="n">
        <x:v>46248</x:v>
      </x:c>
      <x:c r="X91" s="14" t="str">
        <x:v>Codex-assisted normalization of user research</x:v>
      </x:c>
    </x:row>
    <x:row r="92" ht="44" customHeight="1">
      <x:c r="A92" s="14" t="str">
        <x:v>colony-metapontum</x:v>
      </x:c>
      <x:c r="B92" s="14" t="str">
        <x:v>colony-metapontum</x:v>
      </x:c>
      <x:c r="C92" s="14" t="str">
        <x:v>settlement</x:v>
      </x:c>
      <x:c r="D92" s="14" t="str">
        <x:v>polis</x:v>
      </x:c>
      <x:c r="E92" s="14" t="str">
        <x:v>apoikia</x:v>
      </x:c>
      <x:c r="F92" s="14" t="str">
        <x:v>colony</x:v>
      </x:c>
      <x:c r="G92" s="14" t="str">
        <x:v>Μεταπόντιο</x:v>
      </x:c>
      <x:c r="H92" s="14" t="str">
        <x:v>Metapontum</x:v>
      </x:c>
      <x:c r="I92" s="14" t="str">
        <x:v>Μεταπόντιον</x:v>
      </x:c>
      <x:c r="J92" s="16" t="str">
        <x:v>Αχαϊκή αποικία στη γόνιμη πεδιάδα του κόλπου του Τάραντα.</x:v>
      </x:c>
      <x:c r="K92" s="16" t="str">
        <x:v>Achaean colony on the fertile plain of the Gulf of Taranto.</x:v>
      </x:c>
      <x:c r="L92" s="14"/>
      <x:c r="M92" s="14"/>
      <x:c r="N92" s="14"/>
      <x:c r="O92" s="14" t="str">
        <x:v>region-megale-ellada-leykania</x:v>
      </x:c>
      <x:c r="P92" s="14" t="str">
        <x:v>approximate</x:v>
      </x:c>
      <x:c r="Q92" s="14" t="str">
        <x:v>high</x:v>
      </x:c>
      <x:c r="R92" s="14" t="str">
        <x:v>high</x:v>
      </x:c>
      <x:c r="S92" s="14" t="str">
        <x:v>reviewed</x:v>
      </x:c>
      <x:c r="T92" s="14" t="str">
        <x:v>machine_assisted_reviewed</x:v>
      </x:c>
      <x:c r="U92" s="14" t="str">
        <x:v>1.0.0</x:v>
      </x:c>
      <x:c r="V92" s="14" t="str">
        <x:v>archaios_ellinikos_kosmos_entities_v0_1.csv</x:v>
      </x:c>
      <x:c r="W92" s="17" t="n">
        <x:v>46248</x:v>
      </x:c>
      <x:c r="X92" s="14" t="str">
        <x:v>Codex-assisted normalization of user research</x:v>
      </x:c>
    </x:row>
    <x:row r="93" ht="44" customHeight="1">
      <x:c r="A93" s="14" t="str">
        <x:v>colony-miletus</x:v>
      </x:c>
      <x:c r="B93" s="14" t="str">
        <x:v>colony-miletus</x:v>
      </x:c>
      <x:c r="C93" s="14" t="str">
        <x:v>settlement</x:v>
      </x:c>
      <x:c r="D93" s="14" t="str">
        <x:v>polis</x:v>
      </x:c>
      <x:c r="E93" s="14" t="str">
        <x:v>apoikia</x:v>
      </x:c>
      <x:c r="F93" s="14" t="str">
        <x:v>colony</x:v>
      </x:c>
      <x:c r="G93" s="14" t="str">
        <x:v>Μίλητος</x:v>
      </x:c>
      <x:c r="H93" s="14" t="str">
        <x:v>Miletus</x:v>
      </x:c>
      <x:c r="I93" s="14" t="str">
        <x:v>Μίλητος</x:v>
      </x:c>
      <x:c r="J93" s="16" t="str">
        <x:v>Μεγάλη ιωνική πόλη και μητρόπολη δεκάδων αποικιών στον Εύξεινο Πόντο και την Προποντίδα.</x:v>
      </x:c>
      <x:c r="K93" s="16" t="str">
        <x:v>Great Ionian city and metropolis of dozens of colonies on the Black Sea and the Propontis.</x:v>
      </x:c>
      <x:c r="L93" s="14"/>
      <x:c r="M93" s="14"/>
      <x:c r="N93" s="14"/>
      <x:c r="O93" s="14" t="str">
        <x:v>region-ionia</x:v>
      </x:c>
      <x:c r="P93" s="14" t="str">
        <x:v>approximate</x:v>
      </x:c>
      <x:c r="Q93" s="14" t="str">
        <x:v>high</x:v>
      </x:c>
      <x:c r="R93" s="14" t="str">
        <x:v>high</x:v>
      </x:c>
      <x:c r="S93" s="14" t="str">
        <x:v>reviewed</x:v>
      </x:c>
      <x:c r="T93" s="14" t="str">
        <x:v>machine_assisted_reviewed</x:v>
      </x:c>
      <x:c r="U93" s="14" t="str">
        <x:v>1.0.0</x:v>
      </x:c>
      <x:c r="V93" s="14" t="str">
        <x:v>archaios_ellinikos_kosmos_entities_v0_1.csv</x:v>
      </x:c>
      <x:c r="W93" s="17" t="n">
        <x:v>46248</x:v>
      </x:c>
      <x:c r="X93" s="14" t="str">
        <x:v>Codex-assisted normalization of user research</x:v>
      </x:c>
    </x:row>
    <x:row r="94" ht="44" customHeight="1">
      <x:c r="A94" s="14" t="str">
        <x:v>colony-myrina-aeolis</x:v>
      </x:c>
      <x:c r="B94" s="14" t="str">
        <x:v>colony-myrina-aeolis</x:v>
      </x:c>
      <x:c r="C94" s="14" t="str">
        <x:v>settlement</x:v>
      </x:c>
      <x:c r="D94" s="14" t="str">
        <x:v>polis</x:v>
      </x:c>
      <x:c r="E94" s="14" t="str">
        <x:v>apoikia</x:v>
      </x:c>
      <x:c r="F94" s="14" t="str">
        <x:v>colony</x:v>
      </x:c>
      <x:c r="G94" s="14" t="str">
        <x:v>Μύρινα</x:v>
      </x:c>
      <x:c r="H94" s="14" t="str">
        <x:v>Myrina</x:v>
      </x:c>
      <x:c r="I94" s="14" t="str">
        <x:v>Μύρινα</x:v>
      </x:c>
      <x:c r="J94" s="16" t="str">
        <x:v>Αιολική παράκτια πόλη γνωστή ιδίως για τα ελληνιστικά πήλινα ειδώλιά της.</x:v>
      </x:c>
      <x:c r="K94" s="16" t="str">
        <x:v>Aeolian coastal city known especially for its Hellenistic clay figurines.</x:v>
      </x:c>
      <x:c r="L94" s="14"/>
      <x:c r="M94" s="14"/>
      <x:c r="N94" s="14"/>
      <x:c r="O94" s="14" t="str">
        <x:v>region-aiolida</x:v>
      </x:c>
      <x:c r="P94" s="14" t="str">
        <x:v>approximate</x:v>
      </x:c>
      <x:c r="Q94" s="14" t="str">
        <x:v>medium</x:v>
      </x:c>
      <x:c r="R94" s="14" t="str">
        <x:v>medium</x:v>
      </x:c>
      <x:c r="S94" s="14" t="str">
        <x:v>reviewed</x:v>
      </x:c>
      <x:c r="T94" s="14" t="str">
        <x:v>machine_assisted_reviewed</x:v>
      </x:c>
      <x:c r="U94" s="14" t="str">
        <x:v>1.0.0</x:v>
      </x:c>
      <x:c r="V94" s="14" t="str">
        <x:v>archaios_ellinikos_kosmos_entities_v0_1.csv</x:v>
      </x:c>
      <x:c r="W94" s="17" t="n">
        <x:v>46249</x:v>
      </x:c>
      <x:c r="X94" s="14" t="str">
        <x:v>Codex-assisted scholarly review</x:v>
      </x:c>
    </x:row>
    <x:row r="95" ht="44" customHeight="1">
      <x:c r="A95" s="14" t="str">
        <x:v>colony-naucratis</x:v>
      </x:c>
      <x:c r="B95" s="14" t="str">
        <x:v>colony-naucratis</x:v>
      </x:c>
      <x:c r="C95" s="14" t="str">
        <x:v>settlement</x:v>
      </x:c>
      <x:c r="D95" s="14" t="str">
        <x:v>polis</x:v>
      </x:c>
      <x:c r="E95" s="14" t="str">
        <x:v>apoikia</x:v>
      </x:c>
      <x:c r="F95" s="14" t="str">
        <x:v>colony</x:v>
      </x:c>
      <x:c r="G95" s="14" t="str">
        <x:v>Ναύκρατις</x:v>
      </x:c>
      <x:c r="H95" s="14" t="str">
        <x:v>Naucratis</x:v>
      </x:c>
      <x:c r="I95" s="14" t="str">
        <x:v>Ναύκρατις</x:v>
      </x:c>
      <x:c r="J95" s="16" t="str">
        <x:v>Ελληνικό εμπορικό κέντρο στην Αίγυπτο, οργανωμένο με συμμετοχή πολλών πόλεων υπό φαραωνική εποπτεία.</x:v>
      </x:c>
      <x:c r="K95" s="16" t="str">
        <x:v>Greek commercial center in Egypt, organized with the participation of many cities under pharaonic supervision.</x:v>
      </x:c>
      <x:c r="L95" s="14"/>
      <x:c r="M95" s="14"/>
      <x:c r="N95" s="14"/>
      <x:c r="O95" s="14" t="str">
        <x:v>region-delta-neiloy</x:v>
      </x:c>
      <x:c r="P95" s="14" t="str">
        <x:v>approximate</x:v>
      </x:c>
      <x:c r="Q95" s="14" t="str">
        <x:v>high</x:v>
      </x:c>
      <x:c r="R95" s="14" t="str">
        <x:v>high</x:v>
      </x:c>
      <x:c r="S95" s="14" t="str">
        <x:v>reviewed</x:v>
      </x:c>
      <x:c r="T95" s="14" t="str">
        <x:v>machine_assisted_reviewed</x:v>
      </x:c>
      <x:c r="U95" s="14" t="str">
        <x:v>1.0.0</x:v>
      </x:c>
      <x:c r="V95" s="14" t="str">
        <x:v>archaios_ellinikos_kosmos_entities_v0_1.csv</x:v>
      </x:c>
      <x:c r="W95" s="17" t="n">
        <x:v>46248</x:v>
      </x:c>
      <x:c r="X95" s="14" t="str">
        <x:v>Codex-assisted normalization of user research</x:v>
      </x:c>
    </x:row>
    <x:row r="96" ht="44" customHeight="1">
      <x:c r="A96" s="14" t="str">
        <x:v>colony-naxos-sicily</x:v>
      </x:c>
      <x:c r="B96" s="14" t="str">
        <x:v>colony-naxos-sicily</x:v>
      </x:c>
      <x:c r="C96" s="14" t="str">
        <x:v>settlement</x:v>
      </x:c>
      <x:c r="D96" s="14" t="str">
        <x:v>polis</x:v>
      </x:c>
      <x:c r="E96" s="14" t="str">
        <x:v>apoikia</x:v>
      </x:c>
      <x:c r="F96" s="14" t="str">
        <x:v>colony</x:v>
      </x:c>
      <x:c r="G96" s="14" t="str">
        <x:v>Νάξος Σικελίας</x:v>
      </x:c>
      <x:c r="H96" s="14" t="str">
        <x:v>Naxos</x:v>
      </x:c>
      <x:c r="I96" s="14" t="str">
        <x:v>Νάξος</x:v>
      </x:c>
      <x:c r="J96" s="16" t="str">
        <x:v>Η πρώτη μόνιμη ελληνική αποικία στη Σικελία, ιδρυμένη από Ευβοείς.</x:v>
      </x:c>
      <x:c r="K96" s="16" t="str">
        <x:v>The first permanent Greek colony in Sicily, founded by Euboeans.</x:v>
      </x:c>
      <x:c r="L96" s="14"/>
      <x:c r="M96" s="14"/>
      <x:c r="N96" s="14"/>
      <x:c r="O96" s="14" t="str">
        <x:v>region-sikelia</x:v>
      </x:c>
      <x:c r="P96" s="14" t="str">
        <x:v>approximate</x:v>
      </x:c>
      <x:c r="Q96" s="14" t="str">
        <x:v>high</x:v>
      </x:c>
      <x:c r="R96" s="14" t="str">
        <x:v>high</x:v>
      </x:c>
      <x:c r="S96" s="14" t="str">
        <x:v>reviewed</x:v>
      </x:c>
      <x:c r="T96" s="14" t="str">
        <x:v>machine_assisted_reviewed</x:v>
      </x:c>
      <x:c r="U96" s="14" t="str">
        <x:v>1.0.0</x:v>
      </x:c>
      <x:c r="V96" s="14" t="str">
        <x:v>archaios_ellinikos_kosmos_entities_v0_1.csv</x:v>
      </x:c>
      <x:c r="W96" s="17" t="n">
        <x:v>46248</x:v>
      </x:c>
      <x:c r="X96" s="14" t="str">
        <x:v>Codex-assisted normalization of user research</x:v>
      </x:c>
    </x:row>
    <x:row r="97" ht="44" customHeight="1">
      <x:c r="A97" s="14" t="str">
        <x:v>colony-neapolis-campania</x:v>
      </x:c>
      <x:c r="B97" s="14" t="str">
        <x:v>colony-neapolis-campania</x:v>
      </x:c>
      <x:c r="C97" s="14" t="str">
        <x:v>settlement</x:v>
      </x:c>
      <x:c r="D97" s="14" t="str">
        <x:v>polis</x:v>
      </x:c>
      <x:c r="E97" s="14" t="str">
        <x:v>apoikia</x:v>
      </x:c>
      <x:c r="F97" s="14" t="str">
        <x:v>colony</x:v>
      </x:c>
      <x:c r="G97" s="14" t="str">
        <x:v>Νεάπολη</x:v>
      </x:c>
      <x:c r="H97" s="14" t="str">
        <x:v>Neapolis</x:v>
      </x:c>
      <x:c r="I97" s="14" t="str">
        <x:v>Νεάπολις</x:v>
      </x:c>
      <x:c r="J97" s="16" t="str">
        <x:v>Νέα πόλη των Κυμαίων που διατήρησε έντονο ελληνικό χαρακτήρα στη ρωμαϊκή εποχή.</x:v>
      </x:c>
      <x:c r="K97" s="16" t="str">
        <x:v>A new city founded by the Cumaeans that retained a strongly Greek character under Roman rule.</x:v>
      </x:c>
      <x:c r="L97" s="14"/>
      <x:c r="M97" s="14"/>
      <x:c r="N97" s="14"/>
      <x:c r="O97" s="14" t="str">
        <x:v>region-megale-ellada-kampania</x:v>
      </x:c>
      <x:c r="P97" s="14" t="str">
        <x:v>approximate</x:v>
      </x:c>
      <x:c r="Q97" s="14" t="str">
        <x:v>high</x:v>
      </x:c>
      <x:c r="R97" s="14" t="str">
        <x:v>high</x:v>
      </x:c>
      <x:c r="S97" s="14" t="str">
        <x:v>reviewed</x:v>
      </x:c>
      <x:c r="T97" s="14" t="str">
        <x:v>machine_assisted_reviewed</x:v>
      </x:c>
      <x:c r="U97" s="14" t="str">
        <x:v>1.0.0</x:v>
      </x:c>
      <x:c r="V97" s="14" t="str">
        <x:v>archaios_ellinikos_kosmos_entities_v0_1.csv</x:v>
      </x:c>
      <x:c r="W97" s="17" t="n">
        <x:v>46248</x:v>
      </x:c>
      <x:c r="X97" s="14" t="str">
        <x:v>Codex-assisted normalization of user research</x:v>
      </x:c>
    </x:row>
    <x:row r="98" ht="44" customHeight="1">
      <x:c r="A98" s="14" t="str">
        <x:v>colony-odessos</x:v>
      </x:c>
      <x:c r="B98" s="14" t="str">
        <x:v>colony-odessos</x:v>
      </x:c>
      <x:c r="C98" s="14" t="str">
        <x:v>settlement</x:v>
      </x:c>
      <x:c r="D98" s="14" t="str">
        <x:v>polis</x:v>
      </x:c>
      <x:c r="E98" s="14" t="str">
        <x:v>apoikia</x:v>
      </x:c>
      <x:c r="F98" s="14" t="str">
        <x:v>colony</x:v>
      </x:c>
      <x:c r="G98" s="14" t="str">
        <x:v>Οδησσός</x:v>
      </x:c>
      <x:c r="H98" s="14" t="str">
        <x:v>Odessos</x:v>
      </x:c>
      <x:c r="I98" s="14" t="str">
        <x:v>Ὀδησσός</x:v>
      </x:c>
      <x:c r="J98" s="16" t="str">
        <x:v>Μιλησιακή αποικία στον κόλπο της σημερινής Βάρνας και σημαντικό περιφερειακό λιμάνι.</x:v>
      </x:c>
      <x:c r="K98" s="16" t="str">
        <x:v>Milesian colony in the gulf of present-day Varna and an important regional port.</x:v>
      </x:c>
      <x:c r="L98" s="14"/>
      <x:c r="M98" s="14"/>
      <x:c r="N98" s="14"/>
      <x:c r="O98" s="14" t="str">
        <x:v>region-thrake-eyxeinos-pontos</x:v>
      </x:c>
      <x:c r="P98" s="14" t="str">
        <x:v>approximate</x:v>
      </x:c>
      <x:c r="Q98" s="14" t="str">
        <x:v>high</x:v>
      </x:c>
      <x:c r="R98" s="14" t="str">
        <x:v>high</x:v>
      </x:c>
      <x:c r="S98" s="14" t="str">
        <x:v>reviewed</x:v>
      </x:c>
      <x:c r="T98" s="14" t="str">
        <x:v>machine_assisted_reviewed</x:v>
      </x:c>
      <x:c r="U98" s="14" t="str">
        <x:v>1.0.0</x:v>
      </x:c>
      <x:c r="V98" s="14" t="str">
        <x:v>archaios_ellinikos_kosmos_entities_v0_1.csv</x:v>
      </x:c>
      <x:c r="W98" s="17" t="n">
        <x:v>46248</x:v>
      </x:c>
      <x:c r="X98" s="14" t="str">
        <x:v>Codex-assisted normalization of user research</x:v>
      </x:c>
    </x:row>
    <x:row r="99" ht="44" customHeight="1">
      <x:c r="A99" s="14" t="str">
        <x:v>colony-olbia-pontica</x:v>
      </x:c>
      <x:c r="B99" s="14" t="str">
        <x:v>colony-olbia-pontica</x:v>
      </x:c>
      <x:c r="C99" s="14" t="str">
        <x:v>settlement</x:v>
      </x:c>
      <x:c r="D99" s="14" t="str">
        <x:v>polis</x:v>
      </x:c>
      <x:c r="E99" s="14" t="str">
        <x:v>apoikia</x:v>
      </x:c>
      <x:c r="F99" s="14" t="str">
        <x:v>colony</x:v>
      </x:c>
      <x:c r="G99" s="14" t="str">
        <x:v>Ολβία Ποντική</x:v>
      </x:c>
      <x:c r="H99" s="14" t="str">
        <x:v>Olbia Pontica</x:v>
      </x:c>
      <x:c r="I99" s="14" t="str">
        <x:v>Ὀλβία</x:v>
      </x:c>
      <x:c r="J99" s="16" t="str">
        <x:v>Μεγάλη μιλησιακή αποικία στις εκβολές του Δνείπερου και του Νότιου Μπουγκ, με εκτεταμένες σχέσεις με τους Σκύθες.</x:v>
      </x:c>
      <x:c r="K99" s="16" t="str">
        <x:v>A major Milesian colony near the mouths of the Dnieper and Southern Bug, with extensive relations with Scythian communities.</x:v>
      </x:c>
      <x:c r="L99" s="14"/>
      <x:c r="M99" s="14"/>
      <x:c r="N99" s="14"/>
      <x:c r="O99" s="14" t="str">
        <x:v>region-skythia-kato-ypanis</x:v>
      </x:c>
      <x:c r="P99" s="14" t="str">
        <x:v>approximate</x:v>
      </x:c>
      <x:c r="Q99" s="14" t="str">
        <x:v>high</x:v>
      </x:c>
      <x:c r="R99" s="14" t="str">
        <x:v>high</x:v>
      </x:c>
      <x:c r="S99" s="14" t="str">
        <x:v>reviewed</x:v>
      </x:c>
      <x:c r="T99" s="14" t="str">
        <x:v>machine_assisted_reviewed</x:v>
      </x:c>
      <x:c r="U99" s="14" t="str">
        <x:v>1.0.0</x:v>
      </x:c>
      <x:c r="V99" s="14" t="str">
        <x:v>archaios_ellinikos_kosmos_entities_v0_1.csv</x:v>
      </x:c>
      <x:c r="W99" s="17" t="n">
        <x:v>46248</x:v>
      </x:c>
      <x:c r="X99" s="14" t="str">
        <x:v>Codex-assisted normalization of user research</x:v>
      </x:c>
    </x:row>
    <x:row r="100" ht="44" customHeight="1">
      <x:c r="A100" s="14" t="str">
        <x:v>colony-panticapaeum</x:v>
      </x:c>
      <x:c r="B100" s="14" t="str">
        <x:v>colony-panticapaeum</x:v>
      </x:c>
      <x:c r="C100" s="14" t="str">
        <x:v>settlement</x:v>
      </x:c>
      <x:c r="D100" s="14" t="str">
        <x:v>polis</x:v>
      </x:c>
      <x:c r="E100" s="14" t="str">
        <x:v>apoikia</x:v>
      </x:c>
      <x:c r="F100" s="14" t="str">
        <x:v>colony</x:v>
      </x:c>
      <x:c r="G100" s="14" t="str">
        <x:v>Παντικάπαιο</x:v>
      </x:c>
      <x:c r="H100" s="14" t="str">
        <x:v>Panticapaeum</x:v>
      </x:c>
      <x:c r="I100" s="14" t="str">
        <x:v>Παντικάπαιον</x:v>
      </x:c>
      <x:c r="J100" s="16" t="str">
        <x:v>Ελληνική αποικία και αργότερα πρωτεύουσα του βασιλείου του Κιμμερίου Βοσπόρου.</x:v>
      </x:c>
      <x:c r="K100" s="16" t="str">
        <x:v>Greek colony and later capital of the kingdom of Cimmerian Bosphorus.</x:v>
      </x:c>
      <x:c r="L100" s="14"/>
      <x:c r="M100" s="14"/>
      <x:c r="N100" s="14"/>
      <x:c r="O100" s="14" t="str">
        <x:v>region-kimmerios-bosporos</x:v>
      </x:c>
      <x:c r="P100" s="14" t="str">
        <x:v>approximate</x:v>
      </x:c>
      <x:c r="Q100" s="14" t="str">
        <x:v>high</x:v>
      </x:c>
      <x:c r="R100" s="14" t="str">
        <x:v>high</x:v>
      </x:c>
      <x:c r="S100" s="14" t="str">
        <x:v>reviewed</x:v>
      </x:c>
      <x:c r="T100" s="14" t="str">
        <x:v>machine_assisted_reviewed</x:v>
      </x:c>
      <x:c r="U100" s="14" t="str">
        <x:v>1.0.0</x:v>
      </x:c>
      <x:c r="V100" s="14" t="str">
        <x:v>archaios_ellinikos_kosmos_entities_v0_1.csv</x:v>
      </x:c>
      <x:c r="W100" s="17" t="n">
        <x:v>46248</x:v>
      </x:c>
      <x:c r="X100" s="14" t="str">
        <x:v>Codex-assisted normalization of user research</x:v>
      </x:c>
    </x:row>
    <x:row r="101" ht="44" customHeight="1">
      <x:c r="A101" s="14" t="str">
        <x:v>colony-phanagoria</x:v>
      </x:c>
      <x:c r="B101" s="14" t="str">
        <x:v>colony-phanagoria</x:v>
      </x:c>
      <x:c r="C101" s="14" t="str">
        <x:v>settlement</x:v>
      </x:c>
      <x:c r="D101" s="14" t="str">
        <x:v>polis</x:v>
      </x:c>
      <x:c r="E101" s="14" t="str">
        <x:v>apoikia</x:v>
      </x:c>
      <x:c r="F101" s="14" t="str">
        <x:v>colony</x:v>
      </x:c>
      <x:c r="G101" s="14" t="str">
        <x:v>Φαναγόρεια</x:v>
      </x:c>
      <x:c r="H101" s="14" t="str">
        <x:v>Phanagoria</x:v>
      </x:c>
      <x:c r="I101" s="14" t="str">
        <x:v>Φαναγόρεια</x:v>
      </x:c>
      <x:c r="J101" s="16" t="str">
        <x:v>Αποικία Τηίων στη χερσόνησο του Ταμάν και ανατολικό κέντρο του βασιλείου του Βοσπόρου.</x:v>
      </x:c>
      <x:c r="K101" s="16" t="str">
        <x:v>A colony of Teians on the Taman Peninsula and the eastern centre of the Bosporan Kingdom.</x:v>
      </x:c>
      <x:c r="L101" s="14"/>
      <x:c r="M101" s="14"/>
      <x:c r="N101" s="14"/>
      <x:c r="O101" s="14" t="str">
        <x:v>region-kimmerios-bosporos</x:v>
      </x:c>
      <x:c r="P101" s="14" t="str">
        <x:v>approximate</x:v>
      </x:c>
      <x:c r="Q101" s="14" t="str">
        <x:v>high</x:v>
      </x:c>
      <x:c r="R101" s="14" t="str">
        <x:v>high</x:v>
      </x:c>
      <x:c r="S101" s="14" t="str">
        <x:v>reviewed</x:v>
      </x:c>
      <x:c r="T101" s="14" t="str">
        <x:v>machine_assisted_reviewed</x:v>
      </x:c>
      <x:c r="U101" s="14" t="str">
        <x:v>1.0.0</x:v>
      </x:c>
      <x:c r="V101" s="14" t="str">
        <x:v>archaios_ellinikos_kosmos_entities_v0_1.csv</x:v>
      </x:c>
      <x:c r="W101" s="17" t="n">
        <x:v>46248</x:v>
      </x:c>
      <x:c r="X101" s="14" t="str">
        <x:v>Codex-assisted normalization of user research</x:v>
      </x:c>
    </x:row>
    <x:row r="102" ht="44" customHeight="1">
      <x:c r="A102" s="14" t="str">
        <x:v>colony-pharos-hvar</x:v>
      </x:c>
      <x:c r="B102" s="14" t="str">
        <x:v>colony-pharos-hvar</x:v>
      </x:c>
      <x:c r="C102" s="14" t="str">
        <x:v>settlement</x:v>
      </x:c>
      <x:c r="D102" s="14" t="str">
        <x:v>polis</x:v>
      </x:c>
      <x:c r="E102" s="14" t="str">
        <x:v>apoikia</x:v>
      </x:c>
      <x:c r="F102" s="14" t="str">
        <x:v>colony</x:v>
      </x:c>
      <x:c r="G102" s="14" t="str">
        <x:v>Φάρος</x:v>
      </x:c>
      <x:c r="H102" s="14" t="str">
        <x:v>Pharos</x:v>
      </x:c>
      <x:c r="I102" s="14" t="str">
        <x:v>Φάρος</x:v>
      </x:c>
      <x:c r="J102" s="16" t="str">
        <x:v>Παριανή αποικία στο νησί Χβαρ, με οργανωμένο αγροτικό κλήρο που διακρίνεται ακόμη στο τοπίο.</x:v>
      </x:c>
      <x:c r="K102" s="16" t="str">
        <x:v>A Parian colony on Hvar with an organized agricultural land division still visible in the landscape.</x:v>
      </x:c>
      <x:c r="L102" s="14"/>
      <x:c r="M102" s="14"/>
      <x:c r="N102" s="14"/>
      <x:c r="O102" s="14" t="str">
        <x:v>region-dalmatia</x:v>
      </x:c>
      <x:c r="P102" s="14" t="str">
        <x:v>approximate</x:v>
      </x:c>
      <x:c r="Q102" s="14" t="str">
        <x:v>high</x:v>
      </x:c>
      <x:c r="R102" s="14" t="str">
        <x:v>high</x:v>
      </x:c>
      <x:c r="S102" s="14" t="str">
        <x:v>reviewed</x:v>
      </x:c>
      <x:c r="T102" s="14" t="str">
        <x:v>machine_assisted_reviewed</x:v>
      </x:c>
      <x:c r="U102" s="14" t="str">
        <x:v>1.0.0</x:v>
      </x:c>
      <x:c r="V102" s="14" t="str">
        <x:v>archaios_ellinikos_kosmos_entities_v0_1.csv</x:v>
      </x:c>
      <x:c r="W102" s="17" t="n">
        <x:v>46248</x:v>
      </x:c>
      <x:c r="X102" s="14" t="str">
        <x:v>Codex-assisted normalization of user research</x:v>
      </x:c>
    </x:row>
    <x:row r="103" ht="44" customHeight="1">
      <x:c r="A103" s="14" t="str">
        <x:v>colony-phaselis</x:v>
      </x:c>
      <x:c r="B103" s="14" t="str">
        <x:v>colony-phaselis</x:v>
      </x:c>
      <x:c r="C103" s="14" t="str">
        <x:v>settlement</x:v>
      </x:c>
      <x:c r="D103" s="14" t="str">
        <x:v>polis</x:v>
      </x:c>
      <x:c r="E103" s="14" t="str">
        <x:v>apoikia</x:v>
      </x:c>
      <x:c r="F103" s="14" t="str">
        <x:v>colony</x:v>
      </x:c>
      <x:c r="G103" s="14" t="str">
        <x:v>Φάσηλις</x:v>
      </x:c>
      <x:c r="H103" s="14" t="str">
        <x:v>Phaselis</x:v>
      </x:c>
      <x:c r="I103" s="14" t="str">
        <x:v>Φάσηλις</x:v>
      </x:c>
      <x:c r="J103" s="16" t="str">
        <x:v>Ροδιακή αποικία με τρία λιμάνια στη θαλάσσια διαδρομή μεταξύ Αιγαίου και Ανατολής.</x:v>
      </x:c>
      <x:c r="K103" s="16" t="str">
        <x:v>Rhodian colony with three ports on the sea route between the Aegean and the East.</x:v>
      </x:c>
      <x:c r="L103" s="14"/>
      <x:c r="M103" s="14"/>
      <x:c r="N103" s="14"/>
      <x:c r="O103" s="14" t="str">
        <x:v>region-lykia-pamphylia</x:v>
      </x:c>
      <x:c r="P103" s="14" t="str">
        <x:v>approximate</x:v>
      </x:c>
      <x:c r="Q103" s="14" t="str">
        <x:v>high</x:v>
      </x:c>
      <x:c r="R103" s="14" t="str">
        <x:v>high</x:v>
      </x:c>
      <x:c r="S103" s="14" t="str">
        <x:v>reviewed</x:v>
      </x:c>
      <x:c r="T103" s="14" t="str">
        <x:v>machine_assisted_reviewed</x:v>
      </x:c>
      <x:c r="U103" s="14" t="str">
        <x:v>1.0.0</x:v>
      </x:c>
      <x:c r="V103" s="14" t="str">
        <x:v>archaios_ellinikos_kosmos_entities_v0_1.csv</x:v>
      </x:c>
      <x:c r="W103" s="17" t="n">
        <x:v>46248</x:v>
      </x:c>
      <x:c r="X103" s="14" t="str">
        <x:v>Codex-assisted normalization of user research</x:v>
      </x:c>
    </x:row>
    <x:row r="104" ht="44" customHeight="1">
      <x:c r="A104" s="14" t="str">
        <x:v>colony-phasis-city</x:v>
      </x:c>
      <x:c r="B104" s="14" t="str">
        <x:v>colony-phasis-city</x:v>
      </x:c>
      <x:c r="C104" s="14" t="str">
        <x:v>settlement</x:v>
      </x:c>
      <x:c r="D104" s="14" t="str">
        <x:v>polis</x:v>
      </x:c>
      <x:c r="E104" s="14" t="str">
        <x:v>apoikia</x:v>
      </x:c>
      <x:c r="F104" s="14" t="str">
        <x:v>colony</x:v>
      </x:c>
      <x:c r="G104" s="14" t="str">
        <x:v>Φάσις</x:v>
      </x:c>
      <x:c r="H104" s="14" t="str">
        <x:v>Phasis</x:v>
      </x:c>
      <x:c r="I104" s="14" t="str">
        <x:v>Φᾶσις</x:v>
      </x:c>
      <x:c r="J104" s="16" t="str">
        <x:v>Μιλησιακή εγκατάσταση κοντά στις εκβολές του Φάσιδος· η ακριβής αρχαιολογική θέση παραμένει συζητήσιμη.</x:v>
      </x:c>
      <x:c r="K104" s="16" t="str">
        <x:v>A Milesian settlement near the mouth of the Phasis River; its exact archaeological location remains disputed.</x:v>
      </x:c>
      <x:c r="L104" s="14"/>
      <x:c r="M104" s="14"/>
      <x:c r="N104" s="14"/>
      <x:c r="O104" s="14" t="str">
        <x:v>region-kolchida</x:v>
      </x:c>
      <x:c r="P104" s="14" t="str">
        <x:v>approximate</x:v>
      </x:c>
      <x:c r="Q104" s="14" t="str">
        <x:v>medium</x:v>
      </x:c>
      <x:c r="R104" s="14" t="str">
        <x:v>medium</x:v>
      </x:c>
      <x:c r="S104" s="14" t="str">
        <x:v>reviewed</x:v>
      </x:c>
      <x:c r="T104" s="14" t="str">
        <x:v>machine_assisted_reviewed</x:v>
      </x:c>
      <x:c r="U104" s="14" t="str">
        <x:v>1.0.0</x:v>
      </x:c>
      <x:c r="V104" s="14" t="str">
        <x:v>archaios_ellinikos_kosmos_entities_v0_1.csv</x:v>
      </x:c>
      <x:c r="W104" s="17" t="n">
        <x:v>46249</x:v>
      </x:c>
      <x:c r="X104" s="14" t="str">
        <x:v>Codex-assisted scholarly review</x:v>
      </x:c>
    </x:row>
    <x:row r="105" ht="44" customHeight="1">
      <x:c r="A105" s="14" t="str">
        <x:v>colony-philippi</x:v>
      </x:c>
      <x:c r="B105" s="14" t="str">
        <x:v>colony-philippi</x:v>
      </x:c>
      <x:c r="C105" s="14" t="str">
        <x:v>settlement</x:v>
      </x:c>
      <x:c r="D105" s="14" t="str">
        <x:v>polis</x:v>
      </x:c>
      <x:c r="E105" s="14" t="str">
        <x:v>apoikia</x:v>
      </x:c>
      <x:c r="F105" s="14" t="str">
        <x:v>colony</x:v>
      </x:c>
      <x:c r="G105" s="14" t="str">
        <x:v>Φίλιπποι</x:v>
      </x:c>
      <x:c r="H105" s="14" t="str">
        <x:v>Philippi</x:v>
      </x:c>
      <x:c r="I105" s="14" t="str">
        <x:v>Φίλιπποι</x:v>
      </x:c>
      <x:c r="J105" s="16" t="str">
        <x:v>Θασιακή αποικία ως Κρηνίδες, οχυρωμένη και μετονομασμένη από τον Φίλιππο Β΄ το 356 π.Χ.</x:v>
      </x:c>
      <x:c r="K105" s="16" t="str">
        <x:v>Thasian colony as Krinides, fortified and renamed by Philip II in 356 BC.</x:v>
      </x:c>
      <x:c r="L105" s="14"/>
      <x:c r="M105" s="14"/>
      <x:c r="N105" s="14"/>
      <x:c r="O105" s="14" t="str">
        <x:v>region-makedonia-thrake</x:v>
      </x:c>
      <x:c r="P105" s="14" t="str">
        <x:v>approximate</x:v>
      </x:c>
      <x:c r="Q105" s="14" t="str">
        <x:v>high</x:v>
      </x:c>
      <x:c r="R105" s="14" t="str">
        <x:v>high</x:v>
      </x:c>
      <x:c r="S105" s="14" t="str">
        <x:v>reviewed</x:v>
      </x:c>
      <x:c r="T105" s="14" t="str">
        <x:v>machine_assisted_reviewed</x:v>
      </x:c>
      <x:c r="U105" s="14" t="str">
        <x:v>1.0.0</x:v>
      </x:c>
      <x:c r="V105" s="14" t="str">
        <x:v>archaios_ellinikos_kosmos_entities_v0_1.csv</x:v>
      </x:c>
      <x:c r="W105" s="17" t="n">
        <x:v>46248</x:v>
      </x:c>
      <x:c r="X105" s="14" t="str">
        <x:v>Codex-assisted normalization of user research</x:v>
      </x:c>
    </x:row>
    <x:row r="106" ht="44" customHeight="1">
      <x:c r="A106" s="14" t="str">
        <x:v>colony-phocaea</x:v>
      </x:c>
      <x:c r="B106" s="14" t="str">
        <x:v>colony-phocaea</x:v>
      </x:c>
      <x:c r="C106" s="14" t="str">
        <x:v>settlement</x:v>
      </x:c>
      <x:c r="D106" s="14" t="str">
        <x:v>polis</x:v>
      </x:c>
      <x:c r="E106" s="14" t="str">
        <x:v>apoikia</x:v>
      </x:c>
      <x:c r="F106" s="14" t="str">
        <x:v>colony</x:v>
      </x:c>
      <x:c r="G106" s="14" t="str">
        <x:v>Φώκαια</x:v>
      </x:c>
      <x:c r="H106" s="14" t="str">
        <x:v>Phocaea</x:v>
      </x:c>
      <x:c r="I106" s="14" t="str">
        <x:v>Φώκαια</x:v>
      </x:c>
      <x:c r="J106" s="16" t="str">
        <x:v>Ιωνική ναυτική πόλη, μητρόπολη της Μασσαλίας, της Ελέας και άλλων δυτικών εγκαταστάσεων.</x:v>
      </x:c>
      <x:c r="K106" s="16" t="str">
        <x:v>An Ionian maritime city and metropolis of Massalia, Elea and other western settlements.</x:v>
      </x:c>
      <x:c r="L106" s="14"/>
      <x:c r="M106" s="14"/>
      <x:c r="N106" s="14"/>
      <x:c r="O106" s="14" t="str">
        <x:v>region-ionia</x:v>
      </x:c>
      <x:c r="P106" s="14" t="str">
        <x:v>approximate</x:v>
      </x:c>
      <x:c r="Q106" s="14" t="str">
        <x:v>high</x:v>
      </x:c>
      <x:c r="R106" s="14" t="str">
        <x:v>high</x:v>
      </x:c>
      <x:c r="S106" s="14" t="str">
        <x:v>reviewed</x:v>
      </x:c>
      <x:c r="T106" s="14" t="str">
        <x:v>machine_assisted_reviewed</x:v>
      </x:c>
      <x:c r="U106" s="14" t="str">
        <x:v>1.0.0</x:v>
      </x:c>
      <x:c r="V106" s="14" t="str">
        <x:v>archaios_ellinikos_kosmos_entities_v0_1.csv</x:v>
      </x:c>
      <x:c r="W106" s="17" t="n">
        <x:v>46248</x:v>
      </x:c>
      <x:c r="X106" s="14" t="str">
        <x:v>Codex-assisted normalization of user research</x:v>
      </x:c>
    </x:row>
    <x:row r="107" ht="44" customHeight="1">
      <x:c r="A107" s="14" t="str">
        <x:v>colony-poseidonia</x:v>
      </x:c>
      <x:c r="B107" s="14" t="str">
        <x:v>colony-poseidonia</x:v>
      </x:c>
      <x:c r="C107" s="14" t="str">
        <x:v>settlement</x:v>
      </x:c>
      <x:c r="D107" s="14" t="str">
        <x:v>polis</x:v>
      </x:c>
      <x:c r="E107" s="14" t="str">
        <x:v>apoikia</x:v>
      </x:c>
      <x:c r="F107" s="14" t="str">
        <x:v>colony</x:v>
      </x:c>
      <x:c r="G107" s="14" t="str">
        <x:v>Ποσειδωνία</x:v>
      </x:c>
      <x:c r="H107" s="14" t="str">
        <x:v>Poseidonia</x:v>
      </x:c>
      <x:c r="I107" s="14" t="str">
        <x:v>Ποσειδωνία</x:v>
      </x:c>
      <x:c r="J107" s="16" t="str">
        <x:v>Αποικία της Σύβαρης, γνωστή ως Ποσειδωνία και αργότερα ως ρωμαϊκό Paestum.</x:v>
      </x:c>
      <x:c r="K107" s="16" t="str">
        <x:v>A colony of Sybaris, known as Poseidonia and later as the Roman city of Paestum.</x:v>
      </x:c>
      <x:c r="L107" s="14"/>
      <x:c r="M107" s="14"/>
      <x:c r="N107" s="14"/>
      <x:c r="O107" s="14" t="str">
        <x:v>region-megale-ellada-leykania</x:v>
      </x:c>
      <x:c r="P107" s="14" t="str">
        <x:v>approximate</x:v>
      </x:c>
      <x:c r="Q107" s="14" t="str">
        <x:v>high</x:v>
      </x:c>
      <x:c r="R107" s="14" t="str">
        <x:v>high</x:v>
      </x:c>
      <x:c r="S107" s="14" t="str">
        <x:v>reviewed</x:v>
      </x:c>
      <x:c r="T107" s="14" t="str">
        <x:v>machine_assisted_reviewed</x:v>
      </x:c>
      <x:c r="U107" s="14" t="str">
        <x:v>1.0.0</x:v>
      </x:c>
      <x:c r="V107" s="14" t="str">
        <x:v>archaios_ellinikos_kosmos_entities_v0_1.csv</x:v>
      </x:c>
      <x:c r="W107" s="17" t="n">
        <x:v>46248</x:v>
      </x:c>
      <x:c r="X107" s="14" t="str">
        <x:v>Codex-assisted normalization of user research</x:v>
      </x:c>
    </x:row>
    <x:row r="108" ht="44" customHeight="1">
      <x:c r="A108" s="14" t="str">
        <x:v>colony-priene</x:v>
      </x:c>
      <x:c r="B108" s="14" t="str">
        <x:v>colony-priene</x:v>
      </x:c>
      <x:c r="C108" s="14" t="str">
        <x:v>settlement</x:v>
      </x:c>
      <x:c r="D108" s="14" t="str">
        <x:v>polis</x:v>
      </x:c>
      <x:c r="E108" s="14" t="str">
        <x:v>apoikia</x:v>
      </x:c>
      <x:c r="F108" s="14" t="str">
        <x:v>colony</x:v>
      </x:c>
      <x:c r="G108" s="14" t="str">
        <x:v>Πριήνη</x:v>
      </x:c>
      <x:c r="H108" s="14" t="str">
        <x:v>Priene</x:v>
      </x:c>
      <x:c r="I108" s="14" t="str">
        <x:v>Πριήνη</x:v>
      </x:c>
      <x:c r="J108" s="16" t="str">
        <x:v>Ιωνική πόλη με υποδειγματική ιπποδάμεια πολεοδομία στη νεότερη θέση της στον Μυκάλη.</x:v>
      </x:c>
      <x:c r="K108" s="16" t="str">
        <x:v>An Ionian city with exemplary Hippodamian planning at its later site on Mount Mycale.</x:v>
      </x:c>
      <x:c r="L108" s="14"/>
      <x:c r="M108" s="14"/>
      <x:c r="N108" s="14"/>
      <x:c r="O108" s="14" t="str">
        <x:v>region-ionia</x:v>
      </x:c>
      <x:c r="P108" s="14" t="str">
        <x:v>approximate</x:v>
      </x:c>
      <x:c r="Q108" s="14" t="str">
        <x:v>high</x:v>
      </x:c>
      <x:c r="R108" s="14" t="str">
        <x:v>high</x:v>
      </x:c>
      <x:c r="S108" s="14" t="str">
        <x:v>reviewed</x:v>
      </x:c>
      <x:c r="T108" s="14" t="str">
        <x:v>machine_assisted_reviewed</x:v>
      </x:c>
      <x:c r="U108" s="14" t="str">
        <x:v>1.0.0</x:v>
      </x:c>
      <x:c r="V108" s="14" t="str">
        <x:v>archaios_ellinikos_kosmos_entities_v0_1.csv</x:v>
      </x:c>
      <x:c r="W108" s="17" t="n">
        <x:v>46248</x:v>
      </x:c>
      <x:c r="X108" s="14" t="str">
        <x:v>Codex-assisted normalization of user research</x:v>
      </x:c>
    </x:row>
    <x:row r="109" ht="44" customHeight="1">
      <x:c r="A109" s="14" t="str">
        <x:v>colony-rhegion</x:v>
      </x:c>
      <x:c r="B109" s="14" t="str">
        <x:v>colony-rhegion</x:v>
      </x:c>
      <x:c r="C109" s="14" t="str">
        <x:v>settlement</x:v>
      </x:c>
      <x:c r="D109" s="14" t="str">
        <x:v>polis</x:v>
      </x:c>
      <x:c r="E109" s="14" t="str">
        <x:v>apoikia</x:v>
      </x:c>
      <x:c r="F109" s="14" t="str">
        <x:v>colony</x:v>
      </x:c>
      <x:c r="G109" s="14" t="str">
        <x:v>Ρήγιο</x:v>
      </x:c>
      <x:c r="H109" s="14" t="str">
        <x:v>Rhegion</x:v>
      </x:c>
      <x:c r="I109" s="14" t="str">
        <x:v>Ῥήγιον</x:v>
      </x:c>
      <x:c r="J109" s="16" t="str">
        <x:v>Ευβοϊκή αποικία στην ιταλική πλευρά του στενού της Μεσσήνης.</x:v>
      </x:c>
      <x:c r="K109" s="16" t="str">
        <x:v>Euboean colony on the Italian side of the Straits of Messina.</x:v>
      </x:c>
      <x:c r="L109" s="14"/>
      <x:c r="M109" s="14"/>
      <x:c r="N109" s="14"/>
      <x:c r="O109" s="14" t="str">
        <x:v>region-megale-ellada-brettia</x:v>
      </x:c>
      <x:c r="P109" s="14" t="str">
        <x:v>approximate</x:v>
      </x:c>
      <x:c r="Q109" s="14" t="str">
        <x:v>high</x:v>
      </x:c>
      <x:c r="R109" s="14" t="str">
        <x:v>high</x:v>
      </x:c>
      <x:c r="S109" s="14" t="str">
        <x:v>reviewed</x:v>
      </x:c>
      <x:c r="T109" s="14" t="str">
        <x:v>machine_assisted_reviewed</x:v>
      </x:c>
      <x:c r="U109" s="14" t="str">
        <x:v>1.0.0</x:v>
      </x:c>
      <x:c r="V109" s="14" t="str">
        <x:v>archaios_ellinikos_kosmos_entities_v0_1.csv</x:v>
      </x:c>
      <x:c r="W109" s="17" t="n">
        <x:v>46248</x:v>
      </x:c>
      <x:c r="X109" s="14" t="str">
        <x:v>Codex-assisted normalization of user research</x:v>
      </x:c>
    </x:row>
    <x:row r="110" ht="44" customHeight="1">
      <x:c r="A110" s="14" t="str">
        <x:v>colony-selinus</x:v>
      </x:c>
      <x:c r="B110" s="14" t="str">
        <x:v>colony-selinus</x:v>
      </x:c>
      <x:c r="C110" s="14" t="str">
        <x:v>settlement</x:v>
      </x:c>
      <x:c r="D110" s="14" t="str">
        <x:v>polis</x:v>
      </x:c>
      <x:c r="E110" s="14" t="str">
        <x:v>apoikia</x:v>
      </x:c>
      <x:c r="F110" s="14" t="str">
        <x:v>colony</x:v>
      </x:c>
      <x:c r="G110" s="14" t="str">
        <x:v>Σελινούντας</x:v>
      </x:c>
      <x:c r="H110" s="14" t="str">
        <x:v>Selinus</x:v>
      </x:c>
      <x:c r="I110" s="14" t="str">
        <x:v>Σελινοῦς</x:v>
      </x:c>
      <x:c r="J110" s="16" t="str">
        <x:v>Η δυτικότερη μεγάλη ελληνική αποικία της Σικελίας, καταστραμμένη οριστικά στον Α΄ Καρχηδονιακό Πόλεμο.</x:v>
      </x:c>
      <x:c r="K110" s="16" t="str">
        <x:v>The westernmost large Greek colony of Sicily, permanently destroyed in the First Carthaginian War.</x:v>
      </x:c>
      <x:c r="L110" s="14"/>
      <x:c r="M110" s="14"/>
      <x:c r="N110" s="14"/>
      <x:c r="O110" s="14" t="str">
        <x:v>region-sikelia</x:v>
      </x:c>
      <x:c r="P110" s="14" t="str">
        <x:v>approximate</x:v>
      </x:c>
      <x:c r="Q110" s="14" t="str">
        <x:v>high</x:v>
      </x:c>
      <x:c r="R110" s="14" t="str">
        <x:v>high</x:v>
      </x:c>
      <x:c r="S110" s="14" t="str">
        <x:v>reviewed</x:v>
      </x:c>
      <x:c r="T110" s="14" t="str">
        <x:v>machine_assisted_reviewed</x:v>
      </x:c>
      <x:c r="U110" s="14" t="str">
        <x:v>1.0.0</x:v>
      </x:c>
      <x:c r="V110" s="14" t="str">
        <x:v>archaios_ellinikos_kosmos_entities_v0_1.csv</x:v>
      </x:c>
      <x:c r="W110" s="17" t="n">
        <x:v>46248</x:v>
      </x:c>
      <x:c r="X110" s="14" t="str">
        <x:v>Codex-assisted normalization of user research</x:v>
      </x:c>
    </x:row>
    <x:row r="111" ht="44" customHeight="1">
      <x:c r="A111" s="14" t="str">
        <x:v>colony-sinope</x:v>
      </x:c>
      <x:c r="B111" s="14" t="str">
        <x:v>colony-sinope</x:v>
      </x:c>
      <x:c r="C111" s="14" t="str">
        <x:v>settlement</x:v>
      </x:c>
      <x:c r="D111" s="14" t="str">
        <x:v>polis</x:v>
      </x:c>
      <x:c r="E111" s="14" t="str">
        <x:v>apoikia</x:v>
      </x:c>
      <x:c r="F111" s="14" t="str">
        <x:v>colony</x:v>
      </x:c>
      <x:c r="G111" s="14" t="str">
        <x:v>Σινώπη</x:v>
      </x:c>
      <x:c r="H111" s="14" t="str">
        <x:v>Sinope</x:v>
      </x:c>
      <x:c r="I111" s="14" t="str">
        <x:v>Σινώπη</x:v>
      </x:c>
      <x:c r="J111" s="16" t="str">
        <x:v>Μιλησιακή αποικία σε ασφαλή χερσόνησο, βασικός κόμβος του αποικιακού δικτύου του Πόντου.</x:v>
      </x:c>
      <x:c r="K111" s="16" t="str">
        <x:v>A Milesian colony on a defensible peninsula and a central hub of the Greek colonial network in the Black Sea.</x:v>
      </x:c>
      <x:c r="L111" s="14"/>
      <x:c r="M111" s="14"/>
      <x:c r="N111" s="14"/>
      <x:c r="O111" s="14" t="str">
        <x:v>region-paphlagonia-pontos</x:v>
      </x:c>
      <x:c r="P111" s="14" t="str">
        <x:v>approximate</x:v>
      </x:c>
      <x:c r="Q111" s="14" t="str">
        <x:v>high</x:v>
      </x:c>
      <x:c r="R111" s="14" t="str">
        <x:v>high</x:v>
      </x:c>
      <x:c r="S111" s="14" t="str">
        <x:v>reviewed</x:v>
      </x:c>
      <x:c r="T111" s="14" t="str">
        <x:v>machine_assisted_reviewed</x:v>
      </x:c>
      <x:c r="U111" s="14" t="str">
        <x:v>1.0.0</x:v>
      </x:c>
      <x:c r="V111" s="14" t="str">
        <x:v>archaios_ellinikos_kosmos_entities_v0_1.csv</x:v>
      </x:c>
      <x:c r="W111" s="17" t="n">
        <x:v>46248</x:v>
      </x:c>
      <x:c r="X111" s="14" t="str">
        <x:v>Codex-assisted normalization of user research</x:v>
      </x:c>
    </x:row>
    <x:row r="112" ht="44" customHeight="1">
      <x:c r="A112" s="14" t="str">
        <x:v>colony-sybaris</x:v>
      </x:c>
      <x:c r="B112" s="14" t="str">
        <x:v>colony-sybaris</x:v>
      </x:c>
      <x:c r="C112" s="14" t="str">
        <x:v>settlement</x:v>
      </x:c>
      <x:c r="D112" s="14" t="str">
        <x:v>polis</x:v>
      </x:c>
      <x:c r="E112" s="14" t="str">
        <x:v>apoikia</x:v>
      </x:c>
      <x:c r="F112" s="14" t="str">
        <x:v>colony</x:v>
      </x:c>
      <x:c r="G112" s="14" t="str">
        <x:v>Σύβαρις</x:v>
      </x:c>
      <x:c r="H112" s="14" t="str">
        <x:v>Sybaris</x:v>
      </x:c>
      <x:c r="I112" s="14" t="str">
        <x:v>Σύβαρις</x:v>
      </x:c>
      <x:c r="J112" s="16" t="str">
        <x:v>Πλούσια αχαϊκή αποικία στην πεδιάδα του Κράθη, καταστραμμένη από τον Κρότωνα το 510 π.Χ.</x:v>
      </x:c>
      <x:c r="K112" s="16" t="str">
        <x:v>Wealthy Achaean colony on the Krathis plain, destroyed by Croton in 510 BC.</x:v>
      </x:c>
      <x:c r="L112" s="14"/>
      <x:c r="M112" s="14"/>
      <x:c r="N112" s="14"/>
      <x:c r="O112" s="14" t="str">
        <x:v>region-megale-ellada-leykania</x:v>
      </x:c>
      <x:c r="P112" s="14" t="str">
        <x:v>approximate</x:v>
      </x:c>
      <x:c r="Q112" s="14" t="str">
        <x:v>high</x:v>
      </x:c>
      <x:c r="R112" s="14" t="str">
        <x:v>high</x:v>
      </x:c>
      <x:c r="S112" s="14" t="str">
        <x:v>reviewed</x:v>
      </x:c>
      <x:c r="T112" s="14" t="str">
        <x:v>machine_assisted_reviewed</x:v>
      </x:c>
      <x:c r="U112" s="14" t="str">
        <x:v>1.0.0</x:v>
      </x:c>
      <x:c r="V112" s="14" t="str">
        <x:v>archaios_ellinikos_kosmos_entities_v0_1.csv</x:v>
      </x:c>
      <x:c r="W112" s="17" t="n">
        <x:v>46248</x:v>
      </x:c>
      <x:c r="X112" s="14" t="str">
        <x:v>Codex-assisted normalization of user research</x:v>
      </x:c>
    </x:row>
    <x:row r="113" ht="44" customHeight="1">
      <x:c r="A113" s="14" t="str">
        <x:v>colony-syracuse</x:v>
      </x:c>
      <x:c r="B113" s="14" t="str">
        <x:v>colony-syracuse</x:v>
      </x:c>
      <x:c r="C113" s="14" t="str">
        <x:v>settlement</x:v>
      </x:c>
      <x:c r="D113" s="14" t="str">
        <x:v>polis</x:v>
      </x:c>
      <x:c r="E113" s="14" t="str">
        <x:v>apoikia</x:v>
      </x:c>
      <x:c r="F113" s="14" t="str">
        <x:v>colony</x:v>
      </x:c>
      <x:c r="G113" s="14" t="str">
        <x:v>Συρακούσες</x:v>
      </x:c>
      <x:c r="H113" s="14" t="str">
        <x:v>Syracuse</x:v>
      </x:c>
      <x:c r="I113" s="14" t="str">
        <x:v>Συράκουσαι</x:v>
      </x:c>
      <x:c r="J113" s="16" t="str">
        <x:v>Κορινθιακή αποικία που εξελίχθηκε στην ισχυρότερη ελληνική πόλη της Σικελίας.</x:v>
      </x:c>
      <x:c r="K113" s="16" t="str">
        <x:v>Corinthian colony that developed into the strongest Greek city in Sicily.</x:v>
      </x:c>
      <x:c r="L113" s="14"/>
      <x:c r="M113" s="14"/>
      <x:c r="N113" s="14"/>
      <x:c r="O113" s="14" t="str">
        <x:v>region-sikelia</x:v>
      </x:c>
      <x:c r="P113" s="14" t="str">
        <x:v>approximate</x:v>
      </x:c>
      <x:c r="Q113" s="14" t="str">
        <x:v>high</x:v>
      </x:c>
      <x:c r="R113" s="14" t="str">
        <x:v>high</x:v>
      </x:c>
      <x:c r="S113" s="14" t="str">
        <x:v>reviewed</x:v>
      </x:c>
      <x:c r="T113" s="14" t="str">
        <x:v>machine_assisted_reviewed</x:v>
      </x:c>
      <x:c r="U113" s="14" t="str">
        <x:v>1.0.0</x:v>
      </x:c>
      <x:c r="V113" s="14" t="str">
        <x:v>archaios_ellinikos_kosmos_entities_v0_1.csv</x:v>
      </x:c>
      <x:c r="W113" s="17" t="n">
        <x:v>46248</x:v>
      </x:c>
      <x:c r="X113" s="14" t="str">
        <x:v>Codex-assisted normalization of user research</x:v>
      </x:c>
    </x:row>
    <x:row r="114" ht="44" customHeight="1">
      <x:c r="A114" s="14" t="str">
        <x:v>colony-tanais</x:v>
      </x:c>
      <x:c r="B114" s="14" t="str">
        <x:v>colony-tanais</x:v>
      </x:c>
      <x:c r="C114" s="14" t="str">
        <x:v>settlement</x:v>
      </x:c>
      <x:c r="D114" s="14" t="str">
        <x:v>polis</x:v>
      </x:c>
      <x:c r="E114" s="14" t="str">
        <x:v>apoikia</x:v>
      </x:c>
      <x:c r="F114" s="14" t="str">
        <x:v>colony</x:v>
      </x:c>
      <x:c r="G114" s="14" t="str">
        <x:v>Τάναϊς</x:v>
      </x:c>
      <x:c r="H114" s="14" t="str">
        <x:v>Tanais</x:v>
      </x:c>
      <x:c r="I114" s="14" t="str">
        <x:v>Τάναϊς</x:v>
      </x:c>
      <x:c r="J114" s="16" t="str">
        <x:v>Ελληνιστικό εμπορικό κέντρο στις εκβολές του Δον, όριο επαφής ελληνικών και νομαδικών πληθυσμών.</x:v>
      </x:c>
      <x:c r="K114" s="16" t="str">
        <x:v>Hellenistic commercial center at the mouth of the Don, boundary of contact between Greek and nomadic populations.</x:v>
      </x:c>
      <x:c r="L114" s="14"/>
      <x:c r="M114" s="14"/>
      <x:c r="N114" s="14"/>
      <x:c r="O114" s="14" t="str">
        <x:v>region-maiotida</x:v>
      </x:c>
      <x:c r="P114" s="14" t="str">
        <x:v>approximate</x:v>
      </x:c>
      <x:c r="Q114" s="14" t="str">
        <x:v>high</x:v>
      </x:c>
      <x:c r="R114" s="14" t="str">
        <x:v>high</x:v>
      </x:c>
      <x:c r="S114" s="14" t="str">
        <x:v>reviewed</x:v>
      </x:c>
      <x:c r="T114" s="14" t="str">
        <x:v>machine_assisted_reviewed</x:v>
      </x:c>
      <x:c r="U114" s="14" t="str">
        <x:v>1.0.0</x:v>
      </x:c>
      <x:c r="V114" s="14" t="str">
        <x:v>archaios_ellinikos_kosmos_entities_v0_1.csv</x:v>
      </x:c>
      <x:c r="W114" s="17" t="n">
        <x:v>46248</x:v>
      </x:c>
      <x:c r="X114" s="14" t="str">
        <x:v>Codex-assisted normalization of user research</x:v>
      </x:c>
    </x:row>
    <x:row r="115" ht="44" customHeight="1">
      <x:c r="A115" s="14" t="str">
        <x:v>colony-taras</x:v>
      </x:c>
      <x:c r="B115" s="14" t="str">
        <x:v>colony-taras</x:v>
      </x:c>
      <x:c r="C115" s="14" t="str">
        <x:v>settlement</x:v>
      </x:c>
      <x:c r="D115" s="14" t="str">
        <x:v>polis</x:v>
      </x:c>
      <x:c r="E115" s="14" t="str">
        <x:v>apoikia</x:v>
      </x:c>
      <x:c r="F115" s="14" t="str">
        <x:v>colony</x:v>
      </x:c>
      <x:c r="G115" s="14" t="str">
        <x:v>Τάρας</x:v>
      </x:c>
      <x:c r="H115" s="14" t="str">
        <x:v>Taras</x:v>
      </x:c>
      <x:c r="I115" s="14" t="str">
        <x:v>Τάρας</x:v>
      </x:c>
      <x:c r="J115" s="16" t="str">
        <x:v>Η μοναδική παραδοσιακά σπαρτιατική αποικία και ισχυρότερη ελληνική πόλη της Απουλίας.</x:v>
      </x:c>
      <x:c r="K115" s="16" t="str">
        <x:v>The only traditionally Spartan colony and strongest Greek city of Apulia.</x:v>
      </x:c>
      <x:c r="L115" s="14"/>
      <x:c r="M115" s="14"/>
      <x:c r="N115" s="14"/>
      <x:c r="O115" s="14" t="str">
        <x:v>region-megale-ellada-apoylia</x:v>
      </x:c>
      <x:c r="P115" s="14" t="str">
        <x:v>approximate</x:v>
      </x:c>
      <x:c r="Q115" s="14" t="str">
        <x:v>high</x:v>
      </x:c>
      <x:c r="R115" s="14" t="str">
        <x:v>high</x:v>
      </x:c>
      <x:c r="S115" s="14" t="str">
        <x:v>reviewed</x:v>
      </x:c>
      <x:c r="T115" s="14" t="str">
        <x:v>machine_assisted_reviewed</x:v>
      </x:c>
      <x:c r="U115" s="14" t="str">
        <x:v>1.0.0</x:v>
      </x:c>
      <x:c r="V115" s="14" t="str">
        <x:v>archaios_ellinikos_kosmos_entities_v0_1.csv</x:v>
      </x:c>
      <x:c r="W115" s="17" t="n">
        <x:v>46248</x:v>
      </x:c>
      <x:c r="X115" s="14" t="str">
        <x:v>Codex-assisted normalization of user research</x:v>
      </x:c>
    </x:row>
    <x:row r="116" ht="44" customHeight="1">
      <x:c r="A116" s="14" t="str">
        <x:v>colony-taucheira</x:v>
      </x:c>
      <x:c r="B116" s="14" t="str">
        <x:v>colony-taucheira</x:v>
      </x:c>
      <x:c r="C116" s="14" t="str">
        <x:v>settlement</x:v>
      </x:c>
      <x:c r="D116" s="14" t="str">
        <x:v>polis</x:v>
      </x:c>
      <x:c r="E116" s="14" t="str">
        <x:v>apoikia</x:v>
      </x:c>
      <x:c r="F116" s="14" t="str">
        <x:v>colony</x:v>
      </x:c>
      <x:c r="G116" s="14" t="str">
        <x:v>Ταύχειρα</x:v>
      </x:c>
      <x:c r="H116" s="14" t="str">
        <x:v>Taucheira</x:v>
      </x:c>
      <x:c r="I116" s="14" t="str">
        <x:v>Ταύχειρα</x:v>
      </x:c>
      <x:c r="J116" s="16" t="str">
        <x:v>Παράκτια ελληνική πόλη της Κυρηναϊκής, αργότερα γνωστή ως Αρσινόη.</x:v>
      </x:c>
      <x:c r="K116" s="16" t="str">
        <x:v>Coastal Greek city of Cyrenaica, later known as Arsinoe.</x:v>
      </x:c>
      <x:c r="L116" s="14"/>
      <x:c r="M116" s="14"/>
      <x:c r="N116" s="14"/>
      <x:c r="O116" s="14" t="str">
        <x:v>region-kyrenaike</x:v>
      </x:c>
      <x:c r="P116" s="14" t="str">
        <x:v>approximate</x:v>
      </x:c>
      <x:c r="Q116" s="14" t="str">
        <x:v>high</x:v>
      </x:c>
      <x:c r="R116" s="14" t="str">
        <x:v>high</x:v>
      </x:c>
      <x:c r="S116" s="14" t="str">
        <x:v>reviewed</x:v>
      </x:c>
      <x:c r="T116" s="14" t="str">
        <x:v>machine_assisted_reviewed</x:v>
      </x:c>
      <x:c r="U116" s="14" t="str">
        <x:v>1.0.0</x:v>
      </x:c>
      <x:c r="V116" s="14" t="str">
        <x:v>archaios_ellinikos_kosmos_entities_v0_1.csv</x:v>
      </x:c>
      <x:c r="W116" s="17" t="n">
        <x:v>46248</x:v>
      </x:c>
      <x:c r="X116" s="14" t="str">
        <x:v>Codex-assisted normalization of user research</x:v>
      </x:c>
    </x:row>
    <x:row r="117" ht="44" customHeight="1">
      <x:c r="A117" s="14" t="str">
        <x:v>colony-teos</x:v>
      </x:c>
      <x:c r="B117" s="14" t="str">
        <x:v>colony-teos</x:v>
      </x:c>
      <x:c r="C117" s="14" t="str">
        <x:v>settlement</x:v>
      </x:c>
      <x:c r="D117" s="14" t="str">
        <x:v>polis</x:v>
      </x:c>
      <x:c r="E117" s="14" t="str">
        <x:v>apoikia</x:v>
      </x:c>
      <x:c r="F117" s="14" t="str">
        <x:v>colony</x:v>
      </x:c>
      <x:c r="G117" s="14" t="str">
        <x:v>Τέως</x:v>
      </x:c>
      <x:c r="H117" s="14" t="str">
        <x:v>Teos</x:v>
      </x:c>
      <x:c r="I117" s="14" t="str">
        <x:v>Τέως</x:v>
      </x:c>
      <x:c r="J117" s="16" t="str">
        <x:v>Ιωνική λιμενική πόλη και έδρα του ελληνιστικού κοινού των τεχνιτών του Διονύσου.</x:v>
      </x:c>
      <x:c r="K117" s="16" t="str">
        <x:v>An Ionian port and seat of the Hellenistic association of the Artists of Dionysus.</x:v>
      </x:c>
      <x:c r="L117" s="14"/>
      <x:c r="M117" s="14"/>
      <x:c r="N117" s="14"/>
      <x:c r="O117" s="14" t="str">
        <x:v>region-ionia</x:v>
      </x:c>
      <x:c r="P117" s="14" t="str">
        <x:v>approximate</x:v>
      </x:c>
      <x:c r="Q117" s="14" t="str">
        <x:v>high</x:v>
      </x:c>
      <x:c r="R117" s="14" t="str">
        <x:v>high</x:v>
      </x:c>
      <x:c r="S117" s="14" t="str">
        <x:v>reviewed</x:v>
      </x:c>
      <x:c r="T117" s="14" t="str">
        <x:v>machine_assisted_reviewed</x:v>
      </x:c>
      <x:c r="U117" s="14" t="str">
        <x:v>1.0.0</x:v>
      </x:c>
      <x:c r="V117" s="14" t="str">
        <x:v>archaios_ellinikos_kosmos_entities_v0_1.csv</x:v>
      </x:c>
      <x:c r="W117" s="17" t="n">
        <x:v>46248</x:v>
      </x:c>
      <x:c r="X117" s="14" t="str">
        <x:v>Codex-assisted normalization of user research</x:v>
      </x:c>
    </x:row>
    <x:row r="118" ht="44" customHeight="1">
      <x:c r="A118" s="14" t="str">
        <x:v>colony-theodosia-crimea</x:v>
      </x:c>
      <x:c r="B118" s="14" t="str">
        <x:v>colony-theodosia-crimea</x:v>
      </x:c>
      <x:c r="C118" s="14" t="str">
        <x:v>settlement</x:v>
      </x:c>
      <x:c r="D118" s="14" t="str">
        <x:v>polis</x:v>
      </x:c>
      <x:c r="E118" s="14" t="str">
        <x:v>apoikia</x:v>
      </x:c>
      <x:c r="F118" s="14" t="str">
        <x:v>colony</x:v>
      </x:c>
      <x:c r="G118" s="14" t="str">
        <x:v>Θεοδοσία</x:v>
      </x:c>
      <x:c r="H118" s="14" t="str">
        <x:v>Theodosia</x:v>
      </x:c>
      <x:c r="I118" s="14" t="str">
        <x:v>Θεοδοσία</x:v>
      </x:c>
      <x:c r="J118" s="16" t="str">
        <x:v>Μιλησιακή αποικία με εύφορη ενδοχώρα και σημαντικό εξαγωγικό λιμάνι σιτηρών.</x:v>
      </x:c>
      <x:c r="K118" s="16" t="str">
        <x:v>A Milesian colony with a fertile hinterland and an important grain export port.</x:v>
      </x:c>
      <x:c r="L118" s="14"/>
      <x:c r="M118" s="14"/>
      <x:c r="N118" s="14"/>
      <x:c r="O118" s="14" t="str">
        <x:v>region-tayrike</x:v>
      </x:c>
      <x:c r="P118" s="14" t="str">
        <x:v>approximate</x:v>
      </x:c>
      <x:c r="Q118" s="14" t="str">
        <x:v>high</x:v>
      </x:c>
      <x:c r="R118" s="14" t="str">
        <x:v>high</x:v>
      </x:c>
      <x:c r="S118" s="14" t="str">
        <x:v>reviewed</x:v>
      </x:c>
      <x:c r="T118" s="14" t="str">
        <x:v>machine_assisted_reviewed</x:v>
      </x:c>
      <x:c r="U118" s="14" t="str">
        <x:v>1.0.0</x:v>
      </x:c>
      <x:c r="V118" s="14" t="str">
        <x:v>archaios_ellinikos_kosmos_entities_v0_1.csv</x:v>
      </x:c>
      <x:c r="W118" s="17" t="n">
        <x:v>46248</x:v>
      </x:c>
      <x:c r="X118" s="14" t="str">
        <x:v>Codex-assisted normalization of user research</x:v>
      </x:c>
    </x:row>
    <x:row r="119" ht="44" customHeight="1">
      <x:c r="A119" s="14" t="str">
        <x:v>colony-tomis</x:v>
      </x:c>
      <x:c r="B119" s="14" t="str">
        <x:v>colony-tomis</x:v>
      </x:c>
      <x:c r="C119" s="14" t="str">
        <x:v>settlement</x:v>
      </x:c>
      <x:c r="D119" s="14" t="str">
        <x:v>polis</x:v>
      </x:c>
      <x:c r="E119" s="14" t="str">
        <x:v>apoikia</x:v>
      </x:c>
      <x:c r="F119" s="14" t="str">
        <x:v>colony</x:v>
      </x:c>
      <x:c r="G119" s="14" t="str">
        <x:v>Τόμις</x:v>
      </x:c>
      <x:c r="H119" s="14" t="str">
        <x:v>Tomis</x:v>
      </x:c>
      <x:c r="I119" s="14" t="str">
        <x:v>Τόμις</x:v>
      </x:c>
      <x:c r="J119" s="16" t="str">
        <x:v>Μιλησιακή αποικία και μεταγενέστερη πρωτεύουσα της ρωμαϊκής Σκυθίας Μικράς.</x:v>
      </x:c>
      <x:c r="K119" s="16" t="str">
        <x:v>Milesian colony and later capital of Roman Scythia Minor.</x:v>
      </x:c>
      <x:c r="L119" s="14"/>
      <x:c r="M119" s="14"/>
      <x:c r="N119" s="14"/>
      <x:c r="O119" s="14" t="str">
        <x:v>region-skythia-mikra</x:v>
      </x:c>
      <x:c r="P119" s="14" t="str">
        <x:v>approximate</x:v>
      </x:c>
      <x:c r="Q119" s="14" t="str">
        <x:v>high</x:v>
      </x:c>
      <x:c r="R119" s="14" t="str">
        <x:v>high</x:v>
      </x:c>
      <x:c r="S119" s="14" t="str">
        <x:v>reviewed</x:v>
      </x:c>
      <x:c r="T119" s="14" t="str">
        <x:v>machine_assisted_reviewed</x:v>
      </x:c>
      <x:c r="U119" s="14" t="str">
        <x:v>1.0.0</x:v>
      </x:c>
      <x:c r="V119" s="14" t="str">
        <x:v>archaios_ellinikos_kosmos_entities_v0_1.csv</x:v>
      </x:c>
      <x:c r="W119" s="17" t="n">
        <x:v>46248</x:v>
      </x:c>
      <x:c r="X119" s="14" t="str">
        <x:v>Codex-assisted normalization of user research</x:v>
      </x:c>
    </x:row>
    <x:row r="120" ht="44" customHeight="1">
      <x:c r="A120" s="14" t="str">
        <x:v>colony-tragurion</x:v>
      </x:c>
      <x:c r="B120" s="14" t="str">
        <x:v>colony-tragurion</x:v>
      </x:c>
      <x:c r="C120" s="14" t="str">
        <x:v>settlement</x:v>
      </x:c>
      <x:c r="D120" s="14" t="str">
        <x:v>polis</x:v>
      </x:c>
      <x:c r="E120" s="14" t="str">
        <x:v>apoikia</x:v>
      </x:c>
      <x:c r="F120" s="14" t="str">
        <x:v>colony</x:v>
      </x:c>
      <x:c r="G120" s="14" t="str">
        <x:v>Τραγούριον</x:v>
      </x:c>
      <x:c r="H120" s="14" t="str">
        <x:v>Tragurion</x:v>
      </x:c>
      <x:c r="I120" s="14" t="str">
        <x:v>Τραγούριον</x:v>
      </x:c>
      <x:c r="J120" s="16" t="str">
        <x:v>Ελληνιστική αποικιακή εγκατάσταση της Ίσσας στην κεντρική δαλματική ακτή.</x:v>
      </x:c>
      <x:c r="K120" s="16" t="str">
        <x:v>Hellenistic colonial settlement of Issa on the central Dalmatian coast.</x:v>
      </x:c>
      <x:c r="L120" s="14"/>
      <x:c r="M120" s="14"/>
      <x:c r="N120" s="14"/>
      <x:c r="O120" s="14" t="str">
        <x:v>region-dalmatia</x:v>
      </x:c>
      <x:c r="P120" s="14" t="str">
        <x:v>approximate</x:v>
      </x:c>
      <x:c r="Q120" s="14" t="str">
        <x:v>high</x:v>
      </x:c>
      <x:c r="R120" s="14" t="str">
        <x:v>high</x:v>
      </x:c>
      <x:c r="S120" s="14" t="str">
        <x:v>reviewed</x:v>
      </x:c>
      <x:c r="T120" s="14" t="str">
        <x:v>machine_assisted_reviewed</x:v>
      </x:c>
      <x:c r="U120" s="14" t="str">
        <x:v>1.0.0</x:v>
      </x:c>
      <x:c r="V120" s="14" t="str">
        <x:v>archaios_ellinikos_kosmos_entities_v0_1.csv</x:v>
      </x:c>
      <x:c r="W120" s="17" t="n">
        <x:v>46248</x:v>
      </x:c>
      <x:c r="X120" s="14" t="str">
        <x:v>Codex-assisted normalization of user research</x:v>
      </x:c>
    </x:row>
    <x:row r="121" ht="44" customHeight="1">
      <x:c r="A121" s="14" t="str">
        <x:v>colony-trapezus</x:v>
      </x:c>
      <x:c r="B121" s="14" t="str">
        <x:v>colony-trapezus</x:v>
      </x:c>
      <x:c r="C121" s="14" t="str">
        <x:v>settlement</x:v>
      </x:c>
      <x:c r="D121" s="14" t="str">
        <x:v>polis</x:v>
      </x:c>
      <x:c r="E121" s="14" t="str">
        <x:v>apoikia</x:v>
      </x:c>
      <x:c r="F121" s="14" t="str">
        <x:v>colony</x:v>
      </x:c>
      <x:c r="G121" s="14" t="str">
        <x:v>Τραπεζούντα</x:v>
      </x:c>
      <x:c r="H121" s="14" t="str">
        <x:v>Trapezus</x:v>
      </x:c>
      <x:c r="I121" s="14" t="str">
        <x:v>Τραπεζοῦς</x:v>
      </x:c>
      <x:c r="J121" s="16" t="str">
        <x:v>Αποικία της Σινώπης στην ανατολική ακτή του Ευξείνου και σταθμός προς τον Καύκασο.</x:v>
      </x:c>
      <x:c r="K121" s="16" t="str">
        <x:v>Colony of Sinope on the eastern coast of the Black Sea and a station towards the Caucasus.</x:v>
      </x:c>
      <x:c r="L121" s="14"/>
      <x:c r="M121" s="14"/>
      <x:c r="N121" s="14"/>
      <x:c r="O121" s="14" t="str">
        <x:v>region-pontos</x:v>
      </x:c>
      <x:c r="P121" s="14" t="str">
        <x:v>approximate</x:v>
      </x:c>
      <x:c r="Q121" s="14" t="str">
        <x:v>high</x:v>
      </x:c>
      <x:c r="R121" s="14" t="str">
        <x:v>high</x:v>
      </x:c>
      <x:c r="S121" s="14" t="str">
        <x:v>reviewed</x:v>
      </x:c>
      <x:c r="T121" s="14" t="str">
        <x:v>machine_assisted_reviewed</x:v>
      </x:c>
      <x:c r="U121" s="14" t="str">
        <x:v>1.0.0</x:v>
      </x:c>
      <x:c r="V121" s="14" t="str">
        <x:v>archaios_ellinikos_kosmos_entities_v0_1.csv</x:v>
      </x:c>
      <x:c r="W121" s="17" t="n">
        <x:v>46248</x:v>
      </x:c>
      <x:c r="X121" s="14" t="str">
        <x:v>Codex-assisted normalization of user research</x:v>
      </x:c>
    </x:row>
    <x:row r="122" ht="44" customHeight="1">
      <x:c r="A122" s="14" t="str">
        <x:v>colony-tyras</x:v>
      </x:c>
      <x:c r="B122" s="14" t="str">
        <x:v>colony-tyras</x:v>
      </x:c>
      <x:c r="C122" s="14" t="str">
        <x:v>settlement</x:v>
      </x:c>
      <x:c r="D122" s="14" t="str">
        <x:v>polis</x:v>
      </x:c>
      <x:c r="E122" s="14" t="str">
        <x:v>apoikia</x:v>
      </x:c>
      <x:c r="F122" s="14" t="str">
        <x:v>colony</x:v>
      </x:c>
      <x:c r="G122" s="14" t="str">
        <x:v>Τύρας</x:v>
      </x:c>
      <x:c r="H122" s="14" t="str">
        <x:v>Tyras</x:v>
      </x:c>
      <x:c r="I122" s="14" t="str">
        <x:v>Τύρας</x:v>
      </x:c>
      <x:c r="J122" s="16" t="str">
        <x:v>Μιλησιακή αποικία στις εκβολές του Δνείστερου, εμπορικός σύνδεσμος με την ενδοχώρα.</x:v>
      </x:c>
      <x:c r="K122" s="16" t="str">
        <x:v>Milesian colony at the mouth of the Dniester, trade link with the hinterland.</x:v>
      </x:c>
      <x:c r="L122" s="14"/>
      <x:c r="M122" s="14"/>
      <x:c r="N122" s="14"/>
      <x:c r="O122" s="14" t="str">
        <x:v>region-skythia-dneisteros</x:v>
      </x:c>
      <x:c r="P122" s="14" t="str">
        <x:v>approximate</x:v>
      </x:c>
      <x:c r="Q122" s="14" t="str">
        <x:v>high</x:v>
      </x:c>
      <x:c r="R122" s="14" t="str">
        <x:v>high</x:v>
      </x:c>
      <x:c r="S122" s="14" t="str">
        <x:v>reviewed</x:v>
      </x:c>
      <x:c r="T122" s="14" t="str">
        <x:v>machine_assisted_reviewed</x:v>
      </x:c>
      <x:c r="U122" s="14" t="str">
        <x:v>1.0.0</x:v>
      </x:c>
      <x:c r="V122" s="14" t="str">
        <x:v>archaios_ellinikos_kosmos_entities_v0_1.csv</x:v>
      </x:c>
      <x:c r="W122" s="17" t="n">
        <x:v>46248</x:v>
      </x:c>
      <x:c r="X122" s="14" t="str">
        <x:v>Codex-assisted normalization of user research</x:v>
      </x:c>
    </x:row>
    <x:row r="123" ht="44" customHeight="1">
      <x:c r="A123" s="14" t="str">
        <x:v>colony-zancle-messana</x:v>
      </x:c>
      <x:c r="B123" s="14" t="str">
        <x:v>colony-zancle-messana</x:v>
      </x:c>
      <x:c r="C123" s="14" t="str">
        <x:v>settlement</x:v>
      </x:c>
      <x:c r="D123" s="14" t="str">
        <x:v>polis</x:v>
      </x:c>
      <x:c r="E123" s="14" t="str">
        <x:v>apoikia</x:v>
      </x:c>
      <x:c r="F123" s="14" t="str">
        <x:v>colony</x:v>
      </x:c>
      <x:c r="G123" s="14" t="str">
        <x:v>Ζάγκλη</x:v>
      </x:c>
      <x:c r="H123" s="14" t="str">
        <x:v>Zancle</x:v>
      </x:c>
      <x:c r="I123" s="14" t="str">
        <x:v>Ζάγκλη</x:v>
      </x:c>
      <x:c r="J123" s="16" t="str">
        <x:v>Ευβοϊκή αποικία στο στενό της Μεσσήνης, αργότερα γνωστή ως Μεσσήνη.</x:v>
      </x:c>
      <x:c r="K123" s="16" t="str">
        <x:v>Euboean colony in the Straits of Messina, later known as Messina.</x:v>
      </x:c>
      <x:c r="L123" s="14"/>
      <x:c r="M123" s="14"/>
      <x:c r="N123" s="14"/>
      <x:c r="O123" s="14" t="str">
        <x:v>region-sikelia</x:v>
      </x:c>
      <x:c r="P123" s="14" t="str">
        <x:v>approximate</x:v>
      </x:c>
      <x:c r="Q123" s="14" t="str">
        <x:v>high</x:v>
      </x:c>
      <x:c r="R123" s="14" t="str">
        <x:v>high</x:v>
      </x:c>
      <x:c r="S123" s="14" t="str">
        <x:v>reviewed</x:v>
      </x:c>
      <x:c r="T123" s="14" t="str">
        <x:v>machine_assisted_reviewed</x:v>
      </x:c>
      <x:c r="U123" s="14" t="str">
        <x:v>1.0.0</x:v>
      </x:c>
      <x:c r="V123" s="14" t="str">
        <x:v>archaios_ellinikos_kosmos_entities_v0_1.csv</x:v>
      </x:c>
      <x:c r="W123" s="17" t="n">
        <x:v>46248</x:v>
      </x:c>
      <x:c r="X123" s="14" t="str">
        <x:v>Codex-assisted normalization of user research</x:v>
      </x:c>
    </x:row>
    <x:row r="124" ht="44" customHeight="1">
      <x:c r="A124" s="14" t="str">
        <x:v>kingdom-alexander-empire</x:v>
      </x:c>
      <x:c r="B124" s="14" t="str">
        <x:v>kingdom-alexander-empire</x:v>
      </x:c>
      <x:c r="C124" s="14" t="str">
        <x:v>polity</x:v>
      </x:c>
      <x:c r="D124" s="14" t="str">
        <x:v>empire</x:v>
      </x:c>
      <x:c r="E124" s="14" t="str">
        <x:v>conquest_empire</x:v>
      </x:c>
      <x:c r="F124" s="14" t="str">
        <x:v>kingdom</x:v>
      </x:c>
      <x:c r="G124" s="14" t="str">
        <x:v>Αυτοκρατορία του Αλεξάνδρου</x:v>
      </x:c>
      <x:c r="H124" s="14" t="str">
        <x:v>Empire of Alexander the Great</x:v>
      </x:c>
      <x:c r="I124" s="14" t="str">
        <x:v>Ἀλέξανδρος βασιλεὺς Μακεδόνων</x:v>
      </x:c>
      <x:c r="J124" s="16" t="str">
        <x:v>Η μακεδονική μοναρχία του Αλεξάνδρου κατέλυσε την Αχαιμενιδική αυτοκρατορία και έφθασε ως τον Ινδό, χωρίς να αποκτήσει σταθερή ενιαία πρωτεύουσα.</x:v>
      </x:c>
      <x:c r="K124" s="16" t="str">
        <x:v>Alexander's Macedonian monarchy overthrew the Achaemenid empire and reached as far as the Indus, without acquiring a fixed single capital.</x:v>
      </x:c>
      <x:c r="L124" s="14"/>
      <x:c r="M124" s="14"/>
      <x:c r="N124" s="14"/>
      <x:c r="O124" s="14" t="str">
        <x:v>region-makedonia-aigyptos-kai-asia</x:v>
      </x:c>
      <x:c r="P124" s="14" t="str">
        <x:v>exact</x:v>
      </x:c>
      <x:c r="Q124" s="14" t="str">
        <x:v>high</x:v>
      </x:c>
      <x:c r="R124" s="14" t="str">
        <x:v>high</x:v>
      </x:c>
      <x:c r="S124" s="14" t="str">
        <x:v>reviewed</x:v>
      </x:c>
      <x:c r="T124" s="14" t="str">
        <x:v>machine_assisted_reviewed</x:v>
      </x:c>
      <x:c r="U124" s="14" t="str">
        <x:v>1.0.0</x:v>
      </x:c>
      <x:c r="V124" s="14" t="str">
        <x:v>archaios_ellinikos_kosmos_entities_v0_1.csv</x:v>
      </x:c>
      <x:c r="W124" s="17" t="n">
        <x:v>46248</x:v>
      </x:c>
      <x:c r="X124" s="14" t="str">
        <x:v>Codex-assisted normalization of user research</x:v>
      </x:c>
    </x:row>
    <x:row r="125" ht="44" customHeight="1">
      <x:c r="A125" s="14" t="str">
        <x:v>kingdom-athens-mycenaean</x:v>
      </x:c>
      <x:c r="B125" s="14" t="str">
        <x:v>kingdom-athens-mycenaean</x:v>
      </x:c>
      <x:c r="C125" s="14" t="str">
        <x:v>polity</x:v>
      </x:c>
      <x:c r="D125" s="14" t="str">
        <x:v>palatial_state</x:v>
      </x:c>
      <x:c r="E125" s="14" t="str">
        <x:v>mycenaean_palatial_polity_disputed</x:v>
      </x:c>
      <x:c r="F125" s="14" t="str">
        <x:v>kingdom</x:v>
      </x:c>
      <x:c r="G125" s="14" t="str">
        <x:v>Μυκηναϊκό κέντρο της Αθήνας</x:v>
      </x:c>
      <x:c r="H125" s="14" t="str">
        <x:v>Mycenaean Athens Polity</x:v>
      </x:c>
      <x:c r="I125" s="14" t="str">
        <x:v>Ἀθῆναι</x:v>
      </x:c>
      <x:c r="J125" s="16" t="str">
        <x:v>Η οχυρωμένη Ακρόπολη περιλάμβανε βασιλική κατοικία, αλλά η δομή και η έκταση ενός ανεξάρτητου αθηναϊκού ανακτορικού κράτους δεν τεκμηριώνονται όπως στην Πύλο.</x:v>
      </x:c>
      <x:c r="K125" s="16" t="str">
        <x:v>The fortified Acropolis included a royal residence, but the structure and extent of an independent Athenian palatial state is not documented as at Pylos.</x:v>
      </x:c>
      <x:c r="L125" s="14"/>
      <x:c r="M125" s="14"/>
      <x:c r="N125" s="14"/>
      <x:c r="O125" s="14" t="str">
        <x:v>region-attike</x:v>
      </x:c>
      <x:c r="P125" s="14" t="str">
        <x:v>broad_range</x:v>
      </x:c>
      <x:c r="Q125" s="14" t="str">
        <x:v>high</x:v>
      </x:c>
      <x:c r="R125" s="14" t="str">
        <x:v>high</x:v>
      </x:c>
      <x:c r="S125" s="14" t="str">
        <x:v>reviewed</x:v>
      </x:c>
      <x:c r="T125" s="14" t="str">
        <x:v>machine_assisted_reviewed</x:v>
      </x:c>
      <x:c r="U125" s="14" t="str">
        <x:v>1.0.0</x:v>
      </x:c>
      <x:c r="V125" s="14" t="str">
        <x:v>archaios_ellinikos_kosmos_entities_v0_1.csv</x:v>
      </x:c>
      <x:c r="W125" s="17" t="n">
        <x:v>46248</x:v>
      </x:c>
      <x:c r="X125" s="14" t="str">
        <x:v>Codex-assisted normalization of user research</x:v>
      </x:c>
    </x:row>
    <x:row r="126" ht="44" customHeight="1">
      <x:c r="A126" s="14" t="str">
        <x:v>kingdom-attalid-pergamon</x:v>
      </x:c>
      <x:c r="B126" s="14" t="str">
        <x:v>kingdom-attalid-pergamon</x:v>
      </x:c>
      <x:c r="C126" s="14" t="str">
        <x:v>polity</x:v>
      </x:c>
      <x:c r="D126" s="14" t="str">
        <x:v>kingdom</x:v>
      </x:c>
      <x:c r="E126" s="14" t="str">
        <x:v>dynastic_state_to_kingdom</x:v>
      </x:c>
      <x:c r="F126" s="14" t="str">
        <x:v>kingdom</x:v>
      </x:c>
      <x:c r="G126" s="14" t="str">
        <x:v>Βασίλειο της Περγάμου των Ατταλιδών</x:v>
      </x:c>
      <x:c r="H126" s="14" t="str">
        <x:v>Attalid Kingdom of Pergamon</x:v>
      </x:c>
      <x:c r="I126" s="14" t="str">
        <x:v>Βασιλεία τῶν Ἀτταλιδῶν</x:v>
      </x:c>
      <x:c r="J126" s="16" t="str">
        <x:v>Η δυναστική ηγεμονία άρχισε με τον Φιλέταιρο, ενώ ο Άτταλος Α΄ έλαβε επίσημα τον τίτλο του βασιλιά το 241 π.Χ.· ο Άτταλος Γ΄ κληροδότησε το κράτος στη Ρώμη.</x:v>
      </x:c>
      <x:c r="K126" s="16" t="str">
        <x:v>The dynastic hegemony began with Philetairos, while Attalus I formally received the title of king in 241 BC; Attalus III bequeathed the state to Rome.</x:v>
      </x:c>
      <x:c r="L126" s="14"/>
      <x:c r="M126" s="14"/>
      <x:c r="N126" s="14"/>
      <x:c r="O126" s="14" t="str">
        <x:v>region-mysia-kai-dytike-mikra-asia</x:v>
      </x:c>
      <x:c r="P126" s="14" t="str">
        <x:v>mixed</x:v>
      </x:c>
      <x:c r="Q126" s="14" t="str">
        <x:v>high</x:v>
      </x:c>
      <x:c r="R126" s="14" t="str">
        <x:v>medium</x:v>
      </x:c>
      <x:c r="S126" s="14" t="str">
        <x:v>reviewed</x:v>
      </x:c>
      <x:c r="T126" s="14" t="str">
        <x:v>machine_assisted_reviewed</x:v>
      </x:c>
      <x:c r="U126" s="14" t="str">
        <x:v>1.0.0</x:v>
      </x:c>
      <x:c r="V126" s="14" t="str">
        <x:v>archaios_ellinikos_kosmos_entities_v0_1.csv</x:v>
      </x:c>
      <x:c r="W126" s="17" t="n">
        <x:v>46249</x:v>
      </x:c>
      <x:c r="X126" s="14" t="str">
        <x:v>Codex-assisted scholarly review</x:v>
      </x:c>
    </x:row>
    <x:row r="127" ht="44" customHeight="1">
      <x:c r="A127" s="14" t="str">
        <x:v>kingdom-bithynia</x:v>
      </x:c>
      <x:c r="B127" s="14" t="str">
        <x:v>kingdom-bithynia</x:v>
      </x:c>
      <x:c r="C127" s="14" t="str">
        <x:v>polity</x:v>
      </x:c>
      <x:c r="D127" s="14" t="str">
        <x:v>kingdom</x:v>
      </x:c>
      <x:c r="E127" s="14" t="str">
        <x:v>hellenistic_dynastic_kingdom</x:v>
      </x:c>
      <x:c r="F127" s="14" t="str">
        <x:v>kingdom</x:v>
      </x:c>
      <x:c r="G127" s="14" t="str">
        <x:v>Βασίλειο της Βιθυνίας</x:v>
      </x:c>
      <x:c r="H127" s="14" t="str">
        <x:v>Kingdom of Bithynia</x:v>
      </x:c>
      <x:c r="I127" s="14" t="str">
        <x:v>Βιθυνία</x:v>
      </x:c>
      <x:c r="J127" s="16" t="str">
        <x:v>Ο Ζιποίτης έλαβε τον τίτλο του βασιλιά το 297 π.Χ. και οι διάδοχοί του κυβέρνησαν ένα ισχυρό μικρό βασίλειο μέχρι την κληροδότησή του στη Ρώμη.</x:v>
      </x:c>
      <x:c r="K127" s="16" t="str">
        <x:v>Zipoetes assumed the royal title in 297 BCE, and his successors ruled a powerful small kingdom until it was bequeathed to Rome.</x:v>
      </x:c>
      <x:c r="L127" s="14"/>
      <x:c r="M127" s="14"/>
      <x:c r="N127" s="14"/>
      <x:c r="O127" s="14" t="str">
        <x:v>region-bithynia</x:v>
      </x:c>
      <x:c r="P127" s="14" t="str">
        <x:v>exact</x:v>
      </x:c>
      <x:c r="Q127" s="14" t="str">
        <x:v>high</x:v>
      </x:c>
      <x:c r="R127" s="14" t="str">
        <x:v>high</x:v>
      </x:c>
      <x:c r="S127" s="14" t="str">
        <x:v>reviewed</x:v>
      </x:c>
      <x:c r="T127" s="14" t="str">
        <x:v>machine_assisted_reviewed</x:v>
      </x:c>
      <x:c r="U127" s="14" t="str">
        <x:v>1.0.0</x:v>
      </x:c>
      <x:c r="V127" s="14" t="str">
        <x:v>archaios_ellinikos_kosmos_entities_v0_1.csv</x:v>
      </x:c>
      <x:c r="W127" s="17" t="n">
        <x:v>46248</x:v>
      </x:c>
      <x:c r="X127" s="14" t="str">
        <x:v>Codex-assisted normalization of user research</x:v>
      </x:c>
    </x:row>
    <x:row r="128" ht="44" customHeight="1">
      <x:c r="A128" s="14" t="str">
        <x:v>kingdom-bosporus-archaeanactid</x:v>
      </x:c>
      <x:c r="B128" s="14" t="str">
        <x:v>kingdom-bosporus-archaeanactid</x:v>
      </x:c>
      <x:c r="C128" s="14" t="str">
        <x:v>polity</x:v>
      </x:c>
      <x:c r="D128" s="14" t="str">
        <x:v>kingdom</x:v>
      </x:c>
      <x:c r="E128" s="14" t="str">
        <x:v>greco_scythian_dynastic_monarchy</x:v>
      </x:c>
      <x:c r="F128" s="14" t="str">
        <x:v>kingdom</x:v>
      </x:c>
      <x:c r="G128" s="14" t="str">
        <x:v>Βασίλειο του Κιμμερίου Βοσπόρου — Αρχαιανακτίδες</x:v>
      </x:c>
      <x:c r="H128" s="14" t="str">
        <x:v>Bosporan Kingdom — Archaeanactid Phase</x:v>
      </x:c>
      <x:c r="I128" s="14" t="str">
        <x:v>Βασίλειον τοῦ Κιμμερικοῦ Βοσπόρου</x:v>
      </x:c>
      <x:c r="J128" s="16" t="str">
        <x:v>Πρώιμη μοναρχική ενοποίηση ελληνικών πόλεων γύρω από τον πορθμό του Κερτς, μέσα σε μικτό ελληνοσκυθικό περιβάλλον.</x:v>
      </x:c>
      <x:c r="K128" s="16" t="str">
        <x:v>Early monarchical unification of Greek cities around the strait of Kerch, in a mixed Greco-Scythian environment.</x:v>
      </x:c>
      <x:c r="L128" s="14"/>
      <x:c r="M128" s="14"/>
      <x:c r="N128" s="14"/>
      <x:c r="O128" s="14" t="str">
        <x:v>region-kimmerios-bosporos</x:v>
      </x:c>
      <x:c r="P128" s="14" t="str">
        <x:v>approximate</x:v>
      </x:c>
      <x:c r="Q128" s="14" t="str">
        <x:v>high</x:v>
      </x:c>
      <x:c r="R128" s="14" t="str">
        <x:v>high</x:v>
      </x:c>
      <x:c r="S128" s="14" t="str">
        <x:v>reviewed</x:v>
      </x:c>
      <x:c r="T128" s="14" t="str">
        <x:v>machine_assisted_reviewed</x:v>
      </x:c>
      <x:c r="U128" s="14" t="str">
        <x:v>1.0.0</x:v>
      </x:c>
      <x:c r="V128" s="14" t="str">
        <x:v>archaios_ellinikos_kosmos_entities_v0_1.csv</x:v>
      </x:c>
      <x:c r="W128" s="17" t="n">
        <x:v>46248</x:v>
      </x:c>
      <x:c r="X128" s="14" t="str">
        <x:v>Codex-assisted normalization of user research</x:v>
      </x:c>
    </x:row>
    <x:row r="129" ht="44" customHeight="1">
      <x:c r="A129" s="14" t="str">
        <x:v>kingdom-bosporus-mithridatic</x:v>
      </x:c>
      <x:c r="B129" s="14" t="str">
        <x:v>kingdom-bosporus-mithridatic</x:v>
      </x:c>
      <x:c r="C129" s="14" t="str">
        <x:v>polity</x:v>
      </x:c>
      <x:c r="D129" s="14" t="str">
        <x:v>dynastic_phase</x:v>
      </x:c>
      <x:c r="E129" s="14" t="str">
        <x:v>pontic_bosporan_phase</x:v>
      </x:c>
      <x:c r="F129" s="14" t="str">
        <x:v>kingdom</x:v>
      </x:c>
      <x:c r="G129" s="14" t="str">
        <x:v>Βασίλειο του Κιμμερίου Βοσπόρου — Μιθριδατική φάση</x:v>
      </x:c>
      <x:c r="H129" s="14" t="str">
        <x:v>Bosporan Kingdom — Mithridatic Phase</x:v>
      </x:c>
      <x:c r="I129" s="14" t="str">
        <x:v>Βασίλειον τοῦ Κιμμερικοῦ Βοσπόρου</x:v>
      </x:c>
      <x:c r="J129" s="16" t="str">
        <x:v>Ο Βόσπορος εντάχθηκε στη σφαίρα του Μιθριδάτη ΣΤ΄ και διοικήθηκε από μέλη ή αντιπροσώπους του ποντιακού οίκου έως την εξέγερση του Φαρνάκη.</x:v>
      </x:c>
      <x:c r="K129" s="16" t="str">
        <x:v>Bosphorus was included in the sphere of Mithridates VI and was ruled by members or representatives of the Pontic house until the Pharnakes revolt.</x:v>
      </x:c>
      <x:c r="L129" s="14"/>
      <x:c r="M129" s="14"/>
      <x:c r="N129" s="14"/>
      <x:c r="O129" s="14" t="str">
        <x:v>region-kimmerios-bosporos</x:v>
      </x:c>
      <x:c r="P129" s="14" t="str">
        <x:v>approximate</x:v>
      </x:c>
      <x:c r="Q129" s="14" t="str">
        <x:v>high</x:v>
      </x:c>
      <x:c r="R129" s="14" t="str">
        <x:v>high</x:v>
      </x:c>
      <x:c r="S129" s="14" t="str">
        <x:v>reviewed</x:v>
      </x:c>
      <x:c r="T129" s="14" t="str">
        <x:v>machine_assisted_reviewed</x:v>
      </x:c>
      <x:c r="U129" s="14" t="str">
        <x:v>1.0.0</x:v>
      </x:c>
      <x:c r="V129" s="14" t="str">
        <x:v>archaios_ellinikos_kosmos_entities_v0_1.csv</x:v>
      </x:c>
      <x:c r="W129" s="17" t="n">
        <x:v>46248</x:v>
      </x:c>
      <x:c r="X129" s="14" t="str">
        <x:v>Codex-assisted normalization of user research</x:v>
      </x:c>
    </x:row>
    <x:row r="130" ht="44" customHeight="1">
      <x:c r="A130" s="14" t="str">
        <x:v>kingdom-bosporus-spartocid</x:v>
      </x:c>
      <x:c r="B130" s="14" t="str">
        <x:v>kingdom-bosporus-spartocid</x:v>
      </x:c>
      <x:c r="C130" s="14" t="str">
        <x:v>polity</x:v>
      </x:c>
      <x:c r="D130" s="14" t="str">
        <x:v>kingdom</x:v>
      </x:c>
      <x:c r="E130" s="14" t="str">
        <x:v>greco_scythian_dynastic_monarchy</x:v>
      </x:c>
      <x:c r="F130" s="14" t="str">
        <x:v>kingdom</x:v>
      </x:c>
      <x:c r="G130" s="14" t="str">
        <x:v>Βασίλειο του Κιμμερίου Βοσπόρου — Σπαρτοκίδες</x:v>
      </x:c>
      <x:c r="H130" s="14" t="str">
        <x:v>Bosporan Kingdom — Spartocid Phase</x:v>
      </x:c>
      <x:c r="I130" s="14" t="str">
        <x:v>Βασίλειον τοῦ Κιμμερικοῦ Βοσπόρου</x:v>
      </x:c>
      <x:c r="J130" s="16" t="str">
        <x:v>Μακρόβια ελληνοσκυθική μοναρχία με πρωτεύουσα το Παντικάπαιον και ισχυρό εμπόριο σιτηρών με το Αιγαίο· οι άρχοντες έφεραν διαφορετικούς τίτλους για ελληνικούς και μη ελληνικούς πληθυσμούς.</x:v>
      </x:c>
      <x:c r="K130" s="16" t="str">
        <x:v>Long-lived Greco-Scythian monarchy with capital at Panticapaion and strong grain trade with the Aegean; lords bore different titles for Greek and non-Greek populations.</x:v>
      </x:c>
      <x:c r="L130" s="14"/>
      <x:c r="M130" s="14"/>
      <x:c r="N130" s="14"/>
      <x:c r="O130" s="14" t="str">
        <x:v>region-kimmerios-bosporos</x:v>
      </x:c>
      <x:c r="P130" s="14" t="str">
        <x:v>approximate</x:v>
      </x:c>
      <x:c r="Q130" s="14" t="str">
        <x:v>high</x:v>
      </x:c>
      <x:c r="R130" s="14" t="str">
        <x:v>high</x:v>
      </x:c>
      <x:c r="S130" s="14" t="str">
        <x:v>reviewed</x:v>
      </x:c>
      <x:c r="T130" s="14" t="str">
        <x:v>machine_assisted_reviewed</x:v>
      </x:c>
      <x:c r="U130" s="14" t="str">
        <x:v>1.0.0</x:v>
      </x:c>
      <x:c r="V130" s="14" t="str">
        <x:v>archaios_ellinikos_kosmos_entities_v0_1.csv</x:v>
      </x:c>
      <x:c r="W130" s="17" t="n">
        <x:v>46248</x:v>
      </x:c>
      <x:c r="X130" s="14" t="str">
        <x:v>Codex-assisted normalization of user research</x:v>
      </x:c>
    </x:row>
    <x:row r="131" ht="44" customHeight="1">
      <x:c r="A131" s="14" t="str">
        <x:v>kingdom-cappadocia-ariarathid</x:v>
      </x:c>
      <x:c r="B131" s="14" t="str">
        <x:v>kingdom-cappadocia-ariarathid</x:v>
      </x:c>
      <x:c r="C131" s="14" t="str">
        <x:v>polity</x:v>
      </x:c>
      <x:c r="D131" s="14" t="str">
        <x:v>kingdom</x:v>
      </x:c>
      <x:c r="E131" s="14" t="str">
        <x:v>hellenistic_iranian_dynasty</x:v>
      </x:c>
      <x:c r="F131" s="14" t="str">
        <x:v>kingdom</x:v>
      </x:c>
      <x:c r="G131" s="14" t="str">
        <x:v>Βασίλειο της Καππαδοκίας των Αριαραθιδών</x:v>
      </x:c>
      <x:c r="H131" s="14" t="str">
        <x:v>Ariarathid Kingdom of Cappadocia</x:v>
      </x:c>
      <x:c r="I131" s="14" t="str">
        <x:v>Καππαδοκία</x:v>
      </x:c>
      <x:c r="J131" s="16" t="str">
        <x:v>Ιρανικής καταγωγής δυναστεία σε ελληνιστικό πολιτικό και πολιτισμικό περιβάλλον· η συνέχεια γνώρισε διακοπές, επεμβάσεις Σελευκιδών και Ποντίων και αμφισβητούμενες διαδοχές.</x:v>
      </x:c>
      <x:c r="K131" s="16" t="str">
        <x:v>A dynasty of Iranian origin in a Hellenistic political and cultural environment; succession experienced interruptions, Seleucid and Pontic interventions, and disputed successions.</x:v>
      </x:c>
      <x:c r="L131" s="14"/>
      <x:c r="M131" s="14"/>
      <x:c r="N131" s="14"/>
      <x:c r="O131" s="14" t="str">
        <x:v>region-kappadokia</x:v>
      </x:c>
      <x:c r="P131" s="14" t="str">
        <x:v>approximate</x:v>
      </x:c>
      <x:c r="Q131" s="14" t="str">
        <x:v>high</x:v>
      </x:c>
      <x:c r="R131" s="14" t="str">
        <x:v>high</x:v>
      </x:c>
      <x:c r="S131" s="14" t="str">
        <x:v>reviewed</x:v>
      </x:c>
      <x:c r="T131" s="14" t="str">
        <x:v>machine_assisted_reviewed</x:v>
      </x:c>
      <x:c r="U131" s="14" t="str">
        <x:v>1.0.0</x:v>
      </x:c>
      <x:c r="V131" s="14" t="str">
        <x:v>archaios_ellinikos_kosmos_entities_v0_1.csv</x:v>
      </x:c>
      <x:c r="W131" s="17" t="n">
        <x:v>46248</x:v>
      </x:c>
      <x:c r="X131" s="14" t="str">
        <x:v>Codex-assisted normalization of user research</x:v>
      </x:c>
    </x:row>
    <x:row r="132" ht="44" customHeight="1">
      <x:c r="A132" s="14" t="str">
        <x:v>kingdom-cappadocia-late-client</x:v>
      </x:c>
      <x:c r="B132" s="14" t="str">
        <x:v>kingdom-cappadocia-late-client</x:v>
      </x:c>
      <x:c r="C132" s="14" t="str">
        <x:v>polity</x:v>
      </x:c>
      <x:c r="D132" s="14" t="str">
        <x:v>client_kingdom</x:v>
      </x:c>
      <x:c r="E132" s="14" t="str">
        <x:v>hellenistic_roman_client_kingdom</x:v>
      </x:c>
      <x:c r="F132" s="14" t="str">
        <x:v>kingdom</x:v>
      </x:c>
      <x:c r="G132" s="14" t="str">
        <x:v>Ύστερο Βασίλειο της Καππαδοκίας</x:v>
      </x:c>
      <x:c r="H132" s="14" t="str">
        <x:v>Late Kingdom of Cappadocia</x:v>
      </x:c>
      <x:c r="I132" s="14" t="str">
        <x:v>Καππαδοκία</x:v>
      </x:c>
      <x:c r="J132" s="16" t="str">
        <x:v>Υστεροελληνιστική και ρωμαϊκή πελατειακή φάση, με επανειλημμένες εκθρονίσεις και αποκαταστάσεις, έως την προσάρτηση από τον Τιβέριο το 17 μ.Χ.</x:v>
      </x:c>
      <x:c r="K132" s="16" t="str">
        <x:v>Late Hellenistic and Roman client phase, with repeated dethronements and restorations, until the annexation by Tiberius in 17 AD.</x:v>
      </x:c>
      <x:c r="L132" s="14"/>
      <x:c r="M132" s="14"/>
      <x:c r="N132" s="14"/>
      <x:c r="O132" s="14" t="str">
        <x:v>region-kappadokia</x:v>
      </x:c>
      <x:c r="P132" s="14" t="str">
        <x:v>mixed</x:v>
      </x:c>
      <x:c r="Q132" s="14" t="str">
        <x:v>high</x:v>
      </x:c>
      <x:c r="R132" s="14" t="str">
        <x:v>medium</x:v>
      </x:c>
      <x:c r="S132" s="14" t="str">
        <x:v>reviewed</x:v>
      </x:c>
      <x:c r="T132" s="14" t="str">
        <x:v>machine_assisted_reviewed</x:v>
      </x:c>
      <x:c r="U132" s="14" t="str">
        <x:v>1.0.0</x:v>
      </x:c>
      <x:c r="V132" s="14" t="str">
        <x:v>archaios_ellinikos_kosmos_entities_v0_1.csv</x:v>
      </x:c>
      <x:c r="W132" s="17" t="n">
        <x:v>46249</x:v>
      </x:c>
      <x:c r="X132" s="14" t="str">
        <x:v>Codex-assisted scholarly review</x:v>
      </x:c>
    </x:row>
    <x:row r="133" ht="44" customHeight="1">
      <x:c r="A133" s="14" t="str">
        <x:v>kingdom-commagene</x:v>
      </x:c>
      <x:c r="B133" s="14" t="str">
        <x:v>kingdom-commagene</x:v>
      </x:c>
      <x:c r="C133" s="14" t="str">
        <x:v>polity</x:v>
      </x:c>
      <x:c r="D133" s="14" t="str">
        <x:v>kingdom</x:v>
      </x:c>
      <x:c r="E133" s="14" t="str">
        <x:v>hybrid_hellenistic_kingdom</x:v>
      </x:c>
      <x:c r="F133" s="14" t="str">
        <x:v>kingdom</x:v>
      </x:c>
      <x:c r="G133" s="14" t="str">
        <x:v>Βασίλειο της Κομμαγηνής</x:v>
      </x:c>
      <x:c r="H133" s="14" t="str">
        <x:v>Kingdom of Commagene</x:v>
      </x:c>
      <x:c r="I133" s="14" t="str">
        <x:v>Κομμαγηνή</x:v>
      </x:c>
      <x:c r="J133" s="16" t="str">
        <x:v>Μικρό ελληνιστικό βασίλειο με ελληνικές, ιρανικές και αρμενικές παραδόσεις. Η ανεξαρτησία διακόπηκε το 17–38 μ.Χ. πριν από την οριστική ρωμαϊκή προσάρτηση.</x:v>
      </x:c>
      <x:c r="K133" s="16" t="str">
        <x:v>A small Hellenistic kingdom combining Greek, Iranian and Armenian traditions. Its independence was interrupted in 17–38 CE before final Roman annexation.</x:v>
      </x:c>
      <x:c r="L133" s="14"/>
      <x:c r="M133" s="14"/>
      <x:c r="N133" s="14"/>
      <x:c r="O133" s="14" t="str">
        <x:v>region-kommagene</x:v>
      </x:c>
      <x:c r="P133" s="14" t="str">
        <x:v>mixed</x:v>
      </x:c>
      <x:c r="Q133" s="14" t="str">
        <x:v>high</x:v>
      </x:c>
      <x:c r="R133" s="14" t="str">
        <x:v>medium</x:v>
      </x:c>
      <x:c r="S133" s="14" t="str">
        <x:v>reviewed</x:v>
      </x:c>
      <x:c r="T133" s="14" t="str">
        <x:v>machine_assisted_reviewed</x:v>
      </x:c>
      <x:c r="U133" s="14" t="str">
        <x:v>1.0.0</x:v>
      </x:c>
      <x:c r="V133" s="14" t="str">
        <x:v>archaios_ellinikos_kosmos_entities_v0_1.csv</x:v>
      </x:c>
      <x:c r="W133" s="17" t="n">
        <x:v>46249</x:v>
      </x:c>
      <x:c r="X133" s="14" t="str">
        <x:v>Codex-assisted scholarly review</x:v>
      </x:c>
    </x:row>
    <x:row r="134" ht="44" customHeight="1">
      <x:c r="A134" s="14" t="str">
        <x:v>kingdom-cyrene-battiad</x:v>
      </x:c>
      <x:c r="B134" s="14" t="str">
        <x:v>kingdom-cyrene-battiad</x:v>
      </x:c>
      <x:c r="C134" s="14" t="str">
        <x:v>polity</x:v>
      </x:c>
      <x:c r="D134" s="14" t="str">
        <x:v>kingdom</x:v>
      </x:c>
      <x:c r="E134" s="14" t="str">
        <x:v>greek_colonial_monarchy</x:v>
      </x:c>
      <x:c r="F134" s="14" t="str">
        <x:v>kingdom</x:v>
      </x:c>
      <x:c r="G134" s="14" t="str">
        <x:v>Βασίλειο της Κυρήνης των Βαττιαδών</x:v>
      </x:c>
      <x:c r="H134" s="14" t="str">
        <x:v>Battiad Kingdom of Cyrene</x:v>
      </x:c>
      <x:c r="I134" s="14" t="str">
        <x:v>Κυρήνη</x:v>
      </x:c>
      <x:c r="J134" s="16" t="str">
        <x:v>Ελληνική αποικιακή μοναρχία που ιδρύθηκε από Θηραίους και εξελίχθηκε σε σημαντικό κέντρο της Κυρηναϊκής μέχρι την κατάργηση της δυναστείας.</x:v>
      </x:c>
      <x:c r="K134" s="16" t="str">
        <x:v>Greek colonial monarchy founded by Theraeans and developed into an important center of Cyrenaica until the abolition of the dynasty.</x:v>
      </x:c>
      <x:c r="L134" s="14"/>
      <x:c r="M134" s="14"/>
      <x:c r="N134" s="14"/>
      <x:c r="O134" s="14" t="str">
        <x:v>region-kyrenaike</x:v>
      </x:c>
      <x:c r="P134" s="14" t="str">
        <x:v>approximate</x:v>
      </x:c>
      <x:c r="Q134" s="14" t="str">
        <x:v>high</x:v>
      </x:c>
      <x:c r="R134" s="14" t="str">
        <x:v>high</x:v>
      </x:c>
      <x:c r="S134" s="14" t="str">
        <x:v>reviewed</x:v>
      </x:c>
      <x:c r="T134" s="14" t="str">
        <x:v>machine_assisted_reviewed</x:v>
      </x:c>
      <x:c r="U134" s="14" t="str">
        <x:v>1.0.0</x:v>
      </x:c>
      <x:c r="V134" s="14" t="str">
        <x:v>archaios_ellinikos_kosmos_entities_v0_1.csv</x:v>
      </x:c>
      <x:c r="W134" s="17" t="n">
        <x:v>46248</x:v>
      </x:c>
      <x:c r="X134" s="14" t="str">
        <x:v>Codex-assisted normalization of user research</x:v>
      </x:c>
    </x:row>
    <x:row r="135" ht="44" customHeight="1">
      <x:c r="A135" s="14" t="str">
        <x:v>kingdom-cyrene-magas</x:v>
      </x:c>
      <x:c r="B135" s="14" t="str">
        <x:v>kingdom-cyrene-magas</x:v>
      </x:c>
      <x:c r="C135" s="14" t="str">
        <x:v>polity</x:v>
      </x:c>
      <x:c r="D135" s="14" t="str">
        <x:v>kingdom</x:v>
      </x:c>
      <x:c r="E135" s="14" t="str">
        <x:v>hellenistic_breakaway_kingdom</x:v>
      </x:c>
      <x:c r="F135" s="14" t="str">
        <x:v>kingdom</x:v>
      </x:c>
      <x:c r="G135" s="14" t="str">
        <x:v>Βασίλειο της Κυρήνης του Μάγα</x:v>
      </x:c>
      <x:c r="H135" s="14" t="str">
        <x:v>Kingdom of Cyrene under Magas</x:v>
      </x:c>
      <x:c r="I135" s="14" t="str">
        <x:v>Κυρήνη</x:v>
      </x:c>
      <x:c r="J135" s="16" t="str">
        <x:v>Ο Μάγας, αρχικά πτολεμαϊκός διοικητής, αναγνωρίστηκε ως βασιλιάς της Κυρήνης και διατήρησε ουσιαστική αυτονομία έως τον θάνατό του.</x:v>
      </x:c>
      <x:c r="K135" s="16" t="str">
        <x:v>Magas, originally a Ptolemaic commander, was recognized as king of Cyrene and retained substantial autonomy until his death.</x:v>
      </x:c>
      <x:c r="L135" s="14"/>
      <x:c r="M135" s="14"/>
      <x:c r="N135" s="14"/>
      <x:c r="O135" s="14" t="str">
        <x:v>region-kyrenaike</x:v>
      </x:c>
      <x:c r="P135" s="14" t="str">
        <x:v>approximate</x:v>
      </x:c>
      <x:c r="Q135" s="14" t="str">
        <x:v>high</x:v>
      </x:c>
      <x:c r="R135" s="14" t="str">
        <x:v>high</x:v>
      </x:c>
      <x:c r="S135" s="14" t="str">
        <x:v>reviewed</x:v>
      </x:c>
      <x:c r="T135" s="14" t="str">
        <x:v>machine_assisted_reviewed</x:v>
      </x:c>
      <x:c r="U135" s="14" t="str">
        <x:v>1.0.0</x:v>
      </x:c>
      <x:c r="V135" s="14" t="str">
        <x:v>archaios_ellinikos_kosmos_entities_v0_1.csv</x:v>
      </x:c>
      <x:c r="W135" s="17" t="n">
        <x:v>46248</x:v>
      </x:c>
      <x:c r="X135" s="14" t="str">
        <x:v>Codex-assisted normalization of user research</x:v>
      </x:c>
    </x:row>
    <x:row r="136" ht="44" customHeight="1">
      <x:c r="A136" s="14" t="str">
        <x:v>kingdom-epirus-aeacid</x:v>
      </x:c>
      <x:c r="B136" s="14" t="str">
        <x:v>kingdom-epirus-aeacid</x:v>
      </x:c>
      <x:c r="C136" s="14" t="str">
        <x:v>polity</x:v>
      </x:c>
      <x:c r="D136" s="14" t="str">
        <x:v>kingdom</x:v>
      </x:c>
      <x:c r="E136" s="14" t="str">
        <x:v>regional_dynastic_monarchy</x:v>
      </x:c>
      <x:c r="F136" s="14" t="str">
        <x:v>kingdom</x:v>
      </x:c>
      <x:c r="G136" s="14" t="str">
        <x:v>Βασίλειο της Ηπείρου των Αιακιδών</x:v>
      </x:c>
      <x:c r="H136" s="14" t="str">
        <x:v>Aeacid Kingdom of Epirus</x:v>
      </x:c>
      <x:c r="I136" s="14" t="str">
        <x:v>Μολοσσοί / Ἤπειρος</x:v>
      </x:c>
      <x:c r="J136" s="16" t="str">
        <x:v>Η μολοσσική δυναστεία διαμόρφωσε ευρύτερο ηπειρωτικό βασίλειο και έφθασε σε μεγάλη ακμή με τον Πύρρο· η μοναρχία καταργήθηκε το 231 π.Χ.</x:v>
      </x:c>
      <x:c r="K136" s="16" t="str">
        <x:v>The Molossian dynasty formed a wider continental kingdom and reached its height under Pyrrhus; the monarchy was abolished in 231 BC.</x:v>
      </x:c>
      <x:c r="L136" s="14"/>
      <x:c r="M136" s="14"/>
      <x:c r="N136" s="14"/>
      <x:c r="O136" s="14" t="str">
        <x:v>region-epeiros</x:v>
      </x:c>
      <x:c r="P136" s="14" t="str">
        <x:v>approximate</x:v>
      </x:c>
      <x:c r="Q136" s="14" t="str">
        <x:v>high</x:v>
      </x:c>
      <x:c r="R136" s="14" t="str">
        <x:v>high</x:v>
      </x:c>
      <x:c r="S136" s="14" t="str">
        <x:v>reviewed</x:v>
      </x:c>
      <x:c r="T136" s="14" t="str">
        <x:v>machine_assisted_reviewed</x:v>
      </x:c>
      <x:c r="U136" s="14" t="str">
        <x:v>1.0.0</x:v>
      </x:c>
      <x:c r="V136" s="14" t="str">
        <x:v>archaios_ellinikos_kosmos_entities_v0_1.csv</x:v>
      </x:c>
      <x:c r="W136" s="17" t="n">
        <x:v>46248</x:v>
      </x:c>
      <x:c r="X136" s="14" t="str">
        <x:v>Codex-assisted normalization of user research</x:v>
      </x:c>
    </x:row>
    <x:row r="137" ht="44" customHeight="1">
      <x:c r="A137" s="14" t="str">
        <x:v>kingdom-greco-bactrian-diodotid</x:v>
      </x:c>
      <x:c r="B137" s="14" t="str">
        <x:v>kingdom-greco-bactrian-diodotid</x:v>
      </x:c>
      <x:c r="C137" s="14" t="str">
        <x:v>polity</x:v>
      </x:c>
      <x:c r="D137" s="14" t="str">
        <x:v>dynastic_phase</x:v>
      </x:c>
      <x:c r="E137" s="14" t="str">
        <x:v>greco_bactrian_dynastic_phase</x:v>
      </x:c>
      <x:c r="F137" s="14" t="str">
        <x:v>kingdom</x:v>
      </x:c>
      <x:c r="G137" s="14" t="str">
        <x:v>Ελληνοβακτριανό Βασίλειο — Διοδοτίδες</x:v>
      </x:c>
      <x:c r="H137" s="14" t="str">
        <x:v>Greco-Bactrian Kingdom — Diodotid Phase</x:v>
      </x:c>
      <x:c r="I137" s="14" t="str">
        <x:v>Βακτριανή</x:v>
      </x:c>
      <x:c r="J137" s="16" t="str">
        <x:v>Ο σατράπης Διόδοτος αποσχίστηκε από τους Σελευκίδες στα μέσα του 3ου αιώνα π.Χ.· η ακριβής χρονολογία ανεξαρτησίας και διαδοχής προκύπτει κυρίως από νομίσματα.</x:v>
      </x:c>
      <x:c r="K137" s="16" t="str">
        <x:v>The satrap Diodotus seceded from the Seleucids in the mid-3rd century BC; the exact date of independence and succession is derived mainly from coins.</x:v>
      </x:c>
      <x:c r="L137" s="14"/>
      <x:c r="M137" s="14"/>
      <x:c r="N137" s="14"/>
      <x:c r="O137" s="14" t="str">
        <x:v>region-baktriane</x:v>
      </x:c>
      <x:c r="P137" s="14" t="str">
        <x:v>approximate</x:v>
      </x:c>
      <x:c r="Q137" s="14" t="str">
        <x:v>high</x:v>
      </x:c>
      <x:c r="R137" s="14" t="str">
        <x:v>high</x:v>
      </x:c>
      <x:c r="S137" s="14" t="str">
        <x:v>reviewed</x:v>
      </x:c>
      <x:c r="T137" s="14" t="str">
        <x:v>machine_assisted_reviewed</x:v>
      </x:c>
      <x:c r="U137" s="14" t="str">
        <x:v>1.0.0</x:v>
      </x:c>
      <x:c r="V137" s="14" t="str">
        <x:v>archaios_ellinikos_kosmos_entities_v0_1.csv</x:v>
      </x:c>
      <x:c r="W137" s="17" t="n">
        <x:v>46248</x:v>
      </x:c>
      <x:c r="X137" s="14" t="str">
        <x:v>Codex-assisted normalization of user research</x:v>
      </x:c>
    </x:row>
    <x:row r="138" ht="44" customHeight="1">
      <x:c r="A138" s="14" t="str">
        <x:v>kingdom-greco-bactrian-eucratid</x:v>
      </x:c>
      <x:c r="B138" s="14" t="str">
        <x:v>kingdom-greco-bactrian-eucratid</x:v>
      </x:c>
      <x:c r="C138" s="14" t="str">
        <x:v>polity</x:v>
      </x:c>
      <x:c r="D138" s="14" t="str">
        <x:v>dynastic_phase</x:v>
      </x:c>
      <x:c r="E138" s="14" t="str">
        <x:v>greco_bactrian_dynastic_phase</x:v>
      </x:c>
      <x:c r="F138" s="14" t="str">
        <x:v>kingdom</x:v>
      </x:c>
      <x:c r="G138" s="14" t="str">
        <x:v>Ελληνοβακτριανό Βασίλειο — Ευκρατίδες</x:v>
      </x:c>
      <x:c r="H138" s="14" t="str">
        <x:v>Greco-Bactrian Kingdom — Eucratid Phase</x:v>
      </x:c>
      <x:c r="I138" s="14" t="str">
        <x:v>Βακτριανή</x:v>
      </x:c>
      <x:c r="J138" s="16" t="str">
        <x:v>Ο Ευκρατίδης Α΄ κατέλαβε τη Βακτριανή και επεκτάθηκε προς την Ινδία· μετά τον θάνατό του το κράτος συρρικνώθηκε και η ελληνική εξουσία βόρεια του Ινδοκούς έληξε περίπου το 130 π.Χ.</x:v>
      </x:c>
      <x:c r="K138" s="16" t="str">
        <x:v>Eucratides I seized Bactria and expanded toward India; after his death the state contracted, and Greek power north of the Hindu Kush ended around 130 BCE.</x:v>
      </x:c>
      <x:c r="L138" s="14"/>
      <x:c r="M138" s="14"/>
      <x:c r="N138" s="14"/>
      <x:c r="O138" s="14" t="str">
        <x:v>region-baktriane</x:v>
      </x:c>
      <x:c r="P138" s="14" t="str">
        <x:v>approximate</x:v>
      </x:c>
      <x:c r="Q138" s="14" t="str">
        <x:v>high</x:v>
      </x:c>
      <x:c r="R138" s="14" t="str">
        <x:v>high</x:v>
      </x:c>
      <x:c r="S138" s="14" t="str">
        <x:v>reviewed</x:v>
      </x:c>
      <x:c r="T138" s="14" t="str">
        <x:v>machine_assisted_reviewed</x:v>
      </x:c>
      <x:c r="U138" s="14" t="str">
        <x:v>1.0.0</x:v>
      </x:c>
      <x:c r="V138" s="14" t="str">
        <x:v>archaios_ellinikos_kosmos_entities_v0_1.csv</x:v>
      </x:c>
      <x:c r="W138" s="17" t="n">
        <x:v>46248</x:v>
      </x:c>
      <x:c r="X138" s="14" t="str">
        <x:v>Codex-assisted normalization of user research</x:v>
      </x:c>
    </x:row>
    <x:row r="139" ht="44" customHeight="1">
      <x:c r="A139" s="14" t="str">
        <x:v>kingdom-greco-bactrian-euthydemid</x:v>
      </x:c>
      <x:c r="B139" s="14" t="str">
        <x:v>kingdom-greco-bactrian-euthydemid</x:v>
      </x:c>
      <x:c r="C139" s="14" t="str">
        <x:v>polity</x:v>
      </x:c>
      <x:c r="D139" s="14" t="str">
        <x:v>dynastic_phase</x:v>
      </x:c>
      <x:c r="E139" s="14" t="str">
        <x:v>greco_bactrian_dynastic_phase</x:v>
      </x:c>
      <x:c r="F139" s="14" t="str">
        <x:v>kingdom</x:v>
      </x:c>
      <x:c r="G139" s="14" t="str">
        <x:v>Ελληνοβακτριανό Βασίλειο — Ευθυδημίδες</x:v>
      </x:c>
      <x:c r="H139" s="14" t="str">
        <x:v>Greco-Bactrian Kingdom — Euthydemid Phase</x:v>
      </x:c>
      <x:c r="I139" s="14" t="str">
        <x:v>Βακτριανή</x:v>
      </x:c>
      <x:c r="J139" s="16" t="str">
        <x:v>Ο Ευθύδημος κατέλαβε τη Βακτριανή και αναγνωρίστηκε από τον Αντίοχο Γ΄· από τον οίκο του συνδέεται η επέκταση νότια του Ινδοκούς.</x:v>
      </x:c>
      <x:c r="K139" s="16" t="str">
        <x:v>Euthydemus seized Bactria and was recognized by Antiochus III; expansion south of the Hindu Kush is associated with his dynasty.</x:v>
      </x:c>
      <x:c r="L139" s="14"/>
      <x:c r="M139" s="14"/>
      <x:c r="N139" s="14"/>
      <x:c r="O139" s="14" t="str">
        <x:v>region-baktriane</x:v>
      </x:c>
      <x:c r="P139" s="14" t="str">
        <x:v>approximate</x:v>
      </x:c>
      <x:c r="Q139" s="14" t="str">
        <x:v>high</x:v>
      </x:c>
      <x:c r="R139" s="14" t="str">
        <x:v>high</x:v>
      </x:c>
      <x:c r="S139" s="14" t="str">
        <x:v>reviewed</x:v>
      </x:c>
      <x:c r="T139" s="14" t="str">
        <x:v>machine_assisted_reviewed</x:v>
      </x:c>
      <x:c r="U139" s="14" t="str">
        <x:v>1.0.0</x:v>
      </x:c>
      <x:c r="V139" s="14" t="str">
        <x:v>archaios_ellinikos_kosmos_entities_v0_1.csv</x:v>
      </x:c>
      <x:c r="W139" s="17" t="n">
        <x:v>46248</x:v>
      </x:c>
      <x:c r="X139" s="14" t="str">
        <x:v>Codex-assisted normalization of user research</x:v>
      </x:c>
    </x:row>
    <x:row r="140" ht="44" customHeight="1">
      <x:c r="A140" s="14" t="str">
        <x:v>kingdom-indo-greek-early</x:v>
      </x:c>
      <x:c r="B140" s="14" t="str">
        <x:v>kingdom-indo-greek-early</x:v>
      </x:c>
      <x:c r="C140" s="14" t="str">
        <x:v>polity</x:v>
      </x:c>
      <x:c r="D140" s="14" t="str">
        <x:v>dynastic_phase</x:v>
      </x:c>
      <x:c r="E140" s="14" t="str">
        <x:v>indo_greek_dynastic_phase</x:v>
      </x:c>
      <x:c r="F140" s="14" t="str">
        <x:v>kingdom</x:v>
      </x:c>
      <x:c r="G140" s="14" t="str">
        <x:v>Πρώιμο Ινδοελληνικό Βασίλειο</x:v>
      </x:c>
      <x:c r="H140" s="14" t="str">
        <x:v>Early Indo-Greek Kingdom</x:v>
      </x:c>
      <x:c r="I140" s="14"/>
      <x:c r="J140" s="16" t="str">
        <x:v>Η ελληνική εξουσία πέρασε νότια του Ινδοκούς υπό τον Δημήτριο και συγγενείς ηγεμόνες. Η αλληλουχία και η έκταση ανασυντίθενται κυρίως από νομισματικά δεδομένα.</x:v>
      </x:c>
      <x:c r="K140" s="16" t="str">
        <x:v>Greek power extended south of the Hindu Kush under Demetrius and related rulers. Its sequence and extent are reconstructed chiefly from numismatic evidence.</x:v>
      </x:c>
      <x:c r="L140" s="14"/>
      <x:c r="M140" s="14"/>
      <x:c r="N140" s="14"/>
      <x:c r="O140" s="14" t="str">
        <x:v>region-gandara-kai-boreiodytike-india</x:v>
      </x:c>
      <x:c r="P140" s="14" t="str">
        <x:v>disputed</x:v>
      </x:c>
      <x:c r="Q140" s="14" t="str">
        <x:v>high</x:v>
      </x:c>
      <x:c r="R140" s="14" t="str">
        <x:v>medium</x:v>
      </x:c>
      <x:c r="S140" s="14" t="str">
        <x:v>reviewed</x:v>
      </x:c>
      <x:c r="T140" s="14" t="str">
        <x:v>machine_assisted_reviewed</x:v>
      </x:c>
      <x:c r="U140" s="14" t="str">
        <x:v>1.0.0</x:v>
      </x:c>
      <x:c r="V140" s="14" t="str">
        <x:v>archaios_ellinikos_kosmos_entities_v0_1.csv</x:v>
      </x:c>
      <x:c r="W140" s="17" t="n">
        <x:v>46249</x:v>
      </x:c>
      <x:c r="X140" s="14" t="str">
        <x:v>Codex-assisted scholarly review</x:v>
      </x:c>
    </x:row>
    <x:row r="141" ht="44" customHeight="1">
      <x:c r="A141" s="14" t="str">
        <x:v>kingdom-indo-greek-late</x:v>
      </x:c>
      <x:c r="B141" s="14" t="str">
        <x:v>kingdom-indo-greek-late</x:v>
      </x:c>
      <x:c r="C141" s="14" t="str">
        <x:v>polity</x:v>
      </x:c>
      <x:c r="D141" s="14" t="str">
        <x:v>aggregate_polities</x:v>
      </x:c>
      <x:c r="E141" s="14" t="str">
        <x:v>aggregate_regional_monarchies</x:v>
      </x:c>
      <x:c r="F141" s="14" t="str">
        <x:v>kingdom</x:v>
      </x:c>
      <x:c r="G141" s="14" t="str">
        <x:v>Ύστερα Ινδοελληνικά Βασίλεια</x:v>
      </x:c>
      <x:c r="H141" s="14" t="str">
        <x:v>Late Indo-Greek Kingdoms</x:v>
      </x:c>
      <x:c r="I141" s="14"/>
      <x:c r="J141" s="16" t="str">
        <x:v>Συμβατική συγκεντρωτική εγγραφή για πολλά παράλληλα και ανταγωνιστικά βασίλεια, γνωστά κυρίως από νομίσματα· δεν πρέπει να ερμηνευθεί ως ενιαίο κράτος.</x:v>
      </x:c>
      <x:c r="K141" s="16" t="str">
        <x:v>Conventional collective record for several parallel and competing kingdoms, known mainly from coins; not to be interpreted as a single state.</x:v>
      </x:c>
      <x:c r="L141" s="14"/>
      <x:c r="M141" s="14"/>
      <x:c r="N141" s="14"/>
      <x:c r="O141" s="14" t="str">
        <x:v>region-gandara-paropamisades-kai-pantzamp</x:v>
      </x:c>
      <x:c r="P141" s="14" t="str">
        <x:v>disputed</x:v>
      </x:c>
      <x:c r="Q141" s="14" t="str">
        <x:v>high</x:v>
      </x:c>
      <x:c r="R141" s="14" t="str">
        <x:v>medium</x:v>
      </x:c>
      <x:c r="S141" s="14" t="str">
        <x:v>reviewed</x:v>
      </x:c>
      <x:c r="T141" s="14" t="str">
        <x:v>machine_assisted_reviewed</x:v>
      </x:c>
      <x:c r="U141" s="14" t="str">
        <x:v>1.0.0</x:v>
      </x:c>
      <x:c r="V141" s="14" t="str">
        <x:v>archaios_ellinikos_kosmos_entities_v0_1.csv</x:v>
      </x:c>
      <x:c r="W141" s="17" t="n">
        <x:v>46249</x:v>
      </x:c>
      <x:c r="X141" s="14" t="str">
        <x:v>Codex-assisted scholarly review</x:v>
      </x:c>
    </x:row>
    <x:row r="142" ht="44" customHeight="1">
      <x:c r="A142" s="14" t="str">
        <x:v>kingdom-indo-greek-menandrid</x:v>
      </x:c>
      <x:c r="B142" s="14" t="str">
        <x:v>kingdom-indo-greek-menandrid</x:v>
      </x:c>
      <x:c r="C142" s="14" t="str">
        <x:v>polity</x:v>
      </x:c>
      <x:c r="D142" s="14" t="str">
        <x:v>dynastic_phase</x:v>
      </x:c>
      <x:c r="E142" s="14" t="str">
        <x:v>indo_greek_dynastic_phase</x:v>
      </x:c>
      <x:c r="F142" s="14" t="str">
        <x:v>kingdom</x:v>
      </x:c>
      <x:c r="G142" s="14" t="str">
        <x:v>Ινδοελληνικό Βασίλειο του Μενάνδρου</x:v>
      </x:c>
      <x:c r="H142" s="14" t="str">
        <x:v>Indo-Greek Kingdom — Menander Phase</x:v>
      </x:c>
      <x:c r="I142" s="14"/>
      <x:c r="J142" s="16" t="str">
        <x:v>Ο Μένανδρος Α΄ ήταν ο σημαντικότερος ινδοέλληνας ηγεμόνας και είναι γνωστός από άφθονη δίγλωσση νομισματοκοπία και ινδική λογοτεχνική παράδοση.</x:v>
      </x:c>
      <x:c r="K142" s="16" t="str">
        <x:v>Menander I was the most important Indo-Greek ruler and is known from abundant bilingual coinage and Indian literary tradition.</x:v>
      </x:c>
      <x:c r="L142" s="14"/>
      <x:c r="M142" s="14"/>
      <x:c r="N142" s="14"/>
      <x:c r="O142" s="14" t="str">
        <x:v>region-gandara-kai-pantzamp</x:v>
      </x:c>
      <x:c r="P142" s="14" t="str">
        <x:v>approximate</x:v>
      </x:c>
      <x:c r="Q142" s="14" t="str">
        <x:v>high</x:v>
      </x:c>
      <x:c r="R142" s="14" t="str">
        <x:v>high</x:v>
      </x:c>
      <x:c r="S142" s="14" t="str">
        <x:v>reviewed</x:v>
      </x:c>
      <x:c r="T142" s="14" t="str">
        <x:v>machine_assisted_reviewed</x:v>
      </x:c>
      <x:c r="U142" s="14" t="str">
        <x:v>1.0.0</x:v>
      </x:c>
      <x:c r="V142" s="14" t="str">
        <x:v>archaios_ellinikos_kosmos_entities_v0_1.csv</x:v>
      </x:c>
      <x:c r="W142" s="17" t="n">
        <x:v>46248</x:v>
      </x:c>
      <x:c r="X142" s="14" t="str">
        <x:v>Codex-assisted normalization of user research</x:v>
      </x:c>
    </x:row>
    <x:row r="143" ht="44" customHeight="1">
      <x:c r="A143" s="14" t="str">
        <x:v>kingdom-iolcos-palatial</x:v>
      </x:c>
      <x:c r="B143" s="14" t="str">
        <x:v>kingdom-iolcos-palatial</x:v>
      </x:c>
      <x:c r="C143" s="14" t="str">
        <x:v>polity</x:v>
      </x:c>
      <x:c r="D143" s="14" t="str">
        <x:v>palatial_state</x:v>
      </x:c>
      <x:c r="E143" s="14" t="str">
        <x:v>mycenaean_palatial_polity</x:v>
      </x:c>
      <x:c r="F143" s="14" t="str">
        <x:v>kingdom</x:v>
      </x:c>
      <x:c r="G143" s="14" t="str">
        <x:v>Ανακτορικό κράτος της Ιωλκού</x:v>
      </x:c>
      <x:c r="H143" s="14" t="str">
        <x:v>Iolcos Palatial State</x:v>
      </x:c>
      <x:c r="I143" s="14" t="str">
        <x:v>Ἰωλκός</x:v>
      </x:c>
      <x:c r="J143" s="16" t="str">
        <x:v>Το ανάκτορο στο Διμήνι είναι το μοναδικό γνωστό μυκηναϊκό ανακτορικό κέντρο της Θεσσαλίας και συνδέεται πιθανώς, όχι απολύτως, με την Ιωλκό.</x:v>
      </x:c>
      <x:c r="K143" s="16" t="str">
        <x:v>The palace at Dimini is the only known Mycenaean palatial centre in Thessaly and is probably, though not conclusively, associated with Iolcos.</x:v>
      </x:c>
      <x:c r="L143" s="14"/>
      <x:c r="M143" s="14"/>
      <x:c r="N143" s="14"/>
      <x:c r="O143" s="14" t="str">
        <x:v>region-thessalia</x:v>
      </x:c>
      <x:c r="P143" s="14" t="str">
        <x:v>broad_range</x:v>
      </x:c>
      <x:c r="Q143" s="14" t="str">
        <x:v>high</x:v>
      </x:c>
      <x:c r="R143" s="14" t="str">
        <x:v>high</x:v>
      </x:c>
      <x:c r="S143" s="14" t="str">
        <x:v>reviewed</x:v>
      </x:c>
      <x:c r="T143" s="14" t="str">
        <x:v>machine_assisted_reviewed</x:v>
      </x:c>
      <x:c r="U143" s="14" t="str">
        <x:v>1.0.0</x:v>
      </x:c>
      <x:c r="V143" s="14" t="str">
        <x:v>archaios_ellinikos_kosmos_entities_v0_1.csv</x:v>
      </x:c>
      <x:c r="W143" s="17" t="n">
        <x:v>46248</x:v>
      </x:c>
      <x:c r="X143" s="14" t="str">
        <x:v>Codex-assisted normalization of user research</x:v>
      </x:c>
    </x:row>
    <x:row r="144" ht="44" customHeight="1">
      <x:c r="A144" s="14" t="str">
        <x:v>kingdom-knossos-mycenaean</x:v>
      </x:c>
      <x:c r="B144" s="14" t="str">
        <x:v>kingdom-knossos-mycenaean</x:v>
      </x:c>
      <x:c r="C144" s="14" t="str">
        <x:v>polity</x:v>
      </x:c>
      <x:c r="D144" s="14" t="str">
        <x:v>palatial_state</x:v>
      </x:c>
      <x:c r="E144" s="14" t="str">
        <x:v>mycenaean_palatial_polity</x:v>
      </x:c>
      <x:c r="F144" s="14" t="str">
        <x:v>kingdom</x:v>
      </x:c>
      <x:c r="G144" s="14" t="str">
        <x:v>Μυκηναϊκή ανακτορική φάση της Κνωσού</x:v>
      </x:c>
      <x:c r="H144" s="14" t="str">
        <x:v>Mycenaean Knossos Palatial State</x:v>
      </x:c>
      <x:c r="I144" s="14" t="str">
        <x:v>Κνωσός (Γραμμική Β: ko-no-so)</x:v>
      </x:c>
      <x:c r="J144" s="16" t="str">
        <x:v>Η χρήση της ελληνικής Γραμμικής Β δείχνει μυκηναϊκή διοίκηση στην Κνωσό μετά περίπου το 1450 π.Χ.· η τελική χρονολόγηση του αρχείου παραμένει συζητήσιμη.</x:v>
      </x:c>
      <x:c r="K144" s="16" t="str">
        <x:v>The use of Greek Linear B indicates Mycenaean administration at Knossos after about 1450 BCE; the final dating of the archive remains disputed.</x:v>
      </x:c>
      <x:c r="L144" s="14"/>
      <x:c r="M144" s="14"/>
      <x:c r="N144" s="14"/>
      <x:c r="O144" s="14" t="str">
        <x:v>region-krete</x:v>
      </x:c>
      <x:c r="P144" s="14" t="str">
        <x:v>approximate</x:v>
      </x:c>
      <x:c r="Q144" s="14" t="str">
        <x:v>high</x:v>
      </x:c>
      <x:c r="R144" s="14" t="str">
        <x:v>high</x:v>
      </x:c>
      <x:c r="S144" s="14" t="str">
        <x:v>reviewed</x:v>
      </x:c>
      <x:c r="T144" s="14" t="str">
        <x:v>machine_assisted_reviewed</x:v>
      </x:c>
      <x:c r="U144" s="14" t="str">
        <x:v>1.0.0</x:v>
      </x:c>
      <x:c r="V144" s="14" t="str">
        <x:v>archaios_ellinikos_kosmos_entities_v0_1.csv</x:v>
      </x:c>
      <x:c r="W144" s="17" t="n">
        <x:v>46248</x:v>
      </x:c>
      <x:c r="X144" s="14" t="str">
        <x:v>Codex-assisted normalization of user research</x:v>
      </x:c>
    </x:row>
    <x:row r="145" ht="44" customHeight="1">
      <x:c r="A145" s="14" t="str">
        <x:v>kingdom-lysimachid</x:v>
      </x:c>
      <x:c r="B145" s="14" t="str">
        <x:v>kingdom-lysimachid</x:v>
      </x:c>
      <x:c r="C145" s="14" t="str">
        <x:v>polity</x:v>
      </x:c>
      <x:c r="D145" s="14" t="str">
        <x:v>kingdom</x:v>
      </x:c>
      <x:c r="E145" s="14" t="str">
        <x:v>successor_kingdom</x:v>
      </x:c>
      <x:c r="F145" s="14" t="str">
        <x:v>kingdom</x:v>
      </x:c>
      <x:c r="G145" s="14" t="str">
        <x:v>Βασίλειο του Λυσιμάχου</x:v>
      </x:c>
      <x:c r="H145" s="14" t="str">
        <x:v>Lysimachid Kingdom</x:v>
      </x:c>
      <x:c r="I145" s="14" t="str">
        <x:v>Βασιλεία Λυσιμάχου</x:v>
      </x:c>
      <x:c r="J145" s="16" t="str">
        <x:v>Το βασίλειο του Διαδόχου Λυσιμάχου περιέλαβε τη Θράκη, τμήματα της Μικράς Ασίας και για λίγο τη Μακεδονία, πριν καταρρεύσει μετά το Κουροπέδιο.</x:v>
      </x:c>
      <x:c r="K145" s="16" t="str">
        <x:v>The kingdom of the Successor Lysimachus included Thrace, parts of Asia Minor and briefly Macedonia before collapsing after the battle of Corupedium.</x:v>
      </x:c>
      <x:c r="L145" s="14"/>
      <x:c r="M145" s="14"/>
      <x:c r="N145" s="14"/>
      <x:c r="O145" s="14" t="str">
        <x:v>region-thrake-kai-dytike-mikra-asia</x:v>
      </x:c>
      <x:c r="P145" s="14" t="str">
        <x:v>exact</x:v>
      </x:c>
      <x:c r="Q145" s="14" t="str">
        <x:v>high</x:v>
      </x:c>
      <x:c r="R145" s="14" t="str">
        <x:v>high</x:v>
      </x:c>
      <x:c r="S145" s="14" t="str">
        <x:v>reviewed</x:v>
      </x:c>
      <x:c r="T145" s="14" t="str">
        <x:v>machine_assisted_reviewed</x:v>
      </x:c>
      <x:c r="U145" s="14" t="str">
        <x:v>1.0.0</x:v>
      </x:c>
      <x:c r="V145" s="14" t="str">
        <x:v>archaios_ellinikos_kosmos_entities_v0_1.csv</x:v>
      </x:c>
      <x:c r="W145" s="17" t="n">
        <x:v>46248</x:v>
      </x:c>
      <x:c r="X145" s="14" t="str">
        <x:v>Codex-assisted normalization of user research</x:v>
      </x:c>
    </x:row>
    <x:row r="146" ht="44" customHeight="1">
      <x:c r="A146" s="14" t="str">
        <x:v>kingdom-macedon-antigonid</x:v>
      </x:c>
      <x:c r="B146" s="14" t="str">
        <x:v>kingdom-macedon-antigonid</x:v>
      </x:c>
      <x:c r="C146" s="14" t="str">
        <x:v>polity</x:v>
      </x:c>
      <x:c r="D146" s="14" t="str">
        <x:v>kingdom</x:v>
      </x:c>
      <x:c r="E146" s="14" t="str">
        <x:v>successor_kingdom</x:v>
      </x:c>
      <x:c r="F146" s="14" t="str">
        <x:v>kingdom</x:v>
      </x:c>
      <x:c r="G146" s="14" t="str">
        <x:v>Βασίλειο της Μακεδονίας των Αντιγονιδών</x:v>
      </x:c>
      <x:c r="H146" s="14" t="str">
        <x:v>Antigonid Kingdom of Macedon</x:v>
      </x:c>
      <x:c r="I146" s="14" t="str">
        <x:v>Μακεδονία</x:v>
      </x:c>
      <x:c r="J146" s="16" t="str">
        <x:v>Σταθεροποιήθηκε με τον Αντίγονο Β΄ Γονατά και έληξε με την ήττα του Περσέα στην Πύδνα και την κατάλυση της μοναρχίας από τη Ρώμη.</x:v>
      </x:c>
      <x:c r="K146" s="16" t="str">
        <x:v>It was stabilized with Antigonus II Gonatas and ended with the defeat of Perseus at Pydna and the overthrow of the monarchy by Rome.</x:v>
      </x:c>
      <x:c r="L146" s="14"/>
      <x:c r="M146" s="14"/>
      <x:c r="N146" s="14"/>
      <x:c r="O146" s="14" t="str">
        <x:v>region-makedonia</x:v>
      </x:c>
      <x:c r="P146" s="14" t="str">
        <x:v>approximate</x:v>
      </x:c>
      <x:c r="Q146" s="14" t="str">
        <x:v>high</x:v>
      </x:c>
      <x:c r="R146" s="14" t="str">
        <x:v>high</x:v>
      </x:c>
      <x:c r="S146" s="14" t="str">
        <x:v>reviewed</x:v>
      </x:c>
      <x:c r="T146" s="14" t="str">
        <x:v>machine_assisted_reviewed</x:v>
      </x:c>
      <x:c r="U146" s="14" t="str">
        <x:v>1.0.0</x:v>
      </x:c>
      <x:c r="V146" s="14" t="str">
        <x:v>archaios_ellinikos_kosmos_entities_v0_1.csv</x:v>
      </x:c>
      <x:c r="W146" s="17" t="n">
        <x:v>46248</x:v>
      </x:c>
      <x:c r="X146" s="14" t="str">
        <x:v>Codex-assisted normalization of user research</x:v>
      </x:c>
    </x:row>
    <x:row r="147" ht="44" customHeight="1">
      <x:c r="A147" s="14" t="str">
        <x:v>kingdom-macedon-argead</x:v>
      </x:c>
      <x:c r="B147" s="14" t="str">
        <x:v>kingdom-macedon-argead</x:v>
      </x:c>
      <x:c r="C147" s="14" t="str">
        <x:v>polity</x:v>
      </x:c>
      <x:c r="D147" s="14" t="str">
        <x:v>kingdom</x:v>
      </x:c>
      <x:c r="E147" s="14" t="str">
        <x:v>archaic_classical_dynastic_monarchy</x:v>
      </x:c>
      <x:c r="F147" s="14" t="str">
        <x:v>kingdom</x:v>
      </x:c>
      <x:c r="G147" s="14" t="str">
        <x:v>Βασίλειο της Μακεδονίας των Αργεαδών</x:v>
      </x:c>
      <x:c r="H147" s="14" t="str">
        <x:v>Argead Kingdom of Macedon</x:v>
      </x:c>
      <x:c r="I147" s="14" t="str">
        <x:v>Μακεδονία / Μακεδόνων βασιλεία</x:v>
      </x:c>
      <x:c r="J147" s="16" t="str">
        <x:v>Η δυναστεία ενοποίησε σταδιακά τη Μακεδονία· οι Αιγές ήταν η πρώτη πρωτεύουσα και δυναστικό κέντρο, ενώ η αυλή μεταφέρθηκε αργότερα στην Πέλλα.</x:v>
      </x:c>
      <x:c r="K147" s="16" t="str">
        <x:v>The dynasty gradually unified Macedonia; Aigai was its first capital and dynastic centre, while the court later moved to Pella.</x:v>
      </x:c>
      <x:c r="L147" s="14"/>
      <x:c r="M147" s="14"/>
      <x:c r="N147" s="14"/>
      <x:c r="O147" s="14" t="str">
        <x:v>region-makedonia</x:v>
      </x:c>
      <x:c r="P147" s="14" t="str">
        <x:v>approximate</x:v>
      </x:c>
      <x:c r="Q147" s="14" t="str">
        <x:v>high</x:v>
      </x:c>
      <x:c r="R147" s="14" t="str">
        <x:v>high</x:v>
      </x:c>
      <x:c r="S147" s="14" t="str">
        <x:v>reviewed</x:v>
      </x:c>
      <x:c r="T147" s="14" t="str">
        <x:v>machine_assisted_reviewed</x:v>
      </x:c>
      <x:c r="U147" s="14" t="str">
        <x:v>1.0.0</x:v>
      </x:c>
      <x:c r="V147" s="14" t="str">
        <x:v>archaios_ellinikos_kosmos_entities_v0_1.csv</x:v>
      </x:c>
      <x:c r="W147" s="17" t="n">
        <x:v>46248</x:v>
      </x:c>
      <x:c r="X147" s="14" t="str">
        <x:v>Codex-assisted normalization of user research</x:v>
      </x:c>
    </x:row>
    <x:row r="148" ht="44" customHeight="1">
      <x:c r="A148" s="14" t="str">
        <x:v>kingdom-macedon-kassandrid</x:v>
      </x:c>
      <x:c r="B148" s="14" t="str">
        <x:v>kingdom-macedon-kassandrid</x:v>
      </x:c>
      <x:c r="C148" s="14" t="str">
        <x:v>polity</x:v>
      </x:c>
      <x:c r="D148" s="14" t="str">
        <x:v>kingdom</x:v>
      </x:c>
      <x:c r="E148" s="14" t="str">
        <x:v>successor_kingdom</x:v>
      </x:c>
      <x:c r="F148" s="14" t="str">
        <x:v>kingdom</x:v>
      </x:c>
      <x:c r="G148" s="14" t="str">
        <x:v>Βασίλειο της Μακεδονίας των Κασσανδριδών</x:v>
      </x:c>
      <x:c r="H148" s="14" t="str">
        <x:v>Kassandrid Kingdom of Macedon</x:v>
      </x:c>
      <x:c r="I148" s="14" t="str">
        <x:v>Μακεδονία</x:v>
      </x:c>
      <x:c r="J148" s="16" t="str">
        <x:v>Ο Κάσσανδρος έλαβε τον βασιλικό τίτλο το 305 π.Χ.· η δυναστική φάση έληξε όταν ο Δημήτριος Πολιορκητής κατέλαβε τη Μακεδονία.</x:v>
      </x:c>
      <x:c r="K148" s="16" t="str">
        <x:v>Cassander received the royal title in 305 BC; the dynastic phase ended when Demetrius Poliorketis conquered Macedonia.</x:v>
      </x:c>
      <x:c r="L148" s="14"/>
      <x:c r="M148" s="14"/>
      <x:c r="N148" s="14"/>
      <x:c r="O148" s="14" t="str">
        <x:v>region-makedonia</x:v>
      </x:c>
      <x:c r="P148" s="14" t="str">
        <x:v>exact</x:v>
      </x:c>
      <x:c r="Q148" s="14" t="str">
        <x:v>high</x:v>
      </x:c>
      <x:c r="R148" s="14" t="str">
        <x:v>high</x:v>
      </x:c>
      <x:c r="S148" s="14" t="str">
        <x:v>reviewed</x:v>
      </x:c>
      <x:c r="T148" s="14" t="str">
        <x:v>machine_assisted_reviewed</x:v>
      </x:c>
      <x:c r="U148" s="14" t="str">
        <x:v>1.0.0</x:v>
      </x:c>
      <x:c r="V148" s="14" t="str">
        <x:v>archaios_ellinikos_kosmos_entities_v0_1.csv</x:v>
      </x:c>
      <x:c r="W148" s="17" t="n">
        <x:v>46248</x:v>
      </x:c>
      <x:c r="X148" s="14" t="str">
        <x:v>Codex-assisted normalization of user research</x:v>
      </x:c>
    </x:row>
    <x:row r="149" ht="44" customHeight="1">
      <x:c r="A149" s="14" t="str">
        <x:v>kingdom-mycenae-palatial</x:v>
      </x:c>
      <x:c r="B149" s="14" t="str">
        <x:v>kingdom-mycenae-palatial</x:v>
      </x:c>
      <x:c r="C149" s="14" t="str">
        <x:v>polity</x:v>
      </x:c>
      <x:c r="D149" s="14" t="str">
        <x:v>palatial_state</x:v>
      </x:c>
      <x:c r="E149" s="14" t="str">
        <x:v>mycenaean_palatial_polity</x:v>
      </x:c>
      <x:c r="F149" s="14" t="str">
        <x:v>kingdom</x:v>
      </x:c>
      <x:c r="G149" s="14" t="str">
        <x:v>Ανακτορικό κράτος των Μυκηνών</x:v>
      </x:c>
      <x:c r="H149" s="14" t="str">
        <x:v>Mycenae Palatial State</x:v>
      </x:c>
      <x:c r="I149" s="14" t="str">
        <x:v>Μυκῆναι</x:v>
      </x:c>
      <x:c r="J149" s="16" t="str">
        <x:v>Κεντρικό ανακτορικό και διοικητικό κέντρο της Ύστερης Εποχής του Χαλκού. Ο όρος κράτος είναι αρχαιολογικό μοντέλο και όχι σωζόμενο επίσημο όνομα.</x:v>
      </x:c>
      <x:c r="K149" s="16" t="str">
        <x:v>Central palatial and administrative center of the Late Bronze Age. The term state is an archaeological model and not a surviving official name.</x:v>
      </x:c>
      <x:c r="L149" s="14"/>
      <x:c r="M149" s="14"/>
      <x:c r="N149" s="14"/>
      <x:c r="O149" s="14" t="str">
        <x:v>region-argolida</x:v>
      </x:c>
      <x:c r="P149" s="14" t="str">
        <x:v>broad_range</x:v>
      </x:c>
      <x:c r="Q149" s="14" t="str">
        <x:v>high</x:v>
      </x:c>
      <x:c r="R149" s="14" t="str">
        <x:v>high</x:v>
      </x:c>
      <x:c r="S149" s="14" t="str">
        <x:v>reviewed</x:v>
      </x:c>
      <x:c r="T149" s="14" t="str">
        <x:v>machine_assisted_reviewed</x:v>
      </x:c>
      <x:c r="U149" s="14" t="str">
        <x:v>1.0.0</x:v>
      </x:c>
      <x:c r="V149" s="14" t="str">
        <x:v>archaios_ellinikos_kosmos_entities_v0_1.csv</x:v>
      </x:c>
      <x:c r="W149" s="17" t="n">
        <x:v>46248</x:v>
      </x:c>
      <x:c r="X149" s="14" t="str">
        <x:v>Codex-assisted normalization of user research</x:v>
      </x:c>
    </x:row>
    <x:row r="150" ht="44" customHeight="1">
      <x:c r="A150" s="14" t="str">
        <x:v>kingdom-orchomenos-palatial</x:v>
      </x:c>
      <x:c r="B150" s="14" t="str">
        <x:v>kingdom-orchomenos-palatial</x:v>
      </x:c>
      <x:c r="C150" s="14" t="str">
        <x:v>polity</x:v>
      </x:c>
      <x:c r="D150" s="14" t="str">
        <x:v>palatial_state</x:v>
      </x:c>
      <x:c r="E150" s="14" t="str">
        <x:v>mycenaean_palatial_polity</x:v>
      </x:c>
      <x:c r="F150" s="14" t="str">
        <x:v>kingdom</x:v>
      </x:c>
      <x:c r="G150" s="14" t="str">
        <x:v>Ανακτορικό κράτος του Ορχομενού</x:v>
      </x:c>
      <x:c r="H150" s="14" t="str">
        <x:v>Orchomenos Palatial State</x:v>
      </x:c>
      <x:c r="I150" s="14" t="str">
        <x:v>Ὀρχομενός</x:v>
      </x:c>
      <x:c r="J150" s="16" t="str">
        <x:v>Πλούσιο μυκηναϊκό κέντρο της Κωπαΐδας με ανάκτορο και μνημειακό θολωτό τάφο· η σχέση του με τα έργα αποξήρανσης και τη Θήβα είναι αντικείμενο έρευνας.</x:v>
      </x:c>
      <x:c r="K150" s="16" t="str">
        <x:v>Rich Mycenaean center of Kopaida with a palace and monumental vaulted tomb; its relationship to the drainage works and Thebes is under investigation.</x:v>
      </x:c>
      <x:c r="L150" s="14"/>
      <x:c r="M150" s="14"/>
      <x:c r="N150" s="14"/>
      <x:c r="O150" s="14" t="str">
        <x:v>region-boiotia</x:v>
      </x:c>
      <x:c r="P150" s="14" t="str">
        <x:v>broad_range</x:v>
      </x:c>
      <x:c r="Q150" s="14" t="str">
        <x:v>high</x:v>
      </x:c>
      <x:c r="R150" s="14" t="str">
        <x:v>high</x:v>
      </x:c>
      <x:c r="S150" s="14" t="str">
        <x:v>reviewed</x:v>
      </x:c>
      <x:c r="T150" s="14" t="str">
        <x:v>machine_assisted_reviewed</x:v>
      </x:c>
      <x:c r="U150" s="14" t="str">
        <x:v>1.0.0</x:v>
      </x:c>
      <x:c r="V150" s="14" t="str">
        <x:v>archaios_ellinikos_kosmos_entities_v0_1.csv</x:v>
      </x:c>
      <x:c r="W150" s="17" t="n">
        <x:v>46248</x:v>
      </x:c>
      <x:c r="X150" s="14" t="str">
        <x:v>Codex-assisted normalization of user research</x:v>
      </x:c>
    </x:row>
    <x:row r="151" ht="44" customHeight="1">
      <x:c r="A151" s="14" t="str">
        <x:v>kingdom-paphos-cyprus</x:v>
      </x:c>
      <x:c r="B151" s="14" t="str">
        <x:v>kingdom-paphos-cyprus</x:v>
      </x:c>
      <x:c r="C151" s="14" t="str">
        <x:v>polity</x:v>
      </x:c>
      <x:c r="D151" s="14" t="str">
        <x:v>city_kingdom</x:v>
      </x:c>
      <x:c r="E151" s="14" t="str">
        <x:v>cypriot_city_kingdom</x:v>
      </x:c>
      <x:c r="F151" s="14" t="str">
        <x:v>kingdom</x:v>
      </x:c>
      <x:c r="G151" s="14" t="str">
        <x:v>Πόλη-βασίλειο της Πάφου</x:v>
      </x:c>
      <x:c r="H151" s="14" t="str">
        <x:v>City-Kingdom of Paphos</x:v>
      </x:c>
      <x:c r="I151" s="14" t="str">
        <x:v>Πάφος</x:v>
      </x:c>
      <x:c r="J151" s="16" t="str">
        <x:v>Αυτόνομο κυπριακό μικροκράτος με κέντρο την Παλαίπαφο και το ιερό της Αφροδίτης· η πρώιμη χρονολογία είναι συμβατική και αρχαιολογικά ευρεία.</x:v>
      </x:c>
      <x:c r="K151" s="16" t="str">
        <x:v>Autonomous Cypriot microstate centered on Palaipafos and the sanctuary of Aphrodite; the early date is conventional and archaeologically broad.</x:v>
      </x:c>
      <x:c r="L151" s="14"/>
      <x:c r="M151" s="14"/>
      <x:c r="N151" s="14"/>
      <x:c r="O151" s="14" t="str">
        <x:v>region-kypros</x:v>
      </x:c>
      <x:c r="P151" s="14" t="str">
        <x:v>broad_range</x:v>
      </x:c>
      <x:c r="Q151" s="14" t="str">
        <x:v>high</x:v>
      </x:c>
      <x:c r="R151" s="14" t="str">
        <x:v>high</x:v>
      </x:c>
      <x:c r="S151" s="14" t="str">
        <x:v>reviewed</x:v>
      </x:c>
      <x:c r="T151" s="14" t="str">
        <x:v>machine_assisted_reviewed</x:v>
      </x:c>
      <x:c r="U151" s="14" t="str">
        <x:v>1.0.0</x:v>
      </x:c>
      <x:c r="V151" s="14" t="str">
        <x:v>archaios_ellinikos_kosmos_entities_v0_1.csv</x:v>
      </x:c>
      <x:c r="W151" s="17" t="n">
        <x:v>46248</x:v>
      </x:c>
      <x:c r="X151" s="14" t="str">
        <x:v>Codex-assisted normalization of user research</x:v>
      </x:c>
    </x:row>
    <x:row r="152" ht="44" customHeight="1">
      <x:c r="A152" s="14" t="str">
        <x:v>kingdom-pontus-mithridatid</x:v>
      </x:c>
      <x:c r="B152" s="14" t="str">
        <x:v>kingdom-pontus-mithridatid</x:v>
      </x:c>
      <x:c r="C152" s="14" t="str">
        <x:v>polity</x:v>
      </x:c>
      <x:c r="D152" s="14" t="str">
        <x:v>kingdom</x:v>
      </x:c>
      <x:c r="E152" s="14" t="str">
        <x:v>hellenistic_dynastic_kingdom</x:v>
      </x:c>
      <x:c r="F152" s="14" t="str">
        <x:v>kingdom</x:v>
      </x:c>
      <x:c r="G152" s="14" t="str">
        <x:v>Βασίλειο του Πόντου</x:v>
      </x:c>
      <x:c r="H152" s="14" t="str">
        <x:v>Kingdom of Pontus</x:v>
      </x:c>
      <x:c r="I152" s="14" t="str">
        <x:v>Βασιλεία τοῦ Πόντου</x:v>
      </x:c>
      <x:c r="J152" s="16" t="str">
        <x:v>Ελληνοϊρανική μοναρχία της νότιας Μαύρης Θάλασσας, με ιδιαίτερη ακμή υπό τον Μιθριδάτη ΣΤ΄· η Σινώπη έγινε βασιλική πρωτεύουσα μετά την κατάκτησή της.</x:v>
      </x:c>
      <x:c r="K152" s="16" t="str">
        <x:v>Greco-Iranian monarchy of the southern Black Sea, particularly flourishing under Mithridates VI; Sinope became the royal capital after its conquest.</x:v>
      </x:c>
      <x:c r="L152" s="14"/>
      <x:c r="M152" s="14"/>
      <x:c r="N152" s="14"/>
      <x:c r="O152" s="14" t="str">
        <x:v>region-pontos</x:v>
      </x:c>
      <x:c r="P152" s="14" t="str">
        <x:v>approximate</x:v>
      </x:c>
      <x:c r="Q152" s="14" t="str">
        <x:v>high</x:v>
      </x:c>
      <x:c r="R152" s="14" t="str">
        <x:v>high</x:v>
      </x:c>
      <x:c r="S152" s="14" t="str">
        <x:v>reviewed</x:v>
      </x:c>
      <x:c r="T152" s="14" t="str">
        <x:v>machine_assisted_reviewed</x:v>
      </x:c>
      <x:c r="U152" s="14" t="str">
        <x:v>1.0.0</x:v>
      </x:c>
      <x:c r="V152" s="14" t="str">
        <x:v>archaios_ellinikos_kosmos_entities_v0_1.csv</x:v>
      </x:c>
      <x:c r="W152" s="17" t="n">
        <x:v>46248</x:v>
      </x:c>
      <x:c r="X152" s="14" t="str">
        <x:v>Codex-assisted normalization of user research</x:v>
      </x:c>
    </x:row>
    <x:row r="153" ht="44" customHeight="1">
      <x:c r="A153" s="14" t="str">
        <x:v>kingdom-ptolemaic-egypt</x:v>
      </x:c>
      <x:c r="B153" s="14" t="str">
        <x:v>kingdom-ptolemaic-egypt</x:v>
      </x:c>
      <x:c r="C153" s="14" t="str">
        <x:v>polity</x:v>
      </x:c>
      <x:c r="D153" s="14" t="str">
        <x:v>kingdom</x:v>
      </x:c>
      <x:c r="E153" s="14" t="str">
        <x:v>hellenistic_dynastic_kingdom</x:v>
      </x:c>
      <x:c r="F153" s="14" t="str">
        <x:v>kingdom</x:v>
      </x:c>
      <x:c r="G153" s="14" t="str">
        <x:v>Πτολεμαϊκό Βασίλειο της Αιγύπτου</x:v>
      </x:c>
      <x:c r="H153" s="14" t="str">
        <x:v>Ptolemaic Kingdom of Egypt</x:v>
      </x:c>
      <x:c r="I153" s="14" t="str">
        <x:v>Βασιλεία τῶν Πτολεμαίων</x:v>
      </x:c>
      <x:c r="J153" s="16" t="str">
        <x:v>Ελληνιστική μακεδονική δυναστεία που κυβέρνησε την Αίγυπτο ως φαραωνική και μεσογειακή μοναρχία, με πρωτεύουσα την Αλεξάνδρεια, έως την Κλεοπάτρα Ζ΄.</x:v>
      </x:c>
      <x:c r="K153" s="16" t="str">
        <x:v>Hellenistic Macedonian dynasty that ruled Egypt as a pharaonic and Mediterranean monarchy, with Alexandria as its capital, until Cleopatra VII.</x:v>
      </x:c>
      <x:c r="L153" s="14"/>
      <x:c r="M153" s="14"/>
      <x:c r="N153" s="14"/>
      <x:c r="O153" s="14" t="str">
        <x:v>region-aigyptos-kai-anatolike-mesogeios</x:v>
      </x:c>
      <x:c r="P153" s="14" t="str">
        <x:v>exact</x:v>
      </x:c>
      <x:c r="Q153" s="14" t="str">
        <x:v>high</x:v>
      </x:c>
      <x:c r="R153" s="14" t="str">
        <x:v>high</x:v>
      </x:c>
      <x:c r="S153" s="14" t="str">
        <x:v>reviewed</x:v>
      </x:c>
      <x:c r="T153" s="14" t="str">
        <x:v>machine_assisted_reviewed</x:v>
      </x:c>
      <x:c r="U153" s="14" t="str">
        <x:v>1.0.0</x:v>
      </x:c>
      <x:c r="V153" s="14" t="str">
        <x:v>archaios_ellinikos_kosmos_entities_v0_1.csv</x:v>
      </x:c>
      <x:c r="W153" s="17" t="n">
        <x:v>46248</x:v>
      </x:c>
      <x:c r="X153" s="14" t="str">
        <x:v>Codex-assisted normalization of user research</x:v>
      </x:c>
    </x:row>
    <x:row r="154" ht="44" customHeight="1">
      <x:c r="A154" s="14" t="str">
        <x:v>kingdom-pylos-palatial</x:v>
      </x:c>
      <x:c r="B154" s="14" t="str">
        <x:v>kingdom-pylos-palatial</x:v>
      </x:c>
      <x:c r="C154" s="14" t="str">
        <x:v>polity</x:v>
      </x:c>
      <x:c r="D154" s="14" t="str">
        <x:v>palatial_state</x:v>
      </x:c>
      <x:c r="E154" s="14" t="str">
        <x:v>mycenaean_palatial_polity</x:v>
      </x:c>
      <x:c r="F154" s="14" t="str">
        <x:v>kingdom</x:v>
      </x:c>
      <x:c r="G154" s="14" t="str">
        <x:v>Ανακτορικό κράτος της Πύλου</x:v>
      </x:c>
      <x:c r="H154" s="14" t="str">
        <x:v>Pylos Palatial State</x:v>
      </x:c>
      <x:c r="I154" s="14" t="str">
        <x:v>Πύλος</x:v>
      </x:c>
      <x:c r="J154" s="16" t="str">
        <x:v>Το αρχείο της Γραμμικής Β τεκμηριώνει συγκεντρωτική ανακτορική διοίκηση στη δυτική Μεσσηνία πριν από την καταστροφή του ανακτόρου.</x:v>
      </x:c>
      <x:c r="K154" s="16" t="str">
        <x:v>The Linear B archive documents centralized palatial administration in western Messenia before the palace was destroyed.</x:v>
      </x:c>
      <x:c r="L154" s="14"/>
      <x:c r="M154" s="14"/>
      <x:c r="N154" s="14"/>
      <x:c r="O154" s="14" t="str">
        <x:v>region-messenia</x:v>
      </x:c>
      <x:c r="P154" s="14" t="str">
        <x:v>broad_range</x:v>
      </x:c>
      <x:c r="Q154" s="14" t="str">
        <x:v>high</x:v>
      </x:c>
      <x:c r="R154" s="14" t="str">
        <x:v>high</x:v>
      </x:c>
      <x:c r="S154" s="14" t="str">
        <x:v>reviewed</x:v>
      </x:c>
      <x:c r="T154" s="14" t="str">
        <x:v>machine_assisted_reviewed</x:v>
      </x:c>
      <x:c r="U154" s="14" t="str">
        <x:v>1.0.0</x:v>
      </x:c>
      <x:c r="V154" s="14" t="str">
        <x:v>archaios_ellinikos_kosmos_entities_v0_1.csv</x:v>
      </x:c>
      <x:c r="W154" s="17" t="n">
        <x:v>46248</x:v>
      </x:c>
      <x:c r="X154" s="14" t="str">
        <x:v>Codex-assisted normalization of user research</x:v>
      </x:c>
    </x:row>
    <x:row r="155" ht="44" customHeight="1">
      <x:c r="A155" s="14" t="str">
        <x:v>kingdom-salamis-cyprus</x:v>
      </x:c>
      <x:c r="B155" s="14" t="str">
        <x:v>kingdom-salamis-cyprus</x:v>
      </x:c>
      <x:c r="C155" s="14" t="str">
        <x:v>polity</x:v>
      </x:c>
      <x:c r="D155" s="14" t="str">
        <x:v>city_kingdom</x:v>
      </x:c>
      <x:c r="E155" s="14" t="str">
        <x:v>cypriot_city_kingdom</x:v>
      </x:c>
      <x:c r="F155" s="14" t="str">
        <x:v>kingdom</x:v>
      </x:c>
      <x:c r="G155" s="14" t="str">
        <x:v>Πόλη-βασίλειο της Σαλαμίνας Κύπρου</x:v>
      </x:c>
      <x:c r="H155" s="14" t="str">
        <x:v>City-Kingdom of Salamis, Cyprus</x:v>
      </x:c>
      <x:c r="I155" s="14" t="str">
        <x:v>Σαλαμίς</x:v>
      </x:c>
      <x:c r="J155" s="16" t="str">
        <x:v>Μία από τις ισχυρότερες κυπριακές πόλεις-βασίλεια. Η έναρξη είναι ευρεία αρχαιολογική προσέγγιση και η μοναρχία καταργήθηκε με την πτολεμαϊκή ενοποίηση της Κύπρου.</x:v>
      </x:c>
      <x:c r="K155" s="16" t="str">
        <x:v>One of the strongest Cypriot city-kingdoms. The beginning is a broad archaeological approach and the monarchy was abolished with the Ptolemaic unification of Cyprus.</x:v>
      </x:c>
      <x:c r="L155" s="14"/>
      <x:c r="M155" s="14"/>
      <x:c r="N155" s="14"/>
      <x:c r="O155" s="14" t="str">
        <x:v>region-kypros</x:v>
      </x:c>
      <x:c r="P155" s="14" t="str">
        <x:v>broad_range</x:v>
      </x:c>
      <x:c r="Q155" s="14" t="str">
        <x:v>high</x:v>
      </x:c>
      <x:c r="R155" s="14" t="str">
        <x:v>high</x:v>
      </x:c>
      <x:c r="S155" s="14" t="str">
        <x:v>reviewed</x:v>
      </x:c>
      <x:c r="T155" s="14" t="str">
        <x:v>machine_assisted_reviewed</x:v>
      </x:c>
      <x:c r="U155" s="14" t="str">
        <x:v>1.0.0</x:v>
      </x:c>
      <x:c r="V155" s="14" t="str">
        <x:v>archaios_ellinikos_kosmos_entities_v0_1.csv</x:v>
      </x:c>
      <x:c r="W155" s="17" t="n">
        <x:v>46248</x:v>
      </x:c>
      <x:c r="X155" s="14" t="str">
        <x:v>Codex-assisted normalization of user research</x:v>
      </x:c>
    </x:row>
    <x:row r="156" ht="44" customHeight="1">
      <x:c r="A156" s="14" t="str">
        <x:v>kingdom-seleucid</x:v>
      </x:c>
      <x:c r="B156" s="14" t="str">
        <x:v>kingdom-seleucid</x:v>
      </x:c>
      <x:c r="C156" s="14" t="str">
        <x:v>polity</x:v>
      </x:c>
      <x:c r="D156" s="14" t="str">
        <x:v>kingdom</x:v>
      </x:c>
      <x:c r="E156" s="14" t="str">
        <x:v>hellenistic_dynastic_kingdom</x:v>
      </x:c>
      <x:c r="F156" s="14" t="str">
        <x:v>kingdom</x:v>
      </x:c>
      <x:c r="G156" s="14" t="str">
        <x:v>Σελευκιδικό Βασίλειο</x:v>
      </x:c>
      <x:c r="H156" s="14" t="str">
        <x:v>Seleucid Empire</x:v>
      </x:c>
      <x:c r="I156" s="14" t="str">
        <x:v>Βασιλεία τῶν Σελευκιδῶν</x:v>
      </x:c>
      <x:c r="J156" s="16" t="str">
        <x:v>Το μεγαλύτερο ανατολικό κράτος των Διαδόχων, με δύο κύρια διοικητικά κέντρα, την Αντιόχεια και τη Σελεύκεια στον Τίγρη· η αρχή τοποθετείται στην ανάκτηση της Βαβυλώνας από τον Σέλευκο.</x:v>
      </x:c>
      <x:c r="K156" s="16" t="str">
        <x:v>The largest eastern state of the Successors, with two main administrative centers, Antioch and Seleucia on the Tigris; the beginning is placed in the recovery of Babylon from Seleucus.</x:v>
      </x:c>
      <x:c r="L156" s="14"/>
      <x:c r="M156" s="14"/>
      <x:c r="N156" s="14"/>
      <x:c r="O156" s="14" t="str">
        <x:v>region-syria-mesopotamia-kai-asia</x:v>
      </x:c>
      <x:c r="P156" s="14" t="str">
        <x:v>approximate</x:v>
      </x:c>
      <x:c r="Q156" s="14" t="str">
        <x:v>high</x:v>
      </x:c>
      <x:c r="R156" s="14" t="str">
        <x:v>high</x:v>
      </x:c>
      <x:c r="S156" s="14" t="str">
        <x:v>reviewed</x:v>
      </x:c>
      <x:c r="T156" s="14" t="str">
        <x:v>machine_assisted_reviewed</x:v>
      </x:c>
      <x:c r="U156" s="14" t="str">
        <x:v>1.0.0</x:v>
      </x:c>
      <x:c r="V156" s="14" t="str">
        <x:v>archaios_ellinikos_kosmos_entities_v0_1.csv</x:v>
      </x:c>
      <x:c r="W156" s="17" t="n">
        <x:v>46248</x:v>
      </x:c>
      <x:c r="X156" s="14" t="str">
        <x:v>Codex-assisted normalization of user research</x:v>
      </x:c>
    </x:row>
    <x:row r="157" ht="44" customHeight="1">
      <x:c r="A157" s="14" t="str">
        <x:v>kingdom-syracuse-agathocles</x:v>
      </x:c>
      <x:c r="B157" s="14" t="str">
        <x:v>kingdom-syracuse-agathocles</x:v>
      </x:c>
      <x:c r="C157" s="14" t="str">
        <x:v>polity</x:v>
      </x:c>
      <x:c r="D157" s="14" t="str">
        <x:v>kingdom</x:v>
      </x:c>
      <x:c r="E157" s="14" t="str">
        <x:v>sicilian_greek_kingship</x:v>
      </x:c>
      <x:c r="F157" s="14" t="str">
        <x:v>kingdom</x:v>
      </x:c>
      <x:c r="G157" s="14" t="str">
        <x:v>Βασίλειο των Συρακουσών του Αγαθοκλή</x:v>
      </x:c>
      <x:c r="H157" s="14" t="str">
        <x:v>Kingdom of Syracuse under Agathocles</x:v>
      </x:c>
      <x:c r="I157" s="14" t="str">
        <x:v>Συράκουσαι</x:v>
      </x:c>
      <x:c r="J157" s="16" t="str">
        <x:v>Ο Αγαθοκλής, ήδη τύραννος των Συρακουσών, υιοθέτησε τον βασιλικό τίτλο στο πλαίσιο των ελληνιστικών μοναρχιών και κυβέρνησε μεγάλο μέρος της ελληνικής Σικελίας.</x:v>
      </x:c>
      <x:c r="K157" s="16" t="str">
        <x:v>Agathocles, already tyrant of Syracuse, adopted the royal title in the context of Hellenistic monarchies and ruled a large part of Greek Sicily.</x:v>
      </x:c>
      <x:c r="L157" s="14"/>
      <x:c r="M157" s="14"/>
      <x:c r="N157" s="14"/>
      <x:c r="O157" s="14" t="str">
        <x:v>region-sikelia</x:v>
      </x:c>
      <x:c r="P157" s="14" t="str">
        <x:v>exact</x:v>
      </x:c>
      <x:c r="Q157" s="14" t="str">
        <x:v>high</x:v>
      </x:c>
      <x:c r="R157" s="14" t="str">
        <x:v>high</x:v>
      </x:c>
      <x:c r="S157" s="14" t="str">
        <x:v>reviewed</x:v>
      </x:c>
      <x:c r="T157" s="14" t="str">
        <x:v>machine_assisted_reviewed</x:v>
      </x:c>
      <x:c r="U157" s="14" t="str">
        <x:v>1.0.0</x:v>
      </x:c>
      <x:c r="V157" s="14" t="str">
        <x:v>archaios_ellinikos_kosmos_entities_v0_1.csv</x:v>
      </x:c>
      <x:c r="W157" s="17" t="n">
        <x:v>46248</x:v>
      </x:c>
      <x:c r="X157" s="14" t="str">
        <x:v>Codex-assisted normalization of user research</x:v>
      </x:c>
    </x:row>
    <x:row r="158" ht="44" customHeight="1">
      <x:c r="A158" s="14" t="str">
        <x:v>kingdom-syracuse-hieron-ii</x:v>
      </x:c>
      <x:c r="B158" s="14" t="str">
        <x:v>kingdom-syracuse-hieron-ii</x:v>
      </x:c>
      <x:c r="C158" s="14" t="str">
        <x:v>polity</x:v>
      </x:c>
      <x:c r="D158" s="14" t="str">
        <x:v>kingdom</x:v>
      </x:c>
      <x:c r="E158" s="14" t="str">
        <x:v>sicilian_greek_kingship</x:v>
      </x:c>
      <x:c r="F158" s="14" t="str">
        <x:v>kingdom</x:v>
      </x:c>
      <x:c r="G158" s="14" t="str">
        <x:v>Βασίλειο των Συρακουσών του Ιέρωνα Β΄</x:v>
      </x:c>
      <x:c r="H158" s="14" t="str">
        <x:v>Kingdom of Syracuse under Hieron II</x:v>
      </x:c>
      <x:c r="I158" s="14" t="str">
        <x:v>Συράκουσαι</x:v>
      </x:c>
      <x:c r="J158" s="16" t="str">
        <x:v>Ο Ιέρων Β΄ εγκαθίδρυσε μακρόβια μοναρχία στις Συρακούσες και διατήρησε συμμαχία με τη Ρώμη· μετά τον θάνατό του ακολούθησε σύντομη κρίση και ρωμαϊκή κατάκτηση.</x:v>
      </x:c>
      <x:c r="K158" s="16" t="str">
        <x:v>Hiero II established a long-lived monarchy in Syracuse and maintained an alliance with Rome; his death was followed by a brief crisis and Roman conquest.</x:v>
      </x:c>
      <x:c r="L158" s="14"/>
      <x:c r="M158" s="14"/>
      <x:c r="N158" s="14"/>
      <x:c r="O158" s="14" t="str">
        <x:v>region-sikelia</x:v>
      </x:c>
      <x:c r="P158" s="14" t="str">
        <x:v>approximate</x:v>
      </x:c>
      <x:c r="Q158" s="14" t="str">
        <x:v>high</x:v>
      </x:c>
      <x:c r="R158" s="14" t="str">
        <x:v>high</x:v>
      </x:c>
      <x:c r="S158" s="14" t="str">
        <x:v>reviewed</x:v>
      </x:c>
      <x:c r="T158" s="14" t="str">
        <x:v>machine_assisted_reviewed</x:v>
      </x:c>
      <x:c r="U158" s="14" t="str">
        <x:v>1.0.0</x:v>
      </x:c>
      <x:c r="V158" s="14" t="str">
        <x:v>archaios_ellinikos_kosmos_entities_v0_1.csv</x:v>
      </x:c>
      <x:c r="W158" s="17" t="n">
        <x:v>46248</x:v>
      </x:c>
      <x:c r="X158" s="14" t="str">
        <x:v>Codex-assisted normalization of user research</x:v>
      </x:c>
    </x:row>
    <x:row r="159" ht="44" customHeight="1">
      <x:c r="A159" s="14" t="str">
        <x:v>kingdom-thebes-palatial</x:v>
      </x:c>
      <x:c r="B159" s="14" t="str">
        <x:v>kingdom-thebes-palatial</x:v>
      </x:c>
      <x:c r="C159" s="14" t="str">
        <x:v>polity</x:v>
      </x:c>
      <x:c r="D159" s="14" t="str">
        <x:v>palatial_state</x:v>
      </x:c>
      <x:c r="E159" s="14" t="str">
        <x:v>mycenaean_palatial_polity</x:v>
      </x:c>
      <x:c r="F159" s="14" t="str">
        <x:v>kingdom</x:v>
      </x:c>
      <x:c r="G159" s="14" t="str">
        <x:v>Ανακτορικό κράτος της Θήβας</x:v>
      </x:c>
      <x:c r="H159" s="14" t="str">
        <x:v>Thebes Palatial State</x:v>
      </x:c>
      <x:c r="I159" s="14" t="str">
        <x:v>Θῆβαι</x:v>
      </x:c>
      <x:c r="J159" s="16" t="str">
        <x:v>Το Καδμείο ήταν ανακτορικό, διοικητικό και εργαστηριακό κέντρο με πινακίδες Γραμμικής Β· η ακριβής επικράτειά του παραμένει υπό συζήτηση.</x:v>
      </x:c>
      <x:c r="K159" s="16" t="str">
        <x:v>The Kadmeion was a palatial, administrative and workshop centre with Linear B tablets; the precise extent of its territory remains debated.</x:v>
      </x:c>
      <x:c r="L159" s="14"/>
      <x:c r="M159" s="14"/>
      <x:c r="N159" s="14"/>
      <x:c r="O159" s="14" t="str">
        <x:v>region-boiotia</x:v>
      </x:c>
      <x:c r="P159" s="14" t="str">
        <x:v>broad_range</x:v>
      </x:c>
      <x:c r="Q159" s="14" t="str">
        <x:v>high</x:v>
      </x:c>
      <x:c r="R159" s="14" t="str">
        <x:v>high</x:v>
      </x:c>
      <x:c r="S159" s="14" t="str">
        <x:v>reviewed</x:v>
      </x:c>
      <x:c r="T159" s="14" t="str">
        <x:v>machine_assisted_reviewed</x:v>
      </x:c>
      <x:c r="U159" s="14" t="str">
        <x:v>1.0.0</x:v>
      </x:c>
      <x:c r="V159" s="14" t="str">
        <x:v>archaios_ellinikos_kosmos_entities_v0_1.csv</x:v>
      </x:c>
      <x:c r="W159" s="17" t="n">
        <x:v>46248</x:v>
      </x:c>
      <x:c r="X159" s="14" t="str">
        <x:v>Codex-assisted normalization of user research</x:v>
      </x:c>
    </x:row>
    <x:row r="160" ht="44" customHeight="1">
      <x:c r="A160" s="14" t="str">
        <x:v>kingdom-tiryns-palatial</x:v>
      </x:c>
      <x:c r="B160" s="14" t="str">
        <x:v>kingdom-tiryns-palatial</x:v>
      </x:c>
      <x:c r="C160" s="14" t="str">
        <x:v>polity</x:v>
      </x:c>
      <x:c r="D160" s="14" t="str">
        <x:v>palatial_state</x:v>
      </x:c>
      <x:c r="E160" s="14" t="str">
        <x:v>mycenaean_palatial_polity</x:v>
      </x:c>
      <x:c r="F160" s="14" t="str">
        <x:v>kingdom</x:v>
      </x:c>
      <x:c r="G160" s="14" t="str">
        <x:v>Ανακτορικό κράτος της Τίρυνθας</x:v>
      </x:c>
      <x:c r="H160" s="14" t="str">
        <x:v>Tiryns Palatial State</x:v>
      </x:c>
      <x:c r="I160" s="14" t="str">
        <x:v>Τίρυνς</x:v>
      </x:c>
      <x:c r="J160" s="16" t="str">
        <x:v>Ισχυρό οχυρωμένο ανακτορικό κέντρο της Αργολίδας, με ακμή κυρίως τον 14ο και 13ο αιώνα π.Χ. και συνέχιση κατοίκησης μετά την ανακτορική κατάρρευση.</x:v>
      </x:c>
      <x:c r="K160" s="16" t="str">
        <x:v>Strong fortified palatial center of Argolis, with its heyday mainly in the 14th and 13th centuries BC. and continued habitation after the palatial collapse.</x:v>
      </x:c>
      <x:c r="L160" s="14"/>
      <x:c r="M160" s="14"/>
      <x:c r="N160" s="14"/>
      <x:c r="O160" s="14" t="str">
        <x:v>region-argolida</x:v>
      </x:c>
      <x:c r="P160" s="14" t="str">
        <x:v>broad_range</x:v>
      </x:c>
      <x:c r="Q160" s="14" t="str">
        <x:v>high</x:v>
      </x:c>
      <x:c r="R160" s="14" t="str">
        <x:v>high</x:v>
      </x:c>
      <x:c r="S160" s="14" t="str">
        <x:v>reviewed</x:v>
      </x:c>
      <x:c r="T160" s="14" t="str">
        <x:v>machine_assisted_reviewed</x:v>
      </x:c>
      <x:c r="U160" s="14" t="str">
        <x:v>1.0.0</x:v>
      </x:c>
      <x:c r="V160" s="14" t="str">
        <x:v>archaios_ellinikos_kosmos_entities_v0_1.csv</x:v>
      </x:c>
      <x:c r="W160" s="17" t="n">
        <x:v>46248</x:v>
      </x:c>
      <x:c r="X160" s="14" t="str">
        <x:v>Codex-assisted normalization of user research</x:v>
      </x:c>
    </x:row>
    <x:row r="161" ht="44" customHeight="1">
      <x:c r="A161" s="14" t="str">
        <x:v>sanctuary-aegina-aphaia-sanctuary</x:v>
      </x:c>
      <x:c r="B161" s="14" t="str">
        <x:v>sanctuary-aegina-aphaia-sanctuary</x:v>
      </x:c>
      <x:c r="C161" s="14" t="str">
        <x:v>sanctuary</x:v>
      </x:c>
      <x:c r="D161" s="14" t="str">
        <x:v>cult_place</x:v>
      </x:c>
      <x:c r="E161" s="14" t="str">
        <x:v>rural</x:v>
      </x:c>
      <x:c r="F161" s="14" t="str">
        <x:v>sanctuary</x:v>
      </x:c>
      <x:c r="G161" s="14" t="str">
        <x:v>Ιερό της Αφαίας στην Αίγινα</x:v>
      </x:c>
      <x:c r="H161" s="14" t="str">
        <x:v>Sanctuary of Aphaia on Aegina</x:v>
      </x:c>
      <x:c r="I161" s="14" t="str">
        <x:v>Ἀφαίας ἱερόν</x:v>
      </x:c>
      <x:c r="J161" s="16" t="str">
        <x:v>Κορυφαίο ιερό τοπικής θεότητας με μυκηναϊκές απαρχές και καλοδιατηρημένο δωρικό ναό των αρχών του 5ου αιώνα π.Χ.</x:v>
      </x:c>
      <x:c r="K161" s="16" t="str">
        <x:v>A leading sanctuary of a local deity with Mycenaean beginnings and a well-preserved Doric temple from the early 5th century BC.</x:v>
      </x:c>
      <x:c r="L161" s="14"/>
      <x:c r="M161" s="14" t="str">
        <x:v>rural</x:v>
      </x:c>
      <x:c r="N161" s="14"/>
      <x:c r="O161" s="14" t="str">
        <x:v>region-aigina</x:v>
      </x:c>
      <x:c r="P161" s="14" t="str">
        <x:v>approximate</x:v>
      </x:c>
      <x:c r="Q161" s="14" t="str">
        <x:v>high</x:v>
      </x:c>
      <x:c r="R161" s="14" t="str">
        <x:v>high</x:v>
      </x:c>
      <x:c r="S161" s="14" t="str">
        <x:v>reviewed</x:v>
      </x:c>
      <x:c r="T161" s="14" t="str">
        <x:v>machine_assisted_reviewed</x:v>
      </x:c>
      <x:c r="U161" s="14" t="str">
        <x:v>1.0.0</x:v>
      </x:c>
      <x:c r="V161" s="14" t="str">
        <x:v>archaios_ellinikos_kosmos_entities_v0_1.csv</x:v>
      </x:c>
      <x:c r="W161" s="17" t="n">
        <x:v>46248</x:v>
      </x:c>
      <x:c r="X161" s="14" t="str">
        <x:v>Codex-assisted normalization of user research</x:v>
      </x:c>
    </x:row>
    <x:row r="162" ht="44" customHeight="1">
      <x:c r="A162" s="14" t="str">
        <x:v>sanctuary-akragas-concordia-temple-sanctuary</x:v>
      </x:c>
      <x:c r="B162" s="14" t="str">
        <x:v>sanctuary-akragas-concordia-temple-sanctuary</x:v>
      </x:c>
      <x:c r="C162" s="14" t="str">
        <x:v>sanctuary</x:v>
      </x:c>
      <x:c r="D162" s="14" t="str">
        <x:v>cult_place</x:v>
      </x:c>
      <x:c r="E162" s="14" t="str">
        <x:v>urban</x:v>
      </x:c>
      <x:c r="F162" s="14" t="str">
        <x:v>sanctuary</x:v>
      </x:c>
      <x:c r="G162" s="14" t="str">
        <x:v>Ναός της Ομόνοιας στον Ακράγαντα</x:v>
      </x:c>
      <x:c r="H162" s="14" t="str">
        <x:v>Temple of Concordia at Akragas</x:v>
      </x:c>
      <x:c r="I162" s="14"/>
      <x:c r="J162" s="16" t="str">
        <x:v>Εξαιρετικά διατηρημένος δωρικός ναός στην ιερή ζώνη του Ακράγαντα· η συμβατική ονομασία «Ομόνοια» δεν αποδίδει βέβαιη αρχαία θεότητα.</x:v>
      </x:c>
      <x:c r="K162" s="16" t="str">
        <x:v>An exceptionally well-preserved Doric temple in the sacred zone of Akragas; the conventional name ‘Concordia’ does not identify its ancient deity with certainty.</x:v>
      </x:c>
      <x:c r="L162" s="14"/>
      <x:c r="M162" s="14" t="str">
        <x:v>urban</x:v>
      </x:c>
      <x:c r="N162" s="14"/>
      <x:c r="O162" s="14" t="str">
        <x:v>region-sikelia</x:v>
      </x:c>
      <x:c r="P162" s="14" t="str">
        <x:v>approximate</x:v>
      </x:c>
      <x:c r="Q162" s="14" t="str">
        <x:v>medium</x:v>
      </x:c>
      <x:c r="R162" s="14" t="str">
        <x:v>medium</x:v>
      </x:c>
      <x:c r="S162" s="14" t="str">
        <x:v>reviewed</x:v>
      </x:c>
      <x:c r="T162" s="14" t="str">
        <x:v>machine_assisted_reviewed</x:v>
      </x:c>
      <x:c r="U162" s="14" t="str">
        <x:v>1.0.0</x:v>
      </x:c>
      <x:c r="V162" s="14" t="str">
        <x:v>archaios_ellinikos_kosmos_entities_v0_1.csv</x:v>
      </x:c>
      <x:c r="W162" s="17" t="n">
        <x:v>46249</x:v>
      </x:c>
      <x:c r="X162" s="14" t="str">
        <x:v>Codex-assisted scholarly review</x:v>
      </x:c>
    </x:row>
    <x:row r="163" ht="44" customHeight="1">
      <x:c r="A163" s="14" t="str">
        <x:v>sanctuary-alexandria-serapeum</x:v>
      </x:c>
      <x:c r="B163" s="14" t="str">
        <x:v>sanctuary-alexandria-serapeum</x:v>
      </x:c>
      <x:c r="C163" s="14" t="str">
        <x:v>sanctuary</x:v>
      </x:c>
      <x:c r="D163" s="14" t="str">
        <x:v>cult_place</x:v>
      </x:c>
      <x:c r="E163" s="14" t="str">
        <x:v>urban</x:v>
      </x:c>
      <x:c r="F163" s="14" t="str">
        <x:v>sanctuary</x:v>
      </x:c>
      <x:c r="G163" s="14" t="str">
        <x:v>Σεραπείο Αλεξάνδρειας</x:v>
      </x:c>
      <x:c r="H163" s="14" t="str">
        <x:v>Serapeum of Alexandria</x:v>
      </x:c>
      <x:c r="I163" s="14" t="str">
        <x:v>Σαραπεῖον</x:v>
      </x:c>
      <x:c r="J163" s="16" t="str">
        <x:v>Μεγάλο πτολεμαϊκό και ρωμαϊκό ιερό του συγκρητικού θεού Σάραπι, καταστραμμένο στο πλαίσιο των θρησκευτικών συγκρούσεων του 391 μ.Χ.</x:v>
      </x:c>
      <x:c r="K163" s="16" t="str">
        <x:v>A major Ptolemaic and Roman sanctuary of the syncretic god Sarapis, destroyed amid the religious conflicts of 391 CE.</x:v>
      </x:c>
      <x:c r="L163" s="14"/>
      <x:c r="M163" s="14" t="str">
        <x:v>urban</x:v>
      </x:c>
      <x:c r="N163" s="14"/>
      <x:c r="O163" s="14" t="str">
        <x:v>region-aigyptos</x:v>
      </x:c>
      <x:c r="P163" s="14" t="str">
        <x:v>approximate</x:v>
      </x:c>
      <x:c r="Q163" s="14" t="str">
        <x:v>high</x:v>
      </x:c>
      <x:c r="R163" s="14" t="str">
        <x:v>high</x:v>
      </x:c>
      <x:c r="S163" s="14" t="str">
        <x:v>reviewed</x:v>
      </x:c>
      <x:c r="T163" s="14" t="str">
        <x:v>machine_assisted_reviewed</x:v>
      </x:c>
      <x:c r="U163" s="14" t="str">
        <x:v>1.0.0</x:v>
      </x:c>
      <x:c r="V163" s="14" t="str">
        <x:v>archaios_ellinikos_kosmos_entities_v0_1.csv</x:v>
      </x:c>
      <x:c r="W163" s="17" t="n">
        <x:v>46248</x:v>
      </x:c>
      <x:c r="X163" s="14" t="str">
        <x:v>Codex-assisted normalization of user research</x:v>
      </x:c>
    </x:row>
    <x:row r="164" ht="44" customHeight="1">
      <x:c r="A164" s="14" t="str">
        <x:v>sanctuary-amyklaion-apollo-sanctuary</x:v>
      </x:c>
      <x:c r="B164" s="14" t="str">
        <x:v>sanctuary-amyklaion-apollo-sanctuary</x:v>
      </x:c>
      <x:c r="C164" s="14" t="str">
        <x:v>sanctuary</x:v>
      </x:c>
      <x:c r="D164" s="14" t="str">
        <x:v>cult_place</x:v>
      </x:c>
      <x:c r="E164" s="14" t="str">
        <x:v>rural</x:v>
      </x:c>
      <x:c r="F164" s="14" t="str">
        <x:v>sanctuary</x:v>
      </x:c>
      <x:c r="G164" s="14" t="str">
        <x:v>Αμυκλαίο</x:v>
      </x:c>
      <x:c r="H164" s="14" t="str">
        <x:v>Amyklaion Sanctuary of Apollo</x:v>
      </x:c>
      <x:c r="I164" s="14" t="str">
        <x:v>Ἀμύκλαι</x:v>
      </x:c>
      <x:c r="J164" s="16" t="str">
        <x:v>Λακωνικό ιερό με κολοσσιαίο ξόανο του Απόλλωνα και τον περίτεχνο Θρόνο των Αμυκλών γύρω από τον τάφο του Υακίνθου.</x:v>
      </x:c>
      <x:c r="K164" s="16" t="str">
        <x:v>A Laconian sanctuary with a colossal xoanon of Apollo and the elaborate Throne of Apollo at Amyclae surrounding the tomb of Hyakinthos.</x:v>
      </x:c>
      <x:c r="L164" s="14"/>
      <x:c r="M164" s="14" t="str">
        <x:v>rural</x:v>
      </x:c>
      <x:c r="N164" s="14"/>
      <x:c r="O164" s="14" t="str">
        <x:v>region-lakonia</x:v>
      </x:c>
      <x:c r="P164" s="14" t="str">
        <x:v>approximate</x:v>
      </x:c>
      <x:c r="Q164" s="14" t="str">
        <x:v>high</x:v>
      </x:c>
      <x:c r="R164" s="14" t="str">
        <x:v>high</x:v>
      </x:c>
      <x:c r="S164" s="14" t="str">
        <x:v>reviewed</x:v>
      </x:c>
      <x:c r="T164" s="14" t="str">
        <x:v>machine_assisted_reviewed</x:v>
      </x:c>
      <x:c r="U164" s="14" t="str">
        <x:v>1.0.0</x:v>
      </x:c>
      <x:c r="V164" s="14" t="str">
        <x:v>archaios_ellinikos_kosmos_entities_v0_1.csv</x:v>
      </x:c>
      <x:c r="W164" s="17" t="n">
        <x:v>46248</x:v>
      </x:c>
      <x:c r="X164" s="14" t="str">
        <x:v>Codex-assisted normalization of user research</x:v>
      </x:c>
    </x:row>
    <x:row r="165" ht="44" customHeight="1">
      <x:c r="A165" s="14" t="str">
        <x:v>sanctuary-aphrodisias-aphrodite-sanctuary</x:v>
      </x:c>
      <x:c r="B165" s="14" t="str">
        <x:v>sanctuary-aphrodisias-aphrodite-sanctuary</x:v>
      </x:c>
      <x:c r="C165" s="14" t="str">
        <x:v>sanctuary</x:v>
      </x:c>
      <x:c r="D165" s="14" t="str">
        <x:v>cult_place</x:v>
      </x:c>
      <x:c r="E165" s="14" t="str">
        <x:v>urban</x:v>
      </x:c>
      <x:c r="F165" s="14" t="str">
        <x:v>sanctuary</x:v>
      </x:c>
      <x:c r="G165" s="14" t="str">
        <x:v>Ιερό της Αφροδίτης στην Αφροδισιάδα</x:v>
      </x:c>
      <x:c r="H165" s="14" t="str">
        <x:v>Sanctuary of Aphrodite at Aphrodisias</x:v>
      </x:c>
      <x:c r="I165" s="14" t="str">
        <x:v>Ἀφροδίτης ἱερόν</x:v>
      </x:c>
      <x:c r="J165" s="16" t="str">
        <x:v>Η καρδιά της πόλης, με ελληνιστικό-ρωμαϊκό ιωνικό ναό και ιδιαίτερο λατρευτικό άγαλμα, μετατράπηκε σε εκκλησία γύρω στο 500 μ.Χ.</x:v>
      </x:c>
      <x:c r="K165" s="16" t="str">
        <x:v>The heart of the city, with a Hellenistic-Roman Ionic temple and a special cult statue, was turned into a church around 500 AD.</x:v>
      </x:c>
      <x:c r="L165" s="14"/>
      <x:c r="M165" s="14" t="str">
        <x:v>urban</x:v>
      </x:c>
      <x:c r="N165" s="14"/>
      <x:c r="O165" s="14" t="str">
        <x:v>region-karia</x:v>
      </x:c>
      <x:c r="P165" s="14" t="str">
        <x:v>approximate</x:v>
      </x:c>
      <x:c r="Q165" s="14" t="str">
        <x:v>high</x:v>
      </x:c>
      <x:c r="R165" s="14" t="str">
        <x:v>high</x:v>
      </x:c>
      <x:c r="S165" s="14" t="str">
        <x:v>reviewed</x:v>
      </x:c>
      <x:c r="T165" s="14" t="str">
        <x:v>machine_assisted_reviewed</x:v>
      </x:c>
      <x:c r="U165" s="14" t="str">
        <x:v>1.0.0</x:v>
      </x:c>
      <x:c r="V165" s="14" t="str">
        <x:v>archaios_ellinikos_kosmos_entities_v0_1.csv</x:v>
      </x:c>
      <x:c r="W165" s="17" t="n">
        <x:v>46248</x:v>
      </x:c>
      <x:c r="X165" s="14" t="str">
        <x:v>Codex-assisted normalization of user research</x:v>
      </x:c>
    </x:row>
    <x:row r="166" ht="44" customHeight="1">
      <x:c r="A166" s="14" t="str">
        <x:v>sanctuary-apollonia-pontica-apollo-ietros-sanctuary</x:v>
      </x:c>
      <x:c r="B166" s="14" t="str">
        <x:v>sanctuary-apollonia-pontica-apollo-ietros-sanctuary</x:v>
      </x:c>
      <x:c r="C166" s="14" t="str">
        <x:v>sanctuary</x:v>
      </x:c>
      <x:c r="D166" s="14" t="str">
        <x:v>cult_place</x:v>
      </x:c>
      <x:c r="E166" s="14" t="str">
        <x:v>urban</x:v>
      </x:c>
      <x:c r="F166" s="14" t="str">
        <x:v>sanctuary</x:v>
      </x:c>
      <x:c r="G166" s="14" t="str">
        <x:v>Ιερό του Απόλλωνα Ιητρού στην Απολλωνία Ποντική</x:v>
      </x:c>
      <x:c r="H166" s="14" t="str">
        <x:v>Sanctuary of Apollo Ietros at Apollonia Pontica</x:v>
      </x:c>
      <x:c r="I166" s="14" t="str">
        <x:v>Ἀπόλλων Ἰητρός</x:v>
      </x:c>
      <x:c r="J166" s="16" t="str">
        <x:v>Κύρια πολιτειακή λατρεία της αποικίας, συνδεδεμένη με κολοσσιαίο χάλκινο άγαλμα· η ακριβής θέση του ναού στο νησί παραμένει υπό συζήτηση.</x:v>
      </x:c>
      <x:c r="K166" s="16" t="str">
        <x:v>Main state cult of the colony, associated with a colossal bronze statue; the temple's exact location on the island remains debated.</x:v>
      </x:c>
      <x:c r="L166" s="14"/>
      <x:c r="M166" s="14" t="str">
        <x:v>urban</x:v>
      </x:c>
      <x:c r="N166" s="14"/>
      <x:c r="O166" s="14" t="str">
        <x:v>region-thrake</x:v>
      </x:c>
      <x:c r="P166" s="14" t="str">
        <x:v>approximate</x:v>
      </x:c>
      <x:c r="Q166" s="14" t="str">
        <x:v>medium</x:v>
      </x:c>
      <x:c r="R166" s="14" t="str">
        <x:v>medium</x:v>
      </x:c>
      <x:c r="S166" s="14" t="str">
        <x:v>reviewed</x:v>
      </x:c>
      <x:c r="T166" s="14" t="str">
        <x:v>machine_assisted_reviewed</x:v>
      </x:c>
      <x:c r="U166" s="14" t="str">
        <x:v>1.0.0</x:v>
      </x:c>
      <x:c r="V166" s="14" t="str">
        <x:v>archaios_ellinikos_kosmos_entities_v0_1.csv</x:v>
      </x:c>
      <x:c r="W166" s="17" t="n">
        <x:v>46249</x:v>
      </x:c>
      <x:c r="X166" s="14" t="str">
        <x:v>Codex-assisted scholarly review</x:v>
      </x:c>
    </x:row>
    <x:row r="167" ht="44" customHeight="1">
      <x:c r="A167" s="14" t="str">
        <x:v>sanctuary-argive-heraion</x:v>
      </x:c>
      <x:c r="B167" s="14" t="str">
        <x:v>sanctuary-argive-heraion</x:v>
      </x:c>
      <x:c r="C167" s="14" t="str">
        <x:v>sanctuary</x:v>
      </x:c>
      <x:c r="D167" s="14" t="str">
        <x:v>cult_place</x:v>
      </x:c>
      <x:c r="E167" s="14" t="str">
        <x:v>rural</x:v>
      </x:c>
      <x:c r="F167" s="14" t="str">
        <x:v>sanctuary</x:v>
      </x:c>
      <x:c r="G167" s="14" t="str">
        <x:v>Αργείο Ηραίο</x:v>
      </x:c>
      <x:c r="H167" s="14" t="str">
        <x:v>Argive Heraion</x:v>
      </x:c>
      <x:c r="I167" s="14" t="str">
        <x:v>Ἡραῖον τὸ Ἀργεῖον</x:v>
      </x:c>
      <x:c r="J167" s="16" t="str">
        <x:v>Μείζον εξωαστικό ιερό της Ήρας για το Άργος και την Αργολίδα, με άνδηρα, ναούς, στοές και πλούσιες αναθήσεις.</x:v>
      </x:c>
      <x:c r="K167" s="16" t="str">
        <x:v>A major extra-urban sanctuary of Hera serving Argos and Argolis, with terraces, temples, stoas and rich dedications.</x:v>
      </x:c>
      <x:c r="L167" s="14"/>
      <x:c r="M167" s="14" t="str">
        <x:v>rural</x:v>
      </x:c>
      <x:c r="N167" s="14"/>
      <x:c r="O167" s="14" t="str">
        <x:v>region-argolida</x:v>
      </x:c>
      <x:c r="P167" s="14" t="str">
        <x:v>approximate</x:v>
      </x:c>
      <x:c r="Q167" s="14" t="str">
        <x:v>high</x:v>
      </x:c>
      <x:c r="R167" s="14" t="str">
        <x:v>high</x:v>
      </x:c>
      <x:c r="S167" s="14" t="str">
        <x:v>reviewed</x:v>
      </x:c>
      <x:c r="T167" s="14" t="str">
        <x:v>machine_assisted_reviewed</x:v>
      </x:c>
      <x:c r="U167" s="14" t="str">
        <x:v>1.0.0</x:v>
      </x:c>
      <x:c r="V167" s="14" t="str">
        <x:v>archaios_ellinikos_kosmos_entities_v0_1.csv</x:v>
      </x:c>
      <x:c r="W167" s="17" t="n">
        <x:v>46248</x:v>
      </x:c>
      <x:c r="X167" s="14" t="str">
        <x:v>Codex-assisted normalization of user research</x:v>
      </x:c>
    </x:row>
    <x:row r="168" ht="44" customHeight="1">
      <x:c r="A168" s="14" t="str">
        <x:v>sanctuary-athens-acropolis-sacred-center</x:v>
      </x:c>
      <x:c r="B168" s="14" t="str">
        <x:v>sanctuary-athens-acropolis-sacred-center</x:v>
      </x:c>
      <x:c r="C168" s="14" t="str">
        <x:v>sanctuary</x:v>
      </x:c>
      <x:c r="D168" s="14" t="str">
        <x:v>cult_place</x:v>
      </x:c>
      <x:c r="E168" s="14" t="str">
        <x:v>urban</x:v>
      </x:c>
      <x:c r="F168" s="14" t="str">
        <x:v>sanctuary</x:v>
      </x:c>
      <x:c r="G168" s="14" t="str">
        <x:v>Ιερό κέντρο της Ακρόπολης Αθηνών</x:v>
      </x:c>
      <x:c r="H168" s="14" t="str">
        <x:v>Sacred Center of the Athenian Acropolis</x:v>
      </x:c>
      <x:c r="I168" s="14" t="str">
        <x:v>Ἀκρόπολις Ἀθηνῶν</x:v>
      </x:c>
      <x:c r="J168" s="16" t="str">
        <x:v>Οχυρός βράχος που εξελίχθηκε σε κύριο ιερό κέντρο της Αθήνας, με Παρθενώνα, Ερέχθειο, Προπύλαια και πολλαπλά τεμένη.</x:v>
      </x:c>
      <x:c r="K168" s="16" t="str">
        <x:v>A fortified rock that became Athens’ principal sacred centre, with the Parthenon, Erechtheion, Propylaia and multiple sacred precincts.</x:v>
      </x:c>
      <x:c r="L168" s="14"/>
      <x:c r="M168" s="14" t="str">
        <x:v>urban</x:v>
      </x:c>
      <x:c r="N168" s="14"/>
      <x:c r="O168" s="14" t="str">
        <x:v>region-attike</x:v>
      </x:c>
      <x:c r="P168" s="14" t="str">
        <x:v>approximate</x:v>
      </x:c>
      <x:c r="Q168" s="14" t="str">
        <x:v>high</x:v>
      </x:c>
      <x:c r="R168" s="14" t="str">
        <x:v>high</x:v>
      </x:c>
      <x:c r="S168" s="14" t="str">
        <x:v>reviewed</x:v>
      </x:c>
      <x:c r="T168" s="14" t="str">
        <x:v>machine_assisted_reviewed</x:v>
      </x:c>
      <x:c r="U168" s="14" t="str">
        <x:v>1.0.0</x:v>
      </x:c>
      <x:c r="V168" s="14" t="str">
        <x:v>archaios_ellinikos_kosmos_entities_v0_1.csv</x:v>
      </x:c>
      <x:c r="W168" s="17" t="n">
        <x:v>46248</x:v>
      </x:c>
      <x:c r="X168" s="14" t="str">
        <x:v>Codex-assisted normalization of user research</x:v>
      </x:c>
    </x:row>
    <x:row r="169" ht="44" customHeight="1">
      <x:c r="A169" s="14" t="str">
        <x:v>sanctuary-bassae-apollo-epikourios</x:v>
      </x:c>
      <x:c r="B169" s="14" t="str">
        <x:v>sanctuary-bassae-apollo-epikourios</x:v>
      </x:c>
      <x:c r="C169" s="14" t="str">
        <x:v>sanctuary</x:v>
      </x:c>
      <x:c r="D169" s="14" t="str">
        <x:v>cult_place</x:v>
      </x:c>
      <x:c r="E169" s="14" t="str">
        <x:v>rural</x:v>
      </x:c>
      <x:c r="F169" s="14" t="str">
        <x:v>sanctuary</x:v>
      </x:c>
      <x:c r="G169" s="14" t="str">
        <x:v>Ναός Επικουρίου Απόλλωνα στις Βάσσες</x:v>
      </x:c>
      <x:c r="H169" s="14" t="str">
        <x:v>Temple of Apollo Epikourios at Bassae</x:v>
      </x:c>
      <x:c r="I169" s="14" t="str">
        <x:v>Βάσσαι</x:v>
      </x:c>
      <x:c r="J169" s="16" t="str">
        <x:v>Ορεινό ιερό των Φιγαλείων με τον περίφημο ναό του 5ου αιώνα π.Χ., που συνδυάζει δωρικά, ιωνικά και κορινθιακά στοιχεία.</x:v>
      </x:c>
      <x:c r="K169" s="16" t="str">
        <x:v>A mountain sanctuary of the Phigaleians with the celebrated fifth-century BCE temple combining Doric, Ionic and Corinthian elements.</x:v>
      </x:c>
      <x:c r="L169" s="14"/>
      <x:c r="M169" s="14" t="str">
        <x:v>rural</x:v>
      </x:c>
      <x:c r="N169" s="14"/>
      <x:c r="O169" s="14" t="str">
        <x:v>region-arkadia</x:v>
      </x:c>
      <x:c r="P169" s="14" t="str">
        <x:v>approximate</x:v>
      </x:c>
      <x:c r="Q169" s="14" t="str">
        <x:v>high</x:v>
      </x:c>
      <x:c r="R169" s="14" t="str">
        <x:v>high</x:v>
      </x:c>
      <x:c r="S169" s="14" t="str">
        <x:v>reviewed</x:v>
      </x:c>
      <x:c r="T169" s="14" t="str">
        <x:v>machine_assisted_reviewed</x:v>
      </x:c>
      <x:c r="U169" s="14" t="str">
        <x:v>1.0.0</x:v>
      </x:c>
      <x:c r="V169" s="14" t="str">
        <x:v>archaios_ellinikos_kosmos_entities_v0_1.csv</x:v>
      </x:c>
      <x:c r="W169" s="17" t="n">
        <x:v>46248</x:v>
      </x:c>
      <x:c r="X169" s="14" t="str">
        <x:v>Codex-assisted normalization of user research</x:v>
      </x:c>
    </x:row>
    <x:row r="170" ht="44" customHeight="1">
      <x:c r="A170" s="14" t="str">
        <x:v>sanctuary-brauron-artemis-sanctuary</x:v>
      </x:c>
      <x:c r="B170" s="14" t="str">
        <x:v>sanctuary-brauron-artemis-sanctuary</x:v>
      </x:c>
      <x:c r="C170" s="14" t="str">
        <x:v>sanctuary</x:v>
      </x:c>
      <x:c r="D170" s="14" t="str">
        <x:v>cult_place</x:v>
      </x:c>
      <x:c r="E170" s="14" t="str">
        <x:v>rural</x:v>
      </x:c>
      <x:c r="F170" s="14" t="str">
        <x:v>sanctuary</x:v>
      </x:c>
      <x:c r="G170" s="14" t="str">
        <x:v>Ιερό της Αρτέμιδος στη Βραυρώνα</x:v>
      </x:c>
      <x:c r="H170" s="14" t="str">
        <x:v>Sanctuary of Artemis at Brauron</x:v>
      </x:c>
      <x:c r="I170" s="14" t="str">
        <x:v>Βραυρών</x:v>
      </x:c>
      <x:c r="J170" s="16" t="str">
        <x:v>Ιερό συνδεδεμένο με τη μετάβαση των κοριτσιών στην ενηλικίωση, γνωστό για τη στοά, τον ναό και τις τελετές των άρκτων. Η έναρξη εδώ αφορά την οργανωμένη λατρεία μετά το κενό που ακολούθησε την Εποχή του Χαλκού.</x:v>
      </x:c>
      <x:c r="K170" s="16" t="str">
        <x:v>Sanctuary associated with the transition of girls to adulthood, known for its portico, temple and bear ceremonies. The beginning here concerns organized worship after the gap that followed the Bronze Age.</x:v>
      </x:c>
      <x:c r="L170" s="14"/>
      <x:c r="M170" s="14" t="str">
        <x:v>rural</x:v>
      </x:c>
      <x:c r="N170" s="14"/>
      <x:c r="O170" s="14" t="str">
        <x:v>region-attike</x:v>
      </x:c>
      <x:c r="P170" s="14" t="str">
        <x:v>approximate</x:v>
      </x:c>
      <x:c r="Q170" s="14" t="str">
        <x:v>high</x:v>
      </x:c>
      <x:c r="R170" s="14" t="str">
        <x:v>high</x:v>
      </x:c>
      <x:c r="S170" s="14" t="str">
        <x:v>reviewed</x:v>
      </x:c>
      <x:c r="T170" s="14" t="str">
        <x:v>machine_assisted_reviewed</x:v>
      </x:c>
      <x:c r="U170" s="14" t="str">
        <x:v>1.0.0</x:v>
      </x:c>
      <x:c r="V170" s="14" t="str">
        <x:v>archaios_ellinikos_kosmos_entities_v0_1.csv</x:v>
      </x:c>
      <x:c r="W170" s="17" t="n">
        <x:v>46248</x:v>
      </x:c>
      <x:c r="X170" s="14" t="str">
        <x:v>Codex-assisted normalization of user research</x:v>
      </x:c>
    </x:row>
    <x:row r="171" ht="44" customHeight="1">
      <x:c r="A171" s="14" t="str">
        <x:v>sanctuary-chersonesos-parthenos-sanctuary</x:v>
      </x:c>
      <x:c r="B171" s="14" t="str">
        <x:v>sanctuary-chersonesos-parthenos-sanctuary</x:v>
      </x:c>
      <x:c r="C171" s="14" t="str">
        <x:v>sanctuary</x:v>
      </x:c>
      <x:c r="D171" s="14" t="str">
        <x:v>cult_place</x:v>
      </x:c>
      <x:c r="E171" s="14" t="str">
        <x:v>urban</x:v>
      </x:c>
      <x:c r="F171" s="14" t="str">
        <x:v>sanctuary</x:v>
      </x:c>
      <x:c r="G171" s="14" t="str">
        <x:v>Ιερό της Παρθένου στη Χερσόνησο</x:v>
      </x:c>
      <x:c r="H171" s="14" t="str">
        <x:v>Sanctuary of Parthenos at Tauric Chersonesos</x:v>
      </x:c>
      <x:c r="I171" s="14" t="str">
        <x:v>Παρθένου ἱερόν</x:v>
      </x:c>
      <x:c r="J171" s="16" t="str">
        <x:v>Κεντρική πολιούχος λατρεία της Ταυρικής Χερσονήσου· το ιερό τοποθετείται στην ακρόπολη, αλλά το ακριβές περίγραμμα δεν έχει αποκατασταθεί με βεβαιότητα.</x:v>
      </x:c>
      <x:c r="K171" s="16" t="str">
        <x:v>Central patron cult of the Tauric Peninsula; the sanctuary is placed on the acropolis, but the exact outline has not been established with certainty.</x:v>
      </x:c>
      <x:c r="L171" s="14"/>
      <x:c r="M171" s="14" t="str">
        <x:v>urban</x:v>
      </x:c>
      <x:c r="N171" s="14"/>
      <x:c r="O171" s="14" t="str">
        <x:v>region-tayrike</x:v>
      </x:c>
      <x:c r="P171" s="14" t="str">
        <x:v>approximate</x:v>
      </x:c>
      <x:c r="Q171" s="14" t="str">
        <x:v>medium</x:v>
      </x:c>
      <x:c r="R171" s="14" t="str">
        <x:v>medium</x:v>
      </x:c>
      <x:c r="S171" s="14" t="str">
        <x:v>reviewed</x:v>
      </x:c>
      <x:c r="T171" s="14" t="str">
        <x:v>machine_assisted_reviewed</x:v>
      </x:c>
      <x:c r="U171" s="14" t="str">
        <x:v>1.0.0</x:v>
      </x:c>
      <x:c r="V171" s="14" t="str">
        <x:v>archaios_ellinikos_kosmos_entities_v0_1.csv</x:v>
      </x:c>
      <x:c r="W171" s="17" t="n">
        <x:v>46249</x:v>
      </x:c>
      <x:c r="X171" s="14" t="str">
        <x:v>Codex-assisted scholarly review</x:v>
      </x:c>
    </x:row>
    <x:row r="172" ht="44" customHeight="1">
      <x:c r="A172" s="14" t="str">
        <x:v>sanctuary-claros-apollo-oracle</x:v>
      </x:c>
      <x:c r="B172" s="14" t="str">
        <x:v>sanctuary-claros-apollo-oracle</x:v>
      </x:c>
      <x:c r="C172" s="14" t="str">
        <x:v>sanctuary</x:v>
      </x:c>
      <x:c r="D172" s="14" t="str">
        <x:v>oracle</x:v>
      </x:c>
      <x:c r="E172" s="14" t="str">
        <x:v>oracle</x:v>
      </x:c>
      <x:c r="F172" s="14" t="str">
        <x:v>sanctuary</x:v>
      </x:c>
      <x:c r="G172" s="14" t="str">
        <x:v>Μαντείο του Απόλλωνα στην Κλάρο</x:v>
      </x:c>
      <x:c r="H172" s="14" t="str">
        <x:v>Oracle of Apollo at Claros</x:v>
      </x:c>
      <x:c r="I172" s="14" t="str">
        <x:v>Κλάρος</x:v>
      </x:c>
      <x:c r="J172" s="16" t="str">
        <x:v>Μαντικό ιερό υπό τον έλεγχο της Κολοφώνας, με υπόγειο χρησμοδοτικό χώρο και μακρά δράση έως την ύστερη αρχαιότητα.</x:v>
      </x:c>
      <x:c r="K172" s="16" t="str">
        <x:v>An oracular sanctuary controlled by Colophon, with a subterranean chamber for consultation and a long history extending into Late Antiquity.</x:v>
      </x:c>
      <x:c r="L172" s="14"/>
      <x:c r="M172" s="14"/>
      <x:c r="N172" s="14" t="str">
        <x:v>oracle</x:v>
      </x:c>
      <x:c r="O172" s="14" t="str">
        <x:v>region-ionia</x:v>
      </x:c>
      <x:c r="P172" s="14" t="str">
        <x:v>approximate</x:v>
      </x:c>
      <x:c r="Q172" s="14" t="str">
        <x:v>high</x:v>
      </x:c>
      <x:c r="R172" s="14" t="str">
        <x:v>high</x:v>
      </x:c>
      <x:c r="S172" s="14" t="str">
        <x:v>reviewed</x:v>
      </x:c>
      <x:c r="T172" s="14" t="str">
        <x:v>machine_assisted_reviewed</x:v>
      </x:c>
      <x:c r="U172" s="14" t="str">
        <x:v>1.0.0</x:v>
      </x:c>
      <x:c r="V172" s="14" t="str">
        <x:v>archaios_ellinikos_kosmos_entities_v0_1.csv</x:v>
      </x:c>
      <x:c r="W172" s="17" t="n">
        <x:v>46248</x:v>
      </x:c>
      <x:c r="X172" s="14" t="str">
        <x:v>Codex-assisted normalization of user research</x:v>
      </x:c>
    </x:row>
    <x:row r="173" ht="44" customHeight="1">
      <x:c r="A173" s="14" t="str">
        <x:v>sanctuary-crete-idaion-antron</x:v>
      </x:c>
      <x:c r="B173" s="14" t="str">
        <x:v>sanctuary-crete-idaion-antron</x:v>
      </x:c>
      <x:c r="C173" s="14" t="str">
        <x:v>sanctuary</x:v>
      </x:c>
      <x:c r="D173" s="14" t="str">
        <x:v>cave_sanctuary</x:v>
      </x:c>
      <x:c r="E173" s="14" t="str">
        <x:v>cave</x:v>
      </x:c>
      <x:c r="F173" s="14" t="str">
        <x:v>sanctuary</x:v>
      </x:c>
      <x:c r="G173" s="14" t="str">
        <x:v>Ιδαίο Άντρο</x:v>
      </x:c>
      <x:c r="H173" s="14" t="str">
        <x:v>Idaean Cave Sanctuary</x:v>
      </x:c>
      <x:c r="I173" s="14" t="str">
        <x:v>Ἰδαῖον Ἄντρον</x:v>
      </x:c>
      <x:c r="J173" s="16" t="str">
        <x:v>Ιερό σπήλαιο του Ψηλορείτη με λατρευτική χρήση από τη μινωική εποχή έως τους ρωμαϊκούς χρόνους και παράδοση ανατροφής του Δία.</x:v>
      </x:c>
      <x:c r="K173" s="16" t="str">
        <x:v>Sacred cave of Psiloritis with cult use from the Minoan era to Roman times and a tradition of raising Zeus.</x:v>
      </x:c>
      <x:c r="L173" s="14"/>
      <x:c r="M173" s="14" t="str">
        <x:v>cave</x:v>
      </x:c>
      <x:c r="N173" s="14"/>
      <x:c r="O173" s="14" t="str">
        <x:v>region-krete</x:v>
      </x:c>
      <x:c r="P173" s="14" t="str">
        <x:v>approximate</x:v>
      </x:c>
      <x:c r="Q173" s="14" t="str">
        <x:v>high</x:v>
      </x:c>
      <x:c r="R173" s="14" t="str">
        <x:v>high</x:v>
      </x:c>
      <x:c r="S173" s="14" t="str">
        <x:v>reviewed</x:v>
      </x:c>
      <x:c r="T173" s="14" t="str">
        <x:v>machine_assisted_reviewed</x:v>
      </x:c>
      <x:c r="U173" s="14" t="str">
        <x:v>1.0.0</x:v>
      </x:c>
      <x:c r="V173" s="14" t="str">
        <x:v>archaios_ellinikos_kosmos_entities_v0_1.csv</x:v>
      </x:c>
      <x:c r="W173" s="17" t="n">
        <x:v>46248</x:v>
      </x:c>
      <x:c r="X173" s="14" t="str">
        <x:v>Codex-assisted normalization of user research</x:v>
      </x:c>
    </x:row>
    <x:row r="174" ht="44" customHeight="1">
      <x:c r="A174" s="14" t="str">
        <x:v>sanctuary-crete-iuktas-peak-sanctuary</x:v>
      </x:c>
      <x:c r="B174" s="14" t="str">
        <x:v>sanctuary-crete-iuktas-peak-sanctuary</x:v>
      </x:c>
      <x:c r="C174" s="14" t="str">
        <x:v>sanctuary</x:v>
      </x:c>
      <x:c r="D174" s="14" t="str">
        <x:v>peak_sanctuary</x:v>
      </x:c>
      <x:c r="E174" s="14" t="str">
        <x:v>peak</x:v>
      </x:c>
      <x:c r="F174" s="14" t="str">
        <x:v>sanctuary</x:v>
      </x:c>
      <x:c r="G174" s="14" t="str">
        <x:v>Ιερό κορυφής Γιούχτα</x:v>
      </x:c>
      <x:c r="H174" s="14" t="str">
        <x:v>Iuktas Peak Sanctuary</x:v>
      </x:c>
      <x:c r="I174" s="14" t="str">
        <x:v>Ἰυκτός</x:v>
      </x:c>
      <x:c r="J174" s="16" t="str">
        <x:v>Μινωικό ιερό κορυφής που εξυπηρετούσε την περιοχή της Κνωσού και χρησιμοποιήθηκε σε όλη σχεδόν την Εποχή του Χαλκού.</x:v>
      </x:c>
      <x:c r="K174" s="16" t="str">
        <x:v>Minoan summit sanctuary that served the Knossos area and was used throughout almost the entire Bronze Age.</x:v>
      </x:c>
      <x:c r="L174" s="14"/>
      <x:c r="M174" s="14" t="str">
        <x:v>peak</x:v>
      </x:c>
      <x:c r="N174" s="14"/>
      <x:c r="O174" s="14" t="str">
        <x:v>region-krete</x:v>
      </x:c>
      <x:c r="P174" s="14" t="str">
        <x:v>approximate</x:v>
      </x:c>
      <x:c r="Q174" s="14" t="str">
        <x:v>high</x:v>
      </x:c>
      <x:c r="R174" s="14" t="str">
        <x:v>high</x:v>
      </x:c>
      <x:c r="S174" s="14" t="str">
        <x:v>reviewed</x:v>
      </x:c>
      <x:c r="T174" s="14" t="str">
        <x:v>machine_assisted_reviewed</x:v>
      </x:c>
      <x:c r="U174" s="14" t="str">
        <x:v>1.0.0</x:v>
      </x:c>
      <x:c r="V174" s="14" t="str">
        <x:v>archaios_ellinikos_kosmos_entities_v0_1.csv</x:v>
      </x:c>
      <x:c r="W174" s="17" t="n">
        <x:v>46248</x:v>
      </x:c>
      <x:c r="X174" s="14" t="str">
        <x:v>Codex-assisted normalization of user research</x:v>
      </x:c>
    </x:row>
    <x:row r="175" ht="44" customHeight="1">
      <x:c r="A175" s="14" t="str">
        <x:v>sanctuary-croton-hera-lacinia-sanctuary</x:v>
      </x:c>
      <x:c r="B175" s="14" t="str">
        <x:v>sanctuary-croton-hera-lacinia-sanctuary</x:v>
      </x:c>
      <x:c r="C175" s="14" t="str">
        <x:v>sanctuary</x:v>
      </x:c>
      <x:c r="D175" s="14" t="str">
        <x:v>cult_place</x:v>
      </x:c>
      <x:c r="E175" s="14" t="str">
        <x:v>federal</x:v>
      </x:c>
      <x:c r="F175" s="14" t="str">
        <x:v>sanctuary</x:v>
      </x:c>
      <x:c r="G175" s="14" t="str">
        <x:v>Ιερό της Ήρας Λακινίας</x:v>
      </x:c>
      <x:c r="H175" s="14" t="str">
        <x:v>Sanctuary of Hera Lacinia</x:v>
      </x:c>
      <x:c r="I175" s="14" t="str">
        <x:v>Ἡραῖον Λακίνιον</x:v>
      </x:c>
      <x:c r="J175" s="16" t="str">
        <x:v>Μεγάλο παράκτιο ιερό της επικράτειας του Κρότωνα και σημείο αναφοράς των Ιταλιωτών, σήμερα γνωστό από τη μοναδική όρθια κολόνα του ναού.</x:v>
      </x:c>
      <x:c r="K175" s="16" t="str">
        <x:v>Great coastal sanctuary of the territory of Croton and reference point of the Italians, known today by the unique standing pillar of the temple.</x:v>
      </x:c>
      <x:c r="L175" s="14" t="str">
        <x:v>federal</x:v>
      </x:c>
      <x:c r="M175" s="14"/>
      <x:c r="N175" s="14"/>
      <x:c r="O175" s="14" t="str">
        <x:v>region-brettia</x:v>
      </x:c>
      <x:c r="P175" s="14" t="str">
        <x:v>approximate</x:v>
      </x:c>
      <x:c r="Q175" s="14" t="str">
        <x:v>high</x:v>
      </x:c>
      <x:c r="R175" s="14" t="str">
        <x:v>high</x:v>
      </x:c>
      <x:c r="S175" s="14" t="str">
        <x:v>reviewed</x:v>
      </x:c>
      <x:c r="T175" s="14" t="str">
        <x:v>machine_assisted_reviewed</x:v>
      </x:c>
      <x:c r="U175" s="14" t="str">
        <x:v>1.0.0</x:v>
      </x:c>
      <x:c r="V175" s="14" t="str">
        <x:v>archaios_ellinikos_kosmos_entities_v0_1.csv</x:v>
      </x:c>
      <x:c r="W175" s="17" t="n">
        <x:v>46248</x:v>
      </x:c>
      <x:c r="X175" s="14" t="str">
        <x:v>Codex-assisted normalization of user research</x:v>
      </x:c>
    </x:row>
    <x:row r="176" ht="44" customHeight="1">
      <x:c r="A176" s="14" t="str">
        <x:v>sanctuary-cyrene-apollo-sanctuary</x:v>
      </x:c>
      <x:c r="B176" s="14" t="str">
        <x:v>sanctuary-cyrene-apollo-sanctuary</x:v>
      </x:c>
      <x:c r="C176" s="14" t="str">
        <x:v>sanctuary</x:v>
      </x:c>
      <x:c r="D176" s="14" t="str">
        <x:v>cult_place</x:v>
      </x:c>
      <x:c r="E176" s="14" t="str">
        <x:v>urban</x:v>
      </x:c>
      <x:c r="F176" s="14" t="str">
        <x:v>sanctuary</x:v>
      </x:c>
      <x:c r="G176" s="14" t="str">
        <x:v>Ιερό του Απόλλωνα στην Κυρήνη</x:v>
      </x:c>
      <x:c r="H176" s="14" t="str">
        <x:v>Sanctuary of Apollo at Cyrene</x:v>
      </x:c>
      <x:c r="I176" s="14" t="str">
        <x:v>Ἀπόλλωνος Καρνείου ἱερόν</x:v>
      </x:c>
      <x:c r="J176" s="16" t="str">
        <x:v>Το αρχαιότερο μεγάλο ιερό της Κυρήνης σε κοιλάδα με πηγή, ναούς, βωμούς και κτίρια που αναπτύχθηκαν από την αρχαϊκή έως τη ρωμαϊκή εποχή.</x:v>
      </x:c>
      <x:c r="K176" s="16" t="str">
        <x:v>The oldest large sanctuary of Cyrene in a valley with a spring, temples, altars and buildings developed from the Archaic to the Roman era.</x:v>
      </x:c>
      <x:c r="L176" s="14"/>
      <x:c r="M176" s="14" t="str">
        <x:v>urban</x:v>
      </x:c>
      <x:c r="N176" s="14"/>
      <x:c r="O176" s="14" t="str">
        <x:v>region-kyrenaike</x:v>
      </x:c>
      <x:c r="P176" s="14" t="str">
        <x:v>approximate</x:v>
      </x:c>
      <x:c r="Q176" s="14" t="str">
        <x:v>high</x:v>
      </x:c>
      <x:c r="R176" s="14" t="str">
        <x:v>high</x:v>
      </x:c>
      <x:c r="S176" s="14" t="str">
        <x:v>reviewed</x:v>
      </x:c>
      <x:c r="T176" s="14" t="str">
        <x:v>machine_assisted_reviewed</x:v>
      </x:c>
      <x:c r="U176" s="14" t="str">
        <x:v>1.0.0</x:v>
      </x:c>
      <x:c r="V176" s="14" t="str">
        <x:v>archaios_ellinikos_kosmos_entities_v0_1.csv</x:v>
      </x:c>
      <x:c r="W176" s="17" t="n">
        <x:v>46248</x:v>
      </x:c>
      <x:c r="X176" s="14" t="str">
        <x:v>Codex-assisted normalization of user research</x:v>
      </x:c>
    </x:row>
    <x:row r="177" ht="44" customHeight="1">
      <x:c r="A177" s="14" t="str">
        <x:v>sanctuary-cyrene-zeus-sanctuary</x:v>
      </x:c>
      <x:c r="B177" s="14" t="str">
        <x:v>sanctuary-cyrene-zeus-sanctuary</x:v>
      </x:c>
      <x:c r="C177" s="14" t="str">
        <x:v>sanctuary</x:v>
      </x:c>
      <x:c r="D177" s="14" t="str">
        <x:v>cult_place</x:v>
      </x:c>
      <x:c r="E177" s="14" t="str">
        <x:v>urban</x:v>
      </x:c>
      <x:c r="F177" s="14" t="str">
        <x:v>sanctuary</x:v>
      </x:c>
      <x:c r="G177" s="14" t="str">
        <x:v>Ιερό του Διός στην Κυρήνη</x:v>
      </x:c>
      <x:c r="H177" s="14" t="str">
        <x:v>Temple of Zeus at Cyrene</x:v>
      </x:c>
      <x:c r="I177" s="14" t="str">
        <x:v>Διὸς ἱερόν</x:v>
      </x:c>
      <x:c r="J177" s="16" t="str">
        <x:v>Μνημειακός δωρικός ναός του Δία στην Κυρήνη, από τους μεγαλύτερους του ελληνικού κόσμου, με ελληνιστικές και ρωμαϊκές ανακατασκευές.</x:v>
      </x:c>
      <x:c r="K177" s="16" t="str">
        <x:v>Monumental Doric temple of Zeus in Kyrenia, one of the largest in the Greek world, with Hellenistic and Roman reconstructions.</x:v>
      </x:c>
      <x:c r="L177" s="14"/>
      <x:c r="M177" s="14" t="str">
        <x:v>urban</x:v>
      </x:c>
      <x:c r="N177" s="14"/>
      <x:c r="O177" s="14" t="str">
        <x:v>region-kyrenaike</x:v>
      </x:c>
      <x:c r="P177" s="14" t="str">
        <x:v>approximate</x:v>
      </x:c>
      <x:c r="Q177" s="14" t="str">
        <x:v>high</x:v>
      </x:c>
      <x:c r="R177" s="14" t="str">
        <x:v>high</x:v>
      </x:c>
      <x:c r="S177" s="14" t="str">
        <x:v>reviewed</x:v>
      </x:c>
      <x:c r="T177" s="14" t="str">
        <x:v>machine_assisted_reviewed</x:v>
      </x:c>
      <x:c r="U177" s="14" t="str">
        <x:v>1.0.0</x:v>
      </x:c>
      <x:c r="V177" s="14" t="str">
        <x:v>archaios_ellinikos_kosmos_entities_v0_1.csv</x:v>
      </x:c>
      <x:c r="W177" s="17" t="n">
        <x:v>46248</x:v>
      </x:c>
      <x:c r="X177" s="14" t="str">
        <x:v>Codex-assisted normalization of user research</x:v>
      </x:c>
    </x:row>
    <x:row r="178" ht="44" customHeight="1">
      <x:c r="A178" s="14" t="str">
        <x:v>sanctuary-delos-apollo-sanctuary</x:v>
      </x:c>
      <x:c r="B178" s="14" t="str">
        <x:v>sanctuary-delos-apollo-sanctuary</x:v>
      </x:c>
      <x:c r="C178" s="14" t="str">
        <x:v>sanctuary</x:v>
      </x:c>
      <x:c r="D178" s="14" t="str">
        <x:v>cult_place</x:v>
      </x:c>
      <x:c r="E178" s="14" t="str">
        <x:v>panhellenic</x:v>
      </x:c>
      <x:c r="F178" s="14" t="str">
        <x:v>sanctuary</x:v>
      </x:c>
      <x:c r="G178" s="14" t="str">
        <x:v>Ιερό του Απόλλωνα στη Δήλο</x:v>
      </x:c>
      <x:c r="H178" s="14" t="str">
        <x:v>Sanctuary of Apollo on Delos</x:v>
      </x:c>
      <x:c r="I178" s="14" t="str">
        <x:v>Δῆλος</x:v>
      </x:c>
      <x:c r="J178" s="16" t="str">
        <x:v>Μεγάλο νησιωτικό ιερό στο μυθικό γενέθλιο τόπο του Απόλλωνα και της Αρτέμιδος, με ναούς, θησαυρούς και μνημειακή πομπική διαδρομή.</x:v>
      </x:c>
      <x:c r="K178" s="16" t="str">
        <x:v>A major island sanctuary at the mythical birthplace of Apollo and Artemis, with temples, treasuries and a monumental processional way.</x:v>
      </x:c>
      <x:c r="L178" s="14" t="str">
        <x:v>panhellenic</x:v>
      </x:c>
      <x:c r="M178" s="14"/>
      <x:c r="N178" s="14"/>
      <x:c r="O178" s="14" t="str">
        <x:v>region-kyklades</x:v>
      </x:c>
      <x:c r="P178" s="14" t="str">
        <x:v>approximate</x:v>
      </x:c>
      <x:c r="Q178" s="14" t="str">
        <x:v>high</x:v>
      </x:c>
      <x:c r="R178" s="14" t="str">
        <x:v>high</x:v>
      </x:c>
      <x:c r="S178" s="14" t="str">
        <x:v>reviewed</x:v>
      </x:c>
      <x:c r="T178" s="14" t="str">
        <x:v>machine_assisted_reviewed</x:v>
      </x:c>
      <x:c r="U178" s="14" t="str">
        <x:v>1.0.0</x:v>
      </x:c>
      <x:c r="V178" s="14" t="str">
        <x:v>archaios_ellinikos_kosmos_entities_v0_1.csv</x:v>
      </x:c>
      <x:c r="W178" s="17" t="n">
        <x:v>46248</x:v>
      </x:c>
      <x:c r="X178" s="14" t="str">
        <x:v>Codex-assisted normalization of user research</x:v>
      </x:c>
    </x:row>
    <x:row r="179" ht="44" customHeight="1">
      <x:c r="A179" s="14" t="str">
        <x:v>sanctuary-delphi-apollo-sanctuary</x:v>
      </x:c>
      <x:c r="B179" s="14" t="str">
        <x:v>sanctuary-delphi-apollo-sanctuary</x:v>
      </x:c>
      <x:c r="C179" s="14" t="str">
        <x:v>sanctuary</x:v>
      </x:c>
      <x:c r="D179" s="14" t="str">
        <x:v>oracle</x:v>
      </x:c>
      <x:c r="E179" s="14" t="str">
        <x:v>panhellenic_oracle</x:v>
      </x:c>
      <x:c r="F179" s="14" t="str">
        <x:v>sanctuary</x:v>
      </x:c>
      <x:c r="G179" s="14" t="str">
        <x:v>Ιερό του Απόλλωνα στους Δελφούς</x:v>
      </x:c>
      <x:c r="H179" s="14" t="str">
        <x:v>Sanctuary of Apollo at Delphi</x:v>
      </x:c>
      <x:c r="I179" s="14" t="str">
        <x:v>Δελφοί</x:v>
      </x:c>
      <x:c r="J179" s="16" t="str">
        <x:v>Πανελλήνιο ιερό και μαντείο του Απόλλωνα, οργανωμένο γύρω από τον ναό, την Κασταλία και τους θησαυρούς των πόλεων.</x:v>
      </x:c>
      <x:c r="K179" s="16" t="str">
        <x:v>Panhellenic sanctuary and oracle of Apollo, organized around the temple, Castalia and the treasures of the cities.</x:v>
      </x:c>
      <x:c r="L179" s="14" t="str">
        <x:v>panhellenic</x:v>
      </x:c>
      <x:c r="M179" s="14"/>
      <x:c r="N179" s="14" t="str">
        <x:v>oracle</x:v>
      </x:c>
      <x:c r="O179" s="14" t="str">
        <x:v>region-phokida</x:v>
      </x:c>
      <x:c r="P179" s="14" t="str">
        <x:v>approximate</x:v>
      </x:c>
      <x:c r="Q179" s="14" t="str">
        <x:v>high</x:v>
      </x:c>
      <x:c r="R179" s="14" t="str">
        <x:v>high</x:v>
      </x:c>
      <x:c r="S179" s="14" t="str">
        <x:v>reviewed</x:v>
      </x:c>
      <x:c r="T179" s="14" t="str">
        <x:v>machine_assisted_reviewed</x:v>
      </x:c>
      <x:c r="U179" s="14" t="str">
        <x:v>1.0.0</x:v>
      </x:c>
      <x:c r="V179" s="14" t="str">
        <x:v>archaios_ellinikos_kosmos_entities_v0_1.csv</x:v>
      </x:c>
      <x:c r="W179" s="17" t="n">
        <x:v>46248</x:v>
      </x:c>
      <x:c r="X179" s="14" t="str">
        <x:v>Codex-assisted normalization of user research</x:v>
      </x:c>
    </x:row>
    <x:row r="180" ht="44" customHeight="1">
      <x:c r="A180" s="14" t="str">
        <x:v>sanctuary-delphi-athena-pronaia-sanctuary</x:v>
      </x:c>
      <x:c r="B180" s="14" t="str">
        <x:v>sanctuary-delphi-athena-pronaia-sanctuary</x:v>
      </x:c>
      <x:c r="C180" s="14" t="str">
        <x:v>sanctuary</x:v>
      </x:c>
      <x:c r="D180" s="14" t="str">
        <x:v>cult_place</x:v>
      </x:c>
      <x:c r="E180" s="14" t="str">
        <x:v>rural</x:v>
      </x:c>
      <x:c r="F180" s="14" t="str">
        <x:v>sanctuary</x:v>
      </x:c>
      <x:c r="G180" s="14" t="str">
        <x:v>Ιερό της Αθηνάς Προναίας στους Δελφούς</x:v>
      </x:c>
      <x:c r="H180" s="14" t="str">
        <x:v>Sanctuary of Athena Pronaia at Delphi</x:v>
      </x:c>
      <x:c r="I180" s="14" t="str">
        <x:v>Ἀθηνᾶ Προναία</x:v>
      </x:c>
      <x:c r="J180" s="16" t="str">
        <x:v>Ξεχωριστό τέμενος νοτιοανατολικά του ιερού του Απόλλωνα, με διαδοχικούς ναούς, θησαυρούς και τη γνωστή θόλο.</x:v>
      </x:c>
      <x:c r="K180" s="16" t="str">
        <x:v>A separate sacred precinct southeast of Apollo’s sanctuary, with successive temples, treasuries and the celebrated Tholos.</x:v>
      </x:c>
      <x:c r="L180" s="14"/>
      <x:c r="M180" s="14" t="str">
        <x:v>rural</x:v>
      </x:c>
      <x:c r="N180" s="14"/>
      <x:c r="O180" s="14" t="str">
        <x:v>region-phokida</x:v>
      </x:c>
      <x:c r="P180" s="14" t="str">
        <x:v>approximate</x:v>
      </x:c>
      <x:c r="Q180" s="14" t="str">
        <x:v>high</x:v>
      </x:c>
      <x:c r="R180" s="14" t="str">
        <x:v>high</x:v>
      </x:c>
      <x:c r="S180" s="14" t="str">
        <x:v>reviewed</x:v>
      </x:c>
      <x:c r="T180" s="14" t="str">
        <x:v>machine_assisted_reviewed</x:v>
      </x:c>
      <x:c r="U180" s="14" t="str">
        <x:v>1.0.0</x:v>
      </x:c>
      <x:c r="V180" s="14" t="str">
        <x:v>archaios_ellinikos_kosmos_entities_v0_1.csv</x:v>
      </x:c>
      <x:c r="W180" s="17" t="n">
        <x:v>46248</x:v>
      </x:c>
      <x:c r="X180" s="14" t="str">
        <x:v>Codex-assisted normalization of user research</x:v>
      </x:c>
    </x:row>
    <x:row r="181" ht="44" customHeight="1">
      <x:c r="A181" s="14" t="str">
        <x:v>sanctuary-despotiko-apollo-sanctuary</x:v>
      </x:c>
      <x:c r="B181" s="14" t="str">
        <x:v>sanctuary-despotiko-apollo-sanctuary</x:v>
      </x:c>
      <x:c r="C181" s="14" t="str">
        <x:v>sanctuary</x:v>
      </x:c>
      <x:c r="D181" s="14" t="str">
        <x:v>cult_place</x:v>
      </x:c>
      <x:c r="E181" s="14" t="str">
        <x:v>rural</x:v>
      </x:c>
      <x:c r="F181" s="14" t="str">
        <x:v>sanctuary</x:v>
      </x:c>
      <x:c r="G181" s="14" t="str">
        <x:v>Ιερό του Απόλλωνα στο Δεσποτικό</x:v>
      </x:c>
      <x:c r="H181" s="14" t="str">
        <x:v>Sanctuary of Apollo at Despotiko</x:v>
      </x:c>
      <x:c r="I181" s="14"/>
      <x:c r="J181" s="16" t="str">
        <x:v>Εκτεταμένο αρχαϊκό νησιωτικό ιερό με ναό, εστιατόρια και βοηθητικά κτίρια, που συνέχισε να χρησιμοποιείται έως τους ρωμαϊκούς χρόνους.</x:v>
      </x:c>
      <x:c r="K181" s="16" t="str">
        <x:v>An extensive Archaic island sanctuary with a temple, dining halls and service buildings, used into the Roman period.</x:v>
      </x:c>
      <x:c r="L181" s="14"/>
      <x:c r="M181" s="14" t="str">
        <x:v>rural</x:v>
      </x:c>
      <x:c r="N181" s="14"/>
      <x:c r="O181" s="14" t="str">
        <x:v>region-kyklades</x:v>
      </x:c>
      <x:c r="P181" s="14" t="str">
        <x:v>approximate</x:v>
      </x:c>
      <x:c r="Q181" s="14" t="str">
        <x:v>high</x:v>
      </x:c>
      <x:c r="R181" s="14" t="str">
        <x:v>high</x:v>
      </x:c>
      <x:c r="S181" s="14" t="str">
        <x:v>reviewed</x:v>
      </x:c>
      <x:c r="T181" s="14" t="str">
        <x:v>machine_assisted_reviewed</x:v>
      </x:c>
      <x:c r="U181" s="14" t="str">
        <x:v>1.0.0</x:v>
      </x:c>
      <x:c r="V181" s="14" t="str">
        <x:v>archaios_ellinikos_kosmos_entities_v0_1.csv</x:v>
      </x:c>
      <x:c r="W181" s="17" t="n">
        <x:v>46248</x:v>
      </x:c>
      <x:c r="X181" s="14" t="str">
        <x:v>Codex-assisted normalization of user research</x:v>
      </x:c>
    </x:row>
    <x:row r="182" ht="44" customHeight="1">
      <x:c r="A182" s="14" t="str">
        <x:v>sanctuary-didyma-apollo-oracle</x:v>
      </x:c>
      <x:c r="B182" s="14" t="str">
        <x:v>sanctuary-didyma-apollo-oracle</x:v>
      </x:c>
      <x:c r="C182" s="14" t="str">
        <x:v>sanctuary</x:v>
      </x:c>
      <x:c r="D182" s="14" t="str">
        <x:v>oracle</x:v>
      </x:c>
      <x:c r="E182" s="14" t="str">
        <x:v>oracle</x:v>
      </x:c>
      <x:c r="F182" s="14" t="str">
        <x:v>sanctuary</x:v>
      </x:c>
      <x:c r="G182" s="14" t="str">
        <x:v>Μαντείο του Απόλλωνα στα Δίδυμα</x:v>
      </x:c>
      <x:c r="H182" s="14" t="str">
        <x:v>Oracle of Apollo at Didyma</x:v>
      </x:c>
      <x:c r="I182" s="14" t="str">
        <x:v>Δίδυμα</x:v>
      </x:c>
      <x:c r="J182" s="16" t="str">
        <x:v>Μεγάλο μαντείο της Μιλήτου, με ιερή πηγή και γιγαντιαίο ελληνιστικό ναό που έμεινε ημιτελής.</x:v>
      </x:c>
      <x:c r="K182" s="16" t="str">
        <x:v>Great oracle of Miletus, with a holy spring and a gigantic Hellenistic temple that was left unfinished.</x:v>
      </x:c>
      <x:c r="L182" s="14"/>
      <x:c r="M182" s="14"/>
      <x:c r="N182" s="14" t="str">
        <x:v>oracle</x:v>
      </x:c>
      <x:c r="O182" s="14" t="str">
        <x:v>region-ionia</x:v>
      </x:c>
      <x:c r="P182" s="14" t="str">
        <x:v>approximate</x:v>
      </x:c>
      <x:c r="Q182" s="14" t="str">
        <x:v>high</x:v>
      </x:c>
      <x:c r="R182" s="14" t="str">
        <x:v>high</x:v>
      </x:c>
      <x:c r="S182" s="14" t="str">
        <x:v>reviewed</x:v>
      </x:c>
      <x:c r="T182" s="14" t="str">
        <x:v>machine_assisted_reviewed</x:v>
      </x:c>
      <x:c r="U182" s="14" t="str">
        <x:v>1.0.0</x:v>
      </x:c>
      <x:c r="V182" s="14" t="str">
        <x:v>archaios_ellinikos_kosmos_entities_v0_1.csv</x:v>
      </x:c>
      <x:c r="W182" s="17" t="n">
        <x:v>46248</x:v>
      </x:c>
      <x:c r="X182" s="14" t="str">
        <x:v>Codex-assisted normalization of user research</x:v>
      </x:c>
    </x:row>
    <x:row r="183" ht="44" customHeight="1">
      <x:c r="A183" s="14" t="str">
        <x:v>sanctuary-dodona-zeus-oracle</x:v>
      </x:c>
      <x:c r="B183" s="14" t="str">
        <x:v>sanctuary-dodona-zeus-oracle</x:v>
      </x:c>
      <x:c r="C183" s="14" t="str">
        <x:v>sanctuary</x:v>
      </x:c>
      <x:c r="D183" s="14" t="str">
        <x:v>oracle</x:v>
      </x:c>
      <x:c r="E183" s="14" t="str">
        <x:v>oracle</x:v>
      </x:c>
      <x:c r="F183" s="14" t="str">
        <x:v>sanctuary</x:v>
      </x:c>
      <x:c r="G183" s="14" t="str">
        <x:v>Μαντείο του Δία στη Δωδώνη</x:v>
      </x:c>
      <x:c r="H183" s="14" t="str">
        <x:v>Oracle of Zeus at Dodona</x:v>
      </x:c>
      <x:c r="I183" s="14" t="str">
        <x:v>Δωδώνη</x:v>
      </x:c>
      <x:c r="J183" s="16" t="str">
        <x:v>Αρχαίο μαντείο όπου οι χρησμοί συνδέονταν με την ιερή δρυ και αργότερα με οργανωμένο συγκρότημα ναών και θεάτρου.</x:v>
      </x:c>
      <x:c r="K183" s="16" t="str">
        <x:v>Ancient oracle where the oracles were connected to the sacred oak and later to an organized complex of temples and theater.</x:v>
      </x:c>
      <x:c r="L183" s="14"/>
      <x:c r="M183" s="14"/>
      <x:c r="N183" s="14" t="str">
        <x:v>oracle</x:v>
      </x:c>
      <x:c r="O183" s="14" t="str">
        <x:v>region-epeiros</x:v>
      </x:c>
      <x:c r="P183" s="14" t="str">
        <x:v>approximate</x:v>
      </x:c>
      <x:c r="Q183" s="14" t="str">
        <x:v>high</x:v>
      </x:c>
      <x:c r="R183" s="14" t="str">
        <x:v>high</x:v>
      </x:c>
      <x:c r="S183" s="14" t="str">
        <x:v>reviewed</x:v>
      </x:c>
      <x:c r="T183" s="14" t="str">
        <x:v>machine_assisted_reviewed</x:v>
      </x:c>
      <x:c r="U183" s="14" t="str">
        <x:v>1.0.0</x:v>
      </x:c>
      <x:c r="V183" s="14" t="str">
        <x:v>archaios_ellinikos_kosmos_entities_v0_1.csv</x:v>
      </x:c>
      <x:c r="W183" s="17" t="n">
        <x:v>46248</x:v>
      </x:c>
      <x:c r="X183" s="14" t="str">
        <x:v>Codex-assisted normalization of user research</x:v>
      </x:c>
    </x:row>
    <x:row r="184" ht="44" customHeight="1">
      <x:c r="A184" s="14" t="str">
        <x:v>sanctuary-eleusis-demeter-sanctuary</x:v>
      </x:c>
      <x:c r="B184" s="14" t="str">
        <x:v>sanctuary-eleusis-demeter-sanctuary</x:v>
      </x:c>
      <x:c r="C184" s="14" t="str">
        <x:v>sanctuary</x:v>
      </x:c>
      <x:c r="D184" s="14" t="str">
        <x:v>mystery_sanctuary</x:v>
      </x:c>
      <x:c r="E184" s="14" t="str">
        <x:v>mystery</x:v>
      </x:c>
      <x:c r="F184" s="14" t="str">
        <x:v>sanctuary</x:v>
      </x:c>
      <x:c r="G184" s="14" t="str">
        <x:v>Ιερό της Δήμητρας στην Ελευσίνα</x:v>
      </x:c>
      <x:c r="H184" s="14" t="str">
        <x:v>Sanctuary of Demeter at Eleusis</x:v>
      </x:c>
      <x:c r="I184" s="14" t="str">
        <x:v>Ἐλευσίς</x:v>
      </x:c>
      <x:c r="J184" s="16" t="str">
        <x:v>Κέντρο των Ελευσινίων Μυστηρίων, με το Τελεστήριο ως κύριο χώρο μύησης και μακραίωνη λατρευτική συνέχεια.</x:v>
      </x:c>
      <x:c r="K184" s="16" t="str">
        <x:v>Centre of the Eleusinian Mysteries, with the Telesterion as the principal initiation hall and a long continuity of cult.</x:v>
      </x:c>
      <x:c r="L184" s="14"/>
      <x:c r="M184" s="14"/>
      <x:c r="N184" s="14" t="str">
        <x:v>mystery</x:v>
      </x:c>
      <x:c r="O184" s="14" t="str">
        <x:v>region-attike</x:v>
      </x:c>
      <x:c r="P184" s="14" t="str">
        <x:v>approximate</x:v>
      </x:c>
      <x:c r="Q184" s="14" t="str">
        <x:v>high</x:v>
      </x:c>
      <x:c r="R184" s="14" t="str">
        <x:v>high</x:v>
      </x:c>
      <x:c r="S184" s="14" t="str">
        <x:v>reviewed</x:v>
      </x:c>
      <x:c r="T184" s="14" t="str">
        <x:v>machine_assisted_reviewed</x:v>
      </x:c>
      <x:c r="U184" s="14" t="str">
        <x:v>1.0.0</x:v>
      </x:c>
      <x:c r="V184" s="14" t="str">
        <x:v>archaios_ellinikos_kosmos_entities_v0_1.csv</x:v>
      </x:c>
      <x:c r="W184" s="17" t="n">
        <x:v>46248</x:v>
      </x:c>
      <x:c r="X184" s="14" t="str">
        <x:v>Codex-assisted normalization of user research</x:v>
      </x:c>
    </x:row>
    <x:row r="185" ht="44" customHeight="1">
      <x:c r="A185" s="14" t="str">
        <x:v>sanctuary-ephesus-artemis-sanctuary</x:v>
      </x:c>
      <x:c r="B185" s="14" t="str">
        <x:v>sanctuary-ephesus-artemis-sanctuary</x:v>
      </x:c>
      <x:c r="C185" s="14" t="str">
        <x:v>sanctuary</x:v>
      </x:c>
      <x:c r="D185" s="14" t="str">
        <x:v>cult_place</x:v>
      </x:c>
      <x:c r="E185" s="14" t="str">
        <x:v>extraurban</x:v>
      </x:c>
      <x:c r="F185" s="14" t="str">
        <x:v>sanctuary</x:v>
      </x:c>
      <x:c r="G185" s="14" t="str">
        <x:v>Αρτεμίσιο Εφέσου</x:v>
      </x:c>
      <x:c r="H185" s="14" t="str">
        <x:v>Artemision of Ephesus</x:v>
      </x:c>
      <x:c r="I185" s="14" t="str">
        <x:v>Ἀρτεμίσιον Ἐφέσου</x:v>
      </x:c>
      <x:c r="J185" s="16" t="str">
        <x:v>Εξωαστικό ιερό της Εφέσιας Αρτέμιδος και ένα από τα Επτά Θαύματα, με διαδοχικούς μνημειακούς ιωνικούς ναούς.</x:v>
      </x:c>
      <x:c r="K185" s="16" t="str">
        <x:v>The extra-urban sanctuary of Ephesian Artemis and one of the Seven Wonders, with successive monumental Ionic temples.</x:v>
      </x:c>
      <x:c r="L185" s="14"/>
      <x:c r="M185" s="14" t="str">
        <x:v>extraurban</x:v>
      </x:c>
      <x:c r="N185" s="14"/>
      <x:c r="O185" s="14" t="str">
        <x:v>region-ionia</x:v>
      </x:c>
      <x:c r="P185" s="14" t="str">
        <x:v>approximate</x:v>
      </x:c>
      <x:c r="Q185" s="14" t="str">
        <x:v>high</x:v>
      </x:c>
      <x:c r="R185" s="14" t="str">
        <x:v>high</x:v>
      </x:c>
      <x:c r="S185" s="14" t="str">
        <x:v>reviewed</x:v>
      </x:c>
      <x:c r="T185" s="14" t="str">
        <x:v>machine_assisted_reviewed</x:v>
      </x:c>
      <x:c r="U185" s="14" t="str">
        <x:v>1.0.0</x:v>
      </x:c>
      <x:c r="V185" s="14" t="str">
        <x:v>archaios_ellinikos_kosmos_entities_v0_1.csv</x:v>
      </x:c>
      <x:c r="W185" s="17" t="n">
        <x:v>46248</x:v>
      </x:c>
      <x:c r="X185" s="14" t="str">
        <x:v>Codex-assisted normalization of user research</x:v>
      </x:c>
    </x:row>
    <x:row r="186" ht="44" customHeight="1">
      <x:c r="A186" s="14" t="str">
        <x:v>sanctuary-epidauros-asklepios-sanctuary</x:v>
      </x:c>
      <x:c r="B186" s="14" t="str">
        <x:v>sanctuary-epidauros-asklepios-sanctuary</x:v>
      </x:c>
      <x:c r="C186" s="14" t="str">
        <x:v>sanctuary</x:v>
      </x:c>
      <x:c r="D186" s="14" t="str">
        <x:v>healing_sanctuary</x:v>
      </x:c>
      <x:c r="E186" s="14" t="str">
        <x:v>healing</x:v>
      </x:c>
      <x:c r="F186" s="14" t="str">
        <x:v>sanctuary</x:v>
      </x:c>
      <x:c r="G186" s="14" t="str">
        <x:v>Ασκληπιείο Επιδαύρου</x:v>
      </x:c>
      <x:c r="H186" s="14" t="str">
        <x:v>Sanctuary of Asklepios at Epidauros</x:v>
      </x:c>
      <x:c r="I186" s="14" t="str">
        <x:v>Ἀσκληπιεῖον Ἐπιδαύρου</x:v>
      </x:c>
      <x:c r="J186" s="16" t="str">
        <x:v>Μεγάλο θεραπευτικό ιερό με άβατο, θόλο, ναό, λουτρικές εγκαταστάσεις και θέατρο, προορισμό προσκυνητών από όλο τον ελληνικό κόσμο.</x:v>
      </x:c>
      <x:c r="K186" s="16" t="str">
        <x:v>A major healing sanctuary with an abaton, Tholos, temple, bathing facilities and theatre, drawing pilgrims from across the Greek world.</x:v>
      </x:c>
      <x:c r="L186" s="14"/>
      <x:c r="M186" s="14"/>
      <x:c r="N186" s="14" t="str">
        <x:v>healing</x:v>
      </x:c>
      <x:c r="O186" s="14" t="str">
        <x:v>region-argolida</x:v>
      </x:c>
      <x:c r="P186" s="14" t="str">
        <x:v>approximate</x:v>
      </x:c>
      <x:c r="Q186" s="14" t="str">
        <x:v>high</x:v>
      </x:c>
      <x:c r="R186" s="14" t="str">
        <x:v>high</x:v>
      </x:c>
      <x:c r="S186" s="14" t="str">
        <x:v>reviewed</x:v>
      </x:c>
      <x:c r="T186" s="14" t="str">
        <x:v>machine_assisted_reviewed</x:v>
      </x:c>
      <x:c r="U186" s="14" t="str">
        <x:v>1.0.0</x:v>
      </x:c>
      <x:c r="V186" s="14" t="str">
        <x:v>archaios_ellinikos_kosmos_entities_v0_1.csv</x:v>
      </x:c>
      <x:c r="W186" s="17" t="n">
        <x:v>46248</x:v>
      </x:c>
      <x:c r="X186" s="14" t="str">
        <x:v>Codex-assisted normalization of user research</x:v>
      </x:c>
    </x:row>
    <x:row r="187" ht="44" customHeight="1">
      <x:c r="A187" s="14" t="str">
        <x:v>sanctuary-foce-del-sele-heraion</x:v>
      </x:c>
      <x:c r="B187" s="14" t="str">
        <x:v>sanctuary-foce-del-sele-heraion</x:v>
      </x:c>
      <x:c r="C187" s="14" t="str">
        <x:v>sanctuary</x:v>
      </x:c>
      <x:c r="D187" s="14" t="str">
        <x:v>cult_place</x:v>
      </x:c>
      <x:c r="E187" s="14" t="str">
        <x:v>rural</x:v>
      </x:c>
      <x:c r="F187" s="14" t="str">
        <x:v>sanctuary</x:v>
      </x:c>
      <x:c r="G187" s="14" t="str">
        <x:v>Ηραίο στις εκβολές του Σέλε</x:v>
      </x:c>
      <x:c r="H187" s="14" t="str">
        <x:v>Heraion at Foce del Sele</x:v>
      </x:c>
      <x:c r="I187" s="14" t="str">
        <x:v>Ἡραῖον Ποσειδωνίας</x:v>
      </x:c>
      <x:c r="J187" s="16" t="str">
        <x:v>Εξωαστικό ιερό της Ποσειδωνίας στις εκβολές του Σέλε, με μεγάλο αρχαϊκό ναό και αφηγηματικές μετόπες.</x:v>
      </x:c>
      <x:c r="K187" s="16" t="str">
        <x:v>An extra-urban sanctuary of Poseidonia at the mouth of the Sele, with a large Archaic temple and narrative metopes.</x:v>
      </x:c>
      <x:c r="L187" s="14"/>
      <x:c r="M187" s="14" t="str">
        <x:v>rural</x:v>
      </x:c>
      <x:c r="N187" s="14"/>
      <x:c r="O187" s="14" t="str">
        <x:v>region-leykania</x:v>
      </x:c>
      <x:c r="P187" s="14" t="str">
        <x:v>approximate</x:v>
      </x:c>
      <x:c r="Q187" s="14" t="str">
        <x:v>high</x:v>
      </x:c>
      <x:c r="R187" s="14" t="str">
        <x:v>high</x:v>
      </x:c>
      <x:c r="S187" s="14" t="str">
        <x:v>reviewed</x:v>
      </x:c>
      <x:c r="T187" s="14" t="str">
        <x:v>machine_assisted_reviewed</x:v>
      </x:c>
      <x:c r="U187" s="14" t="str">
        <x:v>1.0.0</x:v>
      </x:c>
      <x:c r="V187" s="14" t="str">
        <x:v>archaios_ellinikos_kosmos_entities_v0_1.csv</x:v>
      </x:c>
      <x:c r="W187" s="17" t="n">
        <x:v>46248</x:v>
      </x:c>
      <x:c r="X187" s="14" t="str">
        <x:v>Codex-assisted normalization of user research</x:v>
      </x:c>
    </x:row>
    <x:row r="188" ht="44" customHeight="1">
      <x:c r="A188" s="14" t="str">
        <x:v>sanctuary-golgoi-aphrodite-sanctuary</x:v>
      </x:c>
      <x:c r="B188" s="14" t="str">
        <x:v>sanctuary-golgoi-aphrodite-sanctuary</x:v>
      </x:c>
      <x:c r="C188" s="14" t="str">
        <x:v>sanctuary</x:v>
      </x:c>
      <x:c r="D188" s="14" t="str">
        <x:v>cult_place</x:v>
      </x:c>
      <x:c r="E188" s="14" t="str">
        <x:v>urban</x:v>
      </x:c>
      <x:c r="F188" s="14" t="str">
        <x:v>sanctuary</x:v>
      </x:c>
      <x:c r="G188" s="14" t="str">
        <x:v>Ιερό της Αφροδίτης Γολγίας</x:v>
      </x:c>
      <x:c r="H188" s="14" t="str">
        <x:v>Sanctuary of Aphrodite Golgia</x:v>
      </x:c>
      <x:c r="I188" s="14" t="str">
        <x:v>Γόλγοι</x:v>
      </x:c>
      <x:c r="J188" s="16" t="str">
        <x:v>Σημαντικό κυπριακό ιερό της Αφροδίτης στην επικράτεια των Γόλγων, γνωστό από γλυπτά, επιγραφές και αναθήματα.</x:v>
      </x:c>
      <x:c r="K188" s="16" t="str">
        <x:v>An important Cypriot sanctuary of Aphrodite in the territory of Golgoi, known from sculpture, inscriptions and votive offerings.</x:v>
      </x:c>
      <x:c r="L188" s="14"/>
      <x:c r="M188" s="14" t="str">
        <x:v>urban</x:v>
      </x:c>
      <x:c r="N188" s="14"/>
      <x:c r="O188" s="14" t="str">
        <x:v>region-kypros</x:v>
      </x:c>
      <x:c r="P188" s="14" t="str">
        <x:v>approximate</x:v>
      </x:c>
      <x:c r="Q188" s="14" t="str">
        <x:v>medium</x:v>
      </x:c>
      <x:c r="R188" s="14" t="str">
        <x:v>medium</x:v>
      </x:c>
      <x:c r="S188" s="14" t="str">
        <x:v>reviewed</x:v>
      </x:c>
      <x:c r="T188" s="14" t="str">
        <x:v>machine_assisted_reviewed</x:v>
      </x:c>
      <x:c r="U188" s="14" t="str">
        <x:v>1.0.0</x:v>
      </x:c>
      <x:c r="V188" s="14" t="str">
        <x:v>archaios_ellinikos_kosmos_entities_v0_1.csv</x:v>
      </x:c>
      <x:c r="W188" s="17" t="n">
        <x:v>46249</x:v>
      </x:c>
      <x:c r="X188" s="14" t="str">
        <x:v>Codex-assisted scholarly review</x:v>
      </x:c>
    </x:row>
    <x:row r="189" ht="44" customHeight="1">
      <x:c r="A189" s="14" t="str">
        <x:v>sanctuary-gyroulas-demeter-sanctuary</x:v>
      </x:c>
      <x:c r="B189" s="14" t="str">
        <x:v>sanctuary-gyroulas-demeter-sanctuary</x:v>
      </x:c>
      <x:c r="C189" s="14" t="str">
        <x:v>sanctuary</x:v>
      </x:c>
      <x:c r="D189" s="14" t="str">
        <x:v>cult_place</x:v>
      </x:c>
      <x:c r="E189" s="14" t="str">
        <x:v>rural</x:v>
      </x:c>
      <x:c r="F189" s="14" t="str">
        <x:v>sanctuary</x:v>
      </x:c>
      <x:c r="G189" s="14" t="str">
        <x:v>Ιερό Δήμητρας και Απόλλωνα στον Γύρουλα</x:v>
      </x:c>
      <x:c r="H189" s="14" t="str">
        <x:v>Sanctuary of Demeter and Apollo at Gyroulas</x:v>
      </x:c>
      <x:c r="I189" s="14"/>
      <x:c r="J189" s="16" t="str">
        <x:v>Αγροτικό ιερό με μαρμάρινο αρχαϊκό ναό, ιδιαίτερα σημαντικό για την πρώιμη ιωνική αρχιτεκτονική των Κυκλάδων.</x:v>
      </x:c>
      <x:c r="K189" s="16" t="str">
        <x:v>Rural sanctuary with a marble archaic temple, particularly important for the early Ionic architecture of the Cyclades.</x:v>
      </x:c>
      <x:c r="L189" s="14"/>
      <x:c r="M189" s="14" t="str">
        <x:v>rural</x:v>
      </x:c>
      <x:c r="N189" s="14"/>
      <x:c r="O189" s="14" t="str">
        <x:v>region-kyklades</x:v>
      </x:c>
      <x:c r="P189" s="14" t="str">
        <x:v>approximate</x:v>
      </x:c>
      <x:c r="Q189" s="14" t="str">
        <x:v>high</x:v>
      </x:c>
      <x:c r="R189" s="14" t="str">
        <x:v>high</x:v>
      </x:c>
      <x:c r="S189" s="14" t="str">
        <x:v>reviewed</x:v>
      </x:c>
      <x:c r="T189" s="14" t="str">
        <x:v>machine_assisted_reviewed</x:v>
      </x:c>
      <x:c r="U189" s="14" t="str">
        <x:v>1.0.0</x:v>
      </x:c>
      <x:c r="V189" s="14" t="str">
        <x:v>archaios_ellinikos_kosmos_entities_v0_1.csv</x:v>
      </x:c>
      <x:c r="W189" s="17" t="n">
        <x:v>46248</x:v>
      </x:c>
      <x:c r="X189" s="14" t="str">
        <x:v>Codex-assisted normalization of user research</x:v>
      </x:c>
    </x:row>
    <x:row r="190" ht="44" customHeight="1">
      <x:c r="A190" s="14" t="str">
        <x:v>sanctuary-hierapolis-ploutonion</x:v>
      </x:c>
      <x:c r="B190" s="14" t="str">
        <x:v>sanctuary-hierapolis-ploutonion</x:v>
      </x:c>
      <x:c r="C190" s="14" t="str">
        <x:v>sanctuary</x:v>
      </x:c>
      <x:c r="D190" s="14" t="str">
        <x:v>oracle</x:v>
      </x:c>
      <x:c r="E190" s="14" t="str">
        <x:v>oracle</x:v>
      </x:c>
      <x:c r="F190" s="14" t="str">
        <x:v>sanctuary</x:v>
      </x:c>
      <x:c r="G190" s="14" t="str">
        <x:v>Πλουτώνιο Ιεράπολης</x:v>
      </x:c>
      <x:c r="H190" s="14" t="str">
        <x:v>Ploutonion at Hierapolis</x:v>
      </x:c>
      <x:c r="I190" s="14" t="str">
        <x:v>Πλουτώνιον</x:v>
      </x:c>
      <x:c r="J190" s="16" t="str">
        <x:v>Περιφραγμένο χθόνιο ιερό πάνω σε σπήλαιο που εκπέμπει διοξείδιο του άνθρακα, συνδεδεμένο με χρησμούς και τελετουργικές επιδείξεις.</x:v>
      </x:c>
      <x:c r="K190" s="16" t="str">
        <x:v>Walled chthonic sanctuary atop a carbon dioxide-emitting cave, associated with oracles and ritual displays.</x:v>
      </x:c>
      <x:c r="L190" s="14"/>
      <x:c r="M190" s="14"/>
      <x:c r="N190" s="14" t="str">
        <x:v>oracle</x:v>
      </x:c>
      <x:c r="O190" s="14" t="str">
        <x:v>region-phrygia</x:v>
      </x:c>
      <x:c r="P190" s="14" t="str">
        <x:v>approximate</x:v>
      </x:c>
      <x:c r="Q190" s="14" t="str">
        <x:v>high</x:v>
      </x:c>
      <x:c r="R190" s="14" t="str">
        <x:v>high</x:v>
      </x:c>
      <x:c r="S190" s="14" t="str">
        <x:v>reviewed</x:v>
      </x:c>
      <x:c r="T190" s="14" t="str">
        <x:v>machine_assisted_reviewed</x:v>
      </x:c>
      <x:c r="U190" s="14" t="str">
        <x:v>1.0.0</x:v>
      </x:c>
      <x:c r="V190" s="14" t="str">
        <x:v>archaios_ellinikos_kosmos_entities_v0_1.csv</x:v>
      </x:c>
      <x:c r="W190" s="17" t="n">
        <x:v>46248</x:v>
      </x:c>
      <x:c r="X190" s="14" t="str">
        <x:v>Codex-assisted normalization of user research</x:v>
      </x:c>
    </x:row>
    <x:row r="191" ht="44" customHeight="1">
      <x:c r="A191" s="14" t="str">
        <x:v>sanctuary-histria-sacred-zone</x:v>
      </x:c>
      <x:c r="B191" s="14" t="str">
        <x:v>sanctuary-histria-sacred-zone</x:v>
      </x:c>
      <x:c r="C191" s="14" t="str">
        <x:v>sanctuary</x:v>
      </x:c>
      <x:c r="D191" s="14" t="str">
        <x:v>cult_place</x:v>
      </x:c>
      <x:c r="E191" s="14" t="str">
        <x:v>urban</x:v>
      </x:c>
      <x:c r="F191" s="14" t="str">
        <x:v>sanctuary</x:v>
      </x:c>
      <x:c r="G191" s="14" t="str">
        <x:v>Ιερή ζώνη της Ιστρίας</x:v>
      </x:c>
      <x:c r="H191" s="14" t="str">
        <x:v>Sacred Zone of Histria</x:v>
      </x:c>
      <x:c r="I191" s="14" t="str">
        <x:v>Ἰστρίη</x:v>
      </x:c>
      <x:c r="J191" s="16" t="str">
        <x:v>Αστική ιερή ζώνη της μιλησιακής αποικίας με διαδοχικούς ναούς· το σημείο αντιστοιχεί προσεγγιστικά στο αρχαιολογικό σύνολο.</x:v>
      </x:c>
      <x:c r="K191" s="16" t="str">
        <x:v>Urban sacred zone of the Milesian colony with successive temples; the site roughly corresponds to the archaeological assemblage.</x:v>
      </x:c>
      <x:c r="L191" s="14"/>
      <x:c r="M191" s="14" t="str">
        <x:v>urban</x:v>
      </x:c>
      <x:c r="N191" s="14"/>
      <x:c r="O191" s="14" t="str">
        <x:v>region-skythia-mikra</x:v>
      </x:c>
      <x:c r="P191" s="14" t="str">
        <x:v>approximate</x:v>
      </x:c>
      <x:c r="Q191" s="14" t="str">
        <x:v>medium</x:v>
      </x:c>
      <x:c r="R191" s="14" t="str">
        <x:v>medium</x:v>
      </x:c>
      <x:c r="S191" s="14" t="str">
        <x:v>reviewed</x:v>
      </x:c>
      <x:c r="T191" s="14" t="str">
        <x:v>machine_assisted_reviewed</x:v>
      </x:c>
      <x:c r="U191" s="14" t="str">
        <x:v>1.0.0</x:v>
      </x:c>
      <x:c r="V191" s="14" t="str">
        <x:v>archaios_ellinikos_kosmos_entities_v0_1.csv</x:v>
      </x:c>
      <x:c r="W191" s="17" t="n">
        <x:v>46249</x:v>
      </x:c>
      <x:c r="X191" s="14" t="str">
        <x:v>Codex-assisted scholarly review</x:v>
      </x:c>
    </x:row>
    <x:row r="192" ht="44" customHeight="1">
      <x:c r="A192" s="14" t="str">
        <x:v>sanctuary-hyria-dionysos-sanctuary</x:v>
      </x:c>
      <x:c r="B192" s="14" t="str">
        <x:v>sanctuary-hyria-dionysos-sanctuary</x:v>
      </x:c>
      <x:c r="C192" s="14" t="str">
        <x:v>sanctuary</x:v>
      </x:c>
      <x:c r="D192" s="14" t="str">
        <x:v>cult_place</x:v>
      </x:c>
      <x:c r="E192" s="14" t="str">
        <x:v>rural</x:v>
      </x:c>
      <x:c r="F192" s="14" t="str">
        <x:v>sanctuary</x:v>
      </x:c>
      <x:c r="G192" s="14" t="str">
        <x:v>Ιερό του Διονύσου στα Ύρια Νάξου</x:v>
      </x:c>
      <x:c r="H192" s="14" t="str">
        <x:v>Sanctuary of Dionysos at Hyria</x:v>
      </x:c>
      <x:c r="I192" s="14" t="str">
        <x:v>Ὕρια</x:v>
      </x:c>
      <x:c r="J192" s="16" t="str">
        <x:v>Ιερό με τέσσερις διαδοχικές οικοδομικές φάσεις, σημαντικό για την εξέλιξη της νησιωτικής μνημειακής αρχιτεκτονικής.</x:v>
      </x:c>
      <x:c r="K192" s="16" t="str">
        <x:v>Sanctuary with four successive building phases, important for the evolution of the island's monumental architecture.</x:v>
      </x:c>
      <x:c r="L192" s="14"/>
      <x:c r="M192" s="14" t="str">
        <x:v>rural</x:v>
      </x:c>
      <x:c r="N192" s="14"/>
      <x:c r="O192" s="14" t="str">
        <x:v>region-kyklades</x:v>
      </x:c>
      <x:c r="P192" s="14" t="str">
        <x:v>approximate</x:v>
      </x:c>
      <x:c r="Q192" s="14" t="str">
        <x:v>high</x:v>
      </x:c>
      <x:c r="R192" s="14" t="str">
        <x:v>high</x:v>
      </x:c>
      <x:c r="S192" s="14" t="str">
        <x:v>reviewed</x:v>
      </x:c>
      <x:c r="T192" s="14" t="str">
        <x:v>machine_assisted_reviewed</x:v>
      </x:c>
      <x:c r="U192" s="14" t="str">
        <x:v>1.0.0</x:v>
      </x:c>
      <x:c r="V192" s="14" t="str">
        <x:v>archaios_ellinikos_kosmos_entities_v0_1.csv</x:v>
      </x:c>
      <x:c r="W192" s="17" t="n">
        <x:v>46248</x:v>
      </x:c>
      <x:c r="X192" s="14" t="str">
        <x:v>Codex-assisted normalization of user research</x:v>
      </x:c>
    </x:row>
    <x:row r="193" ht="44" customHeight="1">
      <x:c r="A193" s="14" t="str">
        <x:v>sanctuary-isthmia-poseidon-sanctuary</x:v>
      </x:c>
      <x:c r="B193" s="14" t="str">
        <x:v>sanctuary-isthmia-poseidon-sanctuary</x:v>
      </x:c>
      <x:c r="C193" s="14" t="str">
        <x:v>sanctuary</x:v>
      </x:c>
      <x:c r="D193" s="14" t="str">
        <x:v>cult_place</x:v>
      </x:c>
      <x:c r="E193" s="14" t="str">
        <x:v>panhellenic</x:v>
      </x:c>
      <x:c r="F193" s="14" t="str">
        <x:v>sanctuary</x:v>
      </x:c>
      <x:c r="G193" s="14" t="str">
        <x:v>Ιερό του Ποσειδώνα στα Ίσθμια</x:v>
      </x:c>
      <x:c r="H193" s="14" t="str">
        <x:v>Sanctuary of Poseidon at Isthmia</x:v>
      </x:c>
      <x:c r="I193" s="14" t="str">
        <x:v>Ἴσθμια</x:v>
      </x:c>
      <x:c r="J193" s="16" t="str">
        <x:v>Πανελλήνιο ιερό στον Ισθμό της Κορίνθου και τόπος τέλεσης των Ισθμίων, με ναό, βωμούς, στάδιο και θέατρο.</x:v>
      </x:c>
      <x:c r="K193" s="16" t="str">
        <x:v>A Panhellenic sanctuary on the Isthmus of Corinth and venue of the Isthmian Games, with a temple, altars, stadium and theatre.</x:v>
      </x:c>
      <x:c r="L193" s="14" t="str">
        <x:v>panhellenic</x:v>
      </x:c>
      <x:c r="M193" s="14"/>
      <x:c r="N193" s="14"/>
      <x:c r="O193" s="14" t="str">
        <x:v>region-korinthia</x:v>
      </x:c>
      <x:c r="P193" s="14" t="str">
        <x:v>approximate</x:v>
      </x:c>
      <x:c r="Q193" s="14" t="str">
        <x:v>high</x:v>
      </x:c>
      <x:c r="R193" s="14" t="str">
        <x:v>high</x:v>
      </x:c>
      <x:c r="S193" s="14" t="str">
        <x:v>reviewed</x:v>
      </x:c>
      <x:c r="T193" s="14" t="str">
        <x:v>machine_assisted_reviewed</x:v>
      </x:c>
      <x:c r="U193" s="14" t="str">
        <x:v>1.0.0</x:v>
      </x:c>
      <x:c r="V193" s="14" t="str">
        <x:v>archaios_ellinikos_kosmos_entities_v0_1.csv</x:v>
      </x:c>
      <x:c r="W193" s="17" t="n">
        <x:v>46248</x:v>
      </x:c>
      <x:c r="X193" s="14" t="str">
        <x:v>Codex-assisted normalization of user research</x:v>
      </x:c>
    </x:row>
    <x:row r="194" ht="44" customHeight="1">
      <x:c r="A194" s="14" t="str">
        <x:v>sanctuary-kalapodi-artemis-apollo-sanctuary</x:v>
      </x:c>
      <x:c r="B194" s="14" t="str">
        <x:v>sanctuary-kalapodi-artemis-apollo-sanctuary</x:v>
      </x:c>
      <x:c r="C194" s="14" t="str">
        <x:v>sanctuary</x:v>
      </x:c>
      <x:c r="D194" s="14" t="str">
        <x:v>cult_place</x:v>
      </x:c>
      <x:c r="E194" s="14" t="str">
        <x:v>rural</x:v>
      </x:c>
      <x:c r="F194" s="14" t="str">
        <x:v>sanctuary</x:v>
      </x:c>
      <x:c r="G194" s="14" t="str">
        <x:v>Ιερό Αρτέμιδος και Απόλλωνα στο Καλαπόδι</x:v>
      </x:c>
      <x:c r="H194" s="14" t="str">
        <x:v>Sanctuary of Artemis and Apollo at Kalapodi</x:v>
      </x:c>
      <x:c r="I194" s="14" t="str">
        <x:v>Ἄβαι</x:v>
      </x:c>
      <x:c r="J194" s="16" t="str">
        <x:v>Πολυστρωματικό ιερό κοντά στις αρχαίες Άβες, με εξαιρετικά μακρά ακολουθία λατρείας από τη μυκηναϊκή έως τη ρωμαϊκή εποχή.</x:v>
      </x:c>
      <x:c r="K194" s="16" t="str">
        <x:v>A multi-layered sanctuary near ancient Abai, with an exceptionally long sequence of cult activity from the Mycenaean through the Roman period.</x:v>
      </x:c>
      <x:c r="L194" s="14"/>
      <x:c r="M194" s="14" t="str">
        <x:v>rural</x:v>
      </x:c>
      <x:c r="N194" s="14"/>
      <x:c r="O194" s="14" t="str">
        <x:v>region-phokida</x:v>
      </x:c>
      <x:c r="P194" s="14" t="str">
        <x:v>approximate</x:v>
      </x:c>
      <x:c r="Q194" s="14" t="str">
        <x:v>high</x:v>
      </x:c>
      <x:c r="R194" s="14" t="str">
        <x:v>high</x:v>
      </x:c>
      <x:c r="S194" s="14" t="str">
        <x:v>reviewed</x:v>
      </x:c>
      <x:c r="T194" s="14" t="str">
        <x:v>machine_assisted_reviewed</x:v>
      </x:c>
      <x:c r="U194" s="14" t="str">
        <x:v>1.0.0</x:v>
      </x:c>
      <x:c r="V194" s="14" t="str">
        <x:v>archaios_ellinikos_kosmos_entities_v0_1.csv</x:v>
      </x:c>
      <x:c r="W194" s="17" t="n">
        <x:v>46248</x:v>
      </x:c>
      <x:c r="X194" s="14" t="str">
        <x:v>Codex-assisted normalization of user research</x:v>
      </x:c>
    </x:row>
    <x:row r="195" ht="44" customHeight="1">
      <x:c r="A195" s="14" t="str">
        <x:v>sanctuary-kos-asklepieion</x:v>
      </x:c>
      <x:c r="B195" s="14" t="str">
        <x:v>sanctuary-kos-asklepieion</x:v>
      </x:c>
      <x:c r="C195" s="14" t="str">
        <x:v>sanctuary</x:v>
      </x:c>
      <x:c r="D195" s="14" t="str">
        <x:v>healing_sanctuary</x:v>
      </x:c>
      <x:c r="E195" s="14" t="str">
        <x:v>healing</x:v>
      </x:c>
      <x:c r="F195" s="14" t="str">
        <x:v>sanctuary</x:v>
      </x:c>
      <x:c r="G195" s="14" t="str">
        <x:v>Ασκληπιείο Κω</x:v>
      </x:c>
      <x:c r="H195" s="14" t="str">
        <x:v>Asklepieion of Kos</x:v>
      </x:c>
      <x:c r="I195" s="14" t="str">
        <x:v>Ἀσκληπιεῖον Κῷον</x:v>
      </x:c>
      <x:c r="J195" s="16" t="str">
        <x:v>Μεγάλο θεραπευτικό ιερό σε τρία άνδηρα, συνδεδεμένο με την ιατρική παράδοση της Κω και πανελλήνιες γιορτές.</x:v>
      </x:c>
      <x:c r="K195" s="16" t="str">
        <x:v>A major healing sanctuary arranged on three terraces, associated with the medical tradition of Kos and Panhellenic festivals.</x:v>
      </x:c>
      <x:c r="L195" s="14"/>
      <x:c r="M195" s="14"/>
      <x:c r="N195" s="14" t="str">
        <x:v>healing</x:v>
      </x:c>
      <x:c r="O195" s="14" t="str">
        <x:v>region-dodekanesa</x:v>
      </x:c>
      <x:c r="P195" s="14" t="str">
        <x:v>approximate</x:v>
      </x:c>
      <x:c r="Q195" s="14" t="str">
        <x:v>high</x:v>
      </x:c>
      <x:c r="R195" s="14" t="str">
        <x:v>high</x:v>
      </x:c>
      <x:c r="S195" s="14" t="str">
        <x:v>reviewed</x:v>
      </x:c>
      <x:c r="T195" s="14" t="str">
        <x:v>machine_assisted_reviewed</x:v>
      </x:c>
      <x:c r="U195" s="14" t="str">
        <x:v>1.0.0</x:v>
      </x:c>
      <x:c r="V195" s="14" t="str">
        <x:v>archaios_ellinikos_kosmos_entities_v0_1.csv</x:v>
      </x:c>
      <x:c r="W195" s="17" t="n">
        <x:v>46248</x:v>
      </x:c>
      <x:c r="X195" s="14" t="str">
        <x:v>Codex-assisted normalization of user research</x:v>
      </x:c>
    </x:row>
    <x:row r="196" ht="44" customHeight="1">
      <x:c r="A196" s="14" t="str">
        <x:v>sanctuary-kourion-apollo-hylates-sanctuary</x:v>
      </x:c>
      <x:c r="B196" s="14" t="str">
        <x:v>sanctuary-kourion-apollo-hylates-sanctuary</x:v>
      </x:c>
      <x:c r="C196" s="14" t="str">
        <x:v>sanctuary</x:v>
      </x:c>
      <x:c r="D196" s="14" t="str">
        <x:v>cult_place</x:v>
      </x:c>
      <x:c r="E196" s="14" t="str">
        <x:v>rural</x:v>
      </x:c>
      <x:c r="F196" s="14" t="str">
        <x:v>sanctuary</x:v>
      </x:c>
      <x:c r="G196" s="14" t="str">
        <x:v>Ιερό του Απόλλωνα Υλάτη</x:v>
      </x:c>
      <x:c r="H196" s="14" t="str">
        <x:v>Sanctuary of Apollo Hylates</x:v>
      </x:c>
      <x:c r="I196" s="14" t="str">
        <x:v>Ἀπόλλων Ὑλάτης</x:v>
      </x:c>
      <x:c r="J196" s="16" t="str">
        <x:v>Μεγάλο κυπριακό ιερό βορειοδυτικά του Κουρίου, με αρχαϊκές απαρχές και μνημειακή ρωμαϊκή αναμόρφωση.</x:v>
      </x:c>
      <x:c r="K196" s="16" t="str">
        <x:v>A major Cypriot sanctuary northwest of Kourion, with Archaic origins and a monumental Roman remodelling.</x:v>
      </x:c>
      <x:c r="L196" s="14"/>
      <x:c r="M196" s="14" t="str">
        <x:v>rural</x:v>
      </x:c>
      <x:c r="N196" s="14"/>
      <x:c r="O196" s="14" t="str">
        <x:v>region-kypros</x:v>
      </x:c>
      <x:c r="P196" s="14" t="str">
        <x:v>approximate</x:v>
      </x:c>
      <x:c r="Q196" s="14" t="str">
        <x:v>high</x:v>
      </x:c>
      <x:c r="R196" s="14" t="str">
        <x:v>high</x:v>
      </x:c>
      <x:c r="S196" s="14" t="str">
        <x:v>reviewed</x:v>
      </x:c>
      <x:c r="T196" s="14" t="str">
        <x:v>machine_assisted_reviewed</x:v>
      </x:c>
      <x:c r="U196" s="14" t="str">
        <x:v>1.0.0</x:v>
      </x:c>
      <x:c r="V196" s="14" t="str">
        <x:v>archaios_ellinikos_kosmos_entities_v0_1.csv</x:v>
      </x:c>
      <x:c r="W196" s="17" t="n">
        <x:v>46248</x:v>
      </x:c>
      <x:c r="X196" s="14" t="str">
        <x:v>Codex-assisted normalization of user research</x:v>
      </x:c>
    </x:row>
    <x:row r="197" ht="44" customHeight="1">
      <x:c r="A197" s="14" t="str">
        <x:v>sanctuary-labraunda-zeus-sanctuary</x:v>
      </x:c>
      <x:c r="B197" s="14" t="str">
        <x:v>sanctuary-labraunda-zeus-sanctuary</x:v>
      </x:c>
      <x:c r="C197" s="14" t="str">
        <x:v>sanctuary</x:v>
      </x:c>
      <x:c r="D197" s="14" t="str">
        <x:v>cult_place</x:v>
      </x:c>
      <x:c r="E197" s="14" t="str">
        <x:v>federal</x:v>
      </x:c>
      <x:c r="F197" s="14" t="str">
        <x:v>sanctuary</x:v>
      </x:c>
      <x:c r="G197" s="14" t="str">
        <x:v>Ιερό του Διός στα Λάβρανδα</x:v>
      </x:c>
      <x:c r="H197" s="14" t="str">
        <x:v>Sanctuary of Zeus at Labraunda</x:v>
      </x:c>
      <x:c r="I197" s="14" t="str">
        <x:v>Λάβρανδα</x:v>
      </x:c>
      <x:c r="J197" s="16" t="str">
        <x:v>Ορεινό καρικό ιερό με μνημειακές κλίμακες, ανδρώνες και ναό, ιδιαίτερα ανεπτυγμένο από τη δυναστεία των Εκατομνιδών.</x:v>
      </x:c>
      <x:c r="K197" s="16" t="str">
        <x:v>A mountain sanctuary in Caria with monumental stairways, banqueting halls and a temple, developed especially under the Hecatomnid dynasty.</x:v>
      </x:c>
      <x:c r="L197" s="14" t="str">
        <x:v>federal</x:v>
      </x:c>
      <x:c r="M197" s="14"/>
      <x:c r="N197" s="14"/>
      <x:c r="O197" s="14" t="str">
        <x:v>region-karia</x:v>
      </x:c>
      <x:c r="P197" s="14" t="str">
        <x:v>approximate</x:v>
      </x:c>
      <x:c r="Q197" s="14" t="str">
        <x:v>high</x:v>
      </x:c>
      <x:c r="R197" s="14" t="str">
        <x:v>high</x:v>
      </x:c>
      <x:c r="S197" s="14" t="str">
        <x:v>reviewed</x:v>
      </x:c>
      <x:c r="T197" s="14" t="str">
        <x:v>machine_assisted_reviewed</x:v>
      </x:c>
      <x:c r="U197" s="14" t="str">
        <x:v>1.0.0</x:v>
      </x:c>
      <x:c r="V197" s="14" t="str">
        <x:v>archaios_ellinikos_kosmos_entities_v0_1.csv</x:v>
      </x:c>
      <x:c r="W197" s="17" t="n">
        <x:v>46248</x:v>
      </x:c>
      <x:c r="X197" s="14" t="str">
        <x:v>Codex-assisted normalization of user research</x:v>
      </x:c>
    </x:row>
    <x:row r="198" ht="44" customHeight="1">
      <x:c r="A198" s="14" t="str">
        <x:v>sanctuary-lagina-hekate-sanctuary</x:v>
      </x:c>
      <x:c r="B198" s="14" t="str">
        <x:v>sanctuary-lagina-hekate-sanctuary</x:v>
      </x:c>
      <x:c r="C198" s="14" t="str">
        <x:v>sanctuary</x:v>
      </x:c>
      <x:c r="D198" s="14" t="str">
        <x:v>cult_place</x:v>
      </x:c>
      <x:c r="E198" s="14" t="str">
        <x:v>extraurban</x:v>
      </x:c>
      <x:c r="F198" s="14" t="str">
        <x:v>sanctuary</x:v>
      </x:c>
      <x:c r="G198" s="14" t="str">
        <x:v>Εκάτειο Λαγίνων</x:v>
      </x:c>
      <x:c r="H198" s="14" t="str">
        <x:v>Sanctuary of Hekate at Lagina</x:v>
      </x:c>
      <x:c r="I198" s="14" t="str">
        <x:v>Ἑκάτειον</x:v>
      </x:c>
      <x:c r="J198" s="16" t="str">
        <x:v>Μνημειακό ιερό της Εκάτης, συνδεδεμένο με τη Στρατονίκεια μέσω ιεράς οδού και γνωστό για τη ζωφόρο του ύστερου 2ου αιώνα π.Χ.</x:v>
      </x:c>
      <x:c r="K198" s="16" t="str">
        <x:v>A monumental sanctuary of Hecate connected to Stratonikeia by a sacred road and known for its late-second-century BCE frieze.</x:v>
      </x:c>
      <x:c r="L198" s="14"/>
      <x:c r="M198" s="14" t="str">
        <x:v>extraurban</x:v>
      </x:c>
      <x:c r="N198" s="14"/>
      <x:c r="O198" s="14" t="str">
        <x:v>region-karia</x:v>
      </x:c>
      <x:c r="P198" s="14" t="str">
        <x:v>approximate</x:v>
      </x:c>
      <x:c r="Q198" s="14" t="str">
        <x:v>high</x:v>
      </x:c>
      <x:c r="R198" s="14" t="str">
        <x:v>high</x:v>
      </x:c>
      <x:c r="S198" s="14" t="str">
        <x:v>reviewed</x:v>
      </x:c>
      <x:c r="T198" s="14" t="str">
        <x:v>machine_assisted_reviewed</x:v>
      </x:c>
      <x:c r="U198" s="14" t="str">
        <x:v>1.0.0</x:v>
      </x:c>
      <x:c r="V198" s="14" t="str">
        <x:v>archaios_ellinikos_kosmos_entities_v0_1.csv</x:v>
      </x:c>
      <x:c r="W198" s="17" t="n">
        <x:v>46248</x:v>
      </x:c>
      <x:c r="X198" s="14" t="str">
        <x:v>Codex-assisted normalization of user research</x:v>
      </x:c>
    </x:row>
    <x:row r="199" ht="44" customHeight="1">
      <x:c r="A199" s="14" t="str">
        <x:v>sanctuary-lemnos-kabeirion</x:v>
      </x:c>
      <x:c r="B199" s="14" t="str">
        <x:v>sanctuary-lemnos-kabeirion</x:v>
      </x:c>
      <x:c r="C199" s="14" t="str">
        <x:v>sanctuary</x:v>
      </x:c>
      <x:c r="D199" s="14" t="str">
        <x:v>mystery_sanctuary</x:v>
      </x:c>
      <x:c r="E199" s="14" t="str">
        <x:v>mystery</x:v>
      </x:c>
      <x:c r="F199" s="14" t="str">
        <x:v>sanctuary</x:v>
      </x:c>
      <x:c r="G199" s="14" t="str">
        <x:v>Καβείριο Λήμνου</x:v>
      </x:c>
      <x:c r="H199" s="14" t="str">
        <x:v>Kabeirion of Lemnos</x:v>
      </x:c>
      <x:c r="I199" s="14" t="str">
        <x:v>Καβείριον</x:v>
      </x:c>
      <x:c r="J199" s="16" t="str">
        <x:v>Μυστηριακό ιερό απέναντι από την Ηφαιστία, με τελεστήρια διαδοχικών περιόδων και λατρεία συνδεδεμένη με τους Καβείρους.</x:v>
      </x:c>
      <x:c r="K199" s="16" t="str">
        <x:v>A mystery sanctuary opposite Hephaistia, with initiation halls of successive periods and a cult associated with the Kabeiroi.</x:v>
      </x:c>
      <x:c r="L199" s="14"/>
      <x:c r="M199" s="14"/>
      <x:c r="N199" s="14" t="str">
        <x:v>mystery</x:v>
      </x:c>
      <x:c r="O199" s="14" t="str">
        <x:v>region-boreio-aigaio</x:v>
      </x:c>
      <x:c r="P199" s="14" t="str">
        <x:v>approximate</x:v>
      </x:c>
      <x:c r="Q199" s="14" t="str">
        <x:v>high</x:v>
      </x:c>
      <x:c r="R199" s="14" t="str">
        <x:v>high</x:v>
      </x:c>
      <x:c r="S199" s="14" t="str">
        <x:v>reviewed</x:v>
      </x:c>
      <x:c r="T199" s="14" t="str">
        <x:v>machine_assisted_reviewed</x:v>
      </x:c>
      <x:c r="U199" s="14" t="str">
        <x:v>1.0.0</x:v>
      </x:c>
      <x:c r="V199" s="14" t="str">
        <x:v>archaios_ellinikos_kosmos_entities_v0_1.csv</x:v>
      </x:c>
      <x:c r="W199" s="17" t="n">
        <x:v>46248</x:v>
      </x:c>
      <x:c r="X199" s="14" t="str">
        <x:v>Codex-assisted normalization of user research</x:v>
      </x:c>
    </x:row>
    <x:row r="200" ht="44" customHeight="1">
      <x:c r="A200" s="14" t="str">
        <x:v>sanctuary-letoon-lycian-sanctuary</x:v>
      </x:c>
      <x:c r="B200" s="14" t="str">
        <x:v>sanctuary-letoon-lycian-sanctuary</x:v>
      </x:c>
      <x:c r="C200" s="14" t="str">
        <x:v>sanctuary</x:v>
      </x:c>
      <x:c r="D200" s="14" t="str">
        <x:v>cult_place</x:v>
      </x:c>
      <x:c r="E200" s="14" t="str">
        <x:v>federal</x:v>
      </x:c>
      <x:c r="F200" s="14" t="str">
        <x:v>sanctuary</x:v>
      </x:c>
      <x:c r="G200" s="14" t="str">
        <x:v>Λητώο της Λυκίας</x:v>
      </x:c>
      <x:c r="H200" s="14" t="str">
        <x:v>Letoon Sanctuary</x:v>
      </x:c>
      <x:c r="I200" s="14" t="str">
        <x:v>Λητῷον</x:v>
      </x:c>
      <x:c r="J200" s="16" t="str">
        <x:v>Ομοσπονδιακό ιερό των Λυκίων κοντά στην Ξάνθο, με τρεις κύριους ναούς, ιερή πηγή και επιγραφές σε πολλές γλώσσες.</x:v>
      </x:c>
      <x:c r="K200" s="16" t="str">
        <x:v>Confederate Lycian sanctuary near Xanthos, with three main temples, holy spring and inscriptions in several languages.</x:v>
      </x:c>
      <x:c r="L200" s="14" t="str">
        <x:v>federal</x:v>
      </x:c>
      <x:c r="M200" s="14"/>
      <x:c r="N200" s="14"/>
      <x:c r="O200" s="14" t="str">
        <x:v>region-lykia</x:v>
      </x:c>
      <x:c r="P200" s="14" t="str">
        <x:v>approximate</x:v>
      </x:c>
      <x:c r="Q200" s="14" t="str">
        <x:v>high</x:v>
      </x:c>
      <x:c r="R200" s="14" t="str">
        <x:v>high</x:v>
      </x:c>
      <x:c r="S200" s="14" t="str">
        <x:v>reviewed</x:v>
      </x:c>
      <x:c r="T200" s="14" t="str">
        <x:v>machine_assisted_reviewed</x:v>
      </x:c>
      <x:c r="U200" s="14" t="str">
        <x:v>1.0.0</x:v>
      </x:c>
      <x:c r="V200" s="14" t="str">
        <x:v>archaios_ellinikos_kosmos_entities_v0_1.csv</x:v>
      </x:c>
      <x:c r="W200" s="17" t="n">
        <x:v>46248</x:v>
      </x:c>
      <x:c r="X200" s="14" t="str">
        <x:v>Codex-assisted normalization of user research</x:v>
      </x:c>
    </x:row>
    <x:row r="201" ht="44" customHeight="1">
      <x:c r="A201" s="14" t="str">
        <x:v>sanctuary-lindos-athena-sanctuary</x:v>
      </x:c>
      <x:c r="B201" s="14" t="str">
        <x:v>sanctuary-lindos-athena-sanctuary</x:v>
      </x:c>
      <x:c r="C201" s="14" t="str">
        <x:v>sanctuary</x:v>
      </x:c>
      <x:c r="D201" s="14" t="str">
        <x:v>cult_place</x:v>
      </x:c>
      <x:c r="E201" s="14" t="str">
        <x:v>urban</x:v>
      </x:c>
      <x:c r="F201" s="14" t="str">
        <x:v>sanctuary</x:v>
      </x:c>
      <x:c r="G201" s="14" t="str">
        <x:v>Ιερό της Αθηνάς Λινδίας</x:v>
      </x:c>
      <x:c r="H201" s="14" t="str">
        <x:v>Sanctuary of Athena Lindia</x:v>
      </x:c>
      <x:c r="I201" s="14" t="str">
        <x:v>Ἀθηνᾶ Λινδία</x:v>
      </x:c>
      <x:c r="J201" s="16" t="str">
        <x:v>Ιερό στην ακρόπολη της Λίνδου, με παλαιότερη λατρεία σε σπήλαιο και μνημειακή ελληνιστική διαμόρφωση με ναό, προπύλαια και στοές.</x:v>
      </x:c>
      <x:c r="K201" s="16" t="str">
        <x:v>Sanctuary on the acropolis of Lindos, with earlier worship in a cave and a monumental Hellenistic configuration with a temple, propylaea and arcades.</x:v>
      </x:c>
      <x:c r="L201" s="14"/>
      <x:c r="M201" s="14" t="str">
        <x:v>urban</x:v>
      </x:c>
      <x:c r="N201" s="14"/>
      <x:c r="O201" s="14" t="str">
        <x:v>region-rodos</x:v>
      </x:c>
      <x:c r="P201" s="14" t="str">
        <x:v>approximate</x:v>
      </x:c>
      <x:c r="Q201" s="14" t="str">
        <x:v>high</x:v>
      </x:c>
      <x:c r="R201" s="14" t="str">
        <x:v>high</x:v>
      </x:c>
      <x:c r="S201" s="14" t="str">
        <x:v>reviewed</x:v>
      </x:c>
      <x:c r="T201" s="14" t="str">
        <x:v>machine_assisted_reviewed</x:v>
      </x:c>
      <x:c r="U201" s="14" t="str">
        <x:v>1.0.0</x:v>
      </x:c>
      <x:c r="V201" s="14" t="str">
        <x:v>archaios_ellinikos_kosmos_entities_v0_1.csv</x:v>
      </x:c>
      <x:c r="W201" s="17" t="n">
        <x:v>46248</x:v>
      </x:c>
      <x:c r="X201" s="14" t="str">
        <x:v>Codex-assisted normalization of user research</x:v>
      </x:c>
    </x:row>
    <x:row r="202" ht="44" customHeight="1">
      <x:c r="A202" s="14" t="str">
        <x:v>sanctuary-locri-mannella-persephone-sanctuary</x:v>
      </x:c>
      <x:c r="B202" s="14" t="str">
        <x:v>sanctuary-locri-mannella-persephone-sanctuary</x:v>
      </x:c>
      <x:c r="C202" s="14" t="str">
        <x:v>sanctuary</x:v>
      </x:c>
      <x:c r="D202" s="14" t="str">
        <x:v>cult_place</x:v>
      </x:c>
      <x:c r="E202" s="14" t="str">
        <x:v>rural</x:v>
      </x:c>
      <x:c r="F202" s="14" t="str">
        <x:v>sanctuary</x:v>
      </x:c>
      <x:c r="G202" s="14" t="str">
        <x:v>Ιερό της Περσεφόνης στη Mannella</x:v>
      </x:c>
      <x:c r="H202" s="14" t="str">
        <x:v>Sanctuary of Persephone at Mannella</x:v>
      </x:c>
      <x:c r="I202" s="14" t="str">
        <x:v>Περσεφόνειον</x:v>
      </x:c>
      <x:c r="J202" s="16" t="str">
        <x:v>Εξωαστικό ιερό των Λοκρών Επιζεφυρίων, διάσημο για τα ανάγλυφα pinakes και αναθήματα που συνδέονται με γάμο, μετάβαση και χθόνια λατρεία.</x:v>
      </x:c>
      <x:c r="K202" s="16" t="str">
        <x:v>An extra-urban sanctuary of Locri Epizephyrii, famous for relief pinakes and offerings associated with marriage, transition and chthonic cult.</x:v>
      </x:c>
      <x:c r="L202" s="14"/>
      <x:c r="M202" s="14" t="str">
        <x:v>rural</x:v>
      </x:c>
      <x:c r="N202" s="14"/>
      <x:c r="O202" s="14" t="str">
        <x:v>region-brettia</x:v>
      </x:c>
      <x:c r="P202" s="14" t="str">
        <x:v>approximate</x:v>
      </x:c>
      <x:c r="Q202" s="14" t="str">
        <x:v>high</x:v>
      </x:c>
      <x:c r="R202" s="14" t="str">
        <x:v>high</x:v>
      </x:c>
      <x:c r="S202" s="14" t="str">
        <x:v>reviewed</x:v>
      </x:c>
      <x:c r="T202" s="14" t="str">
        <x:v>machine_assisted_reviewed</x:v>
      </x:c>
      <x:c r="U202" s="14" t="str">
        <x:v>1.0.0</x:v>
      </x:c>
      <x:c r="V202" s="14" t="str">
        <x:v>archaios_ellinikos_kosmos_entities_v0_1.csv</x:v>
      </x:c>
      <x:c r="W202" s="17" t="n">
        <x:v>46248</x:v>
      </x:c>
      <x:c r="X202" s="14" t="str">
        <x:v>Codex-assisted normalization of user research</x:v>
      </x:c>
    </x:row>
    <x:row r="203" ht="44" customHeight="1">
      <x:c r="A203" s="14" t="str">
        <x:v>sanctuary-magnesia-artemis-leukophryene</x:v>
      </x:c>
      <x:c r="B203" s="14" t="str">
        <x:v>sanctuary-magnesia-artemis-leukophryene</x:v>
      </x:c>
      <x:c r="C203" s="14" t="str">
        <x:v>sanctuary</x:v>
      </x:c>
      <x:c r="D203" s="14" t="str">
        <x:v>cult_place</x:v>
      </x:c>
      <x:c r="E203" s="14" t="str">
        <x:v>urban</x:v>
      </x:c>
      <x:c r="F203" s="14" t="str">
        <x:v>sanctuary</x:v>
      </x:c>
      <x:c r="G203" s="14" t="str">
        <x:v>Ιερό της Αρτέμιδος Λευκοφρυηνής</x:v>
      </x:c>
      <x:c r="H203" s="14" t="str">
        <x:v>Sanctuary of Artemis Leukophryene</x:v>
      </x:c>
      <x:c r="I203" s="14" t="str">
        <x:v>Ἀρτέμιδος Λευκοφρυηνῆς ἱερόν</x:v>
      </x:c>
      <x:c r="J203" s="16" t="str">
        <x:v>Κεντρικό ιερό της Μαγνησίας στον Μαίανδρο, με μνημειακό ψευδοδίπτερο ναό που αποδίδεται στον Ερμογένη.</x:v>
      </x:c>
      <x:c r="K203" s="16" t="str">
        <x:v>The principal sanctuary of Magnesia on the Maeander, with a monumental pseudodipteral temple attributed to Hermogenes.</x:v>
      </x:c>
      <x:c r="L203" s="14"/>
      <x:c r="M203" s="14" t="str">
        <x:v>urban</x:v>
      </x:c>
      <x:c r="N203" s="14"/>
      <x:c r="O203" s="14" t="str">
        <x:v>region-ionia</x:v>
      </x:c>
      <x:c r="P203" s="14" t="str">
        <x:v>approximate</x:v>
      </x:c>
      <x:c r="Q203" s="14" t="str">
        <x:v>medium</x:v>
      </x:c>
      <x:c r="R203" s="14" t="str">
        <x:v>medium</x:v>
      </x:c>
      <x:c r="S203" s="14" t="str">
        <x:v>reviewed</x:v>
      </x:c>
      <x:c r="T203" s="14" t="str">
        <x:v>machine_assisted_reviewed</x:v>
      </x:c>
      <x:c r="U203" s="14" t="str">
        <x:v>1.0.0</x:v>
      </x:c>
      <x:c r="V203" s="14" t="str">
        <x:v>archaios_ellinikos_kosmos_entities_v0_1.csv</x:v>
      </x:c>
      <x:c r="W203" s="17" t="n">
        <x:v>46249</x:v>
      </x:c>
      <x:c r="X203" s="14" t="str">
        <x:v>Codex-assisted scholarly review</x:v>
      </x:c>
    </x:row>
    <x:row r="204" ht="44" customHeight="1">
      <x:c r="A204" s="14" t="str">
        <x:v>sanctuary-menelaion-sparta</x:v>
      </x:c>
      <x:c r="B204" s="14" t="str">
        <x:v>sanctuary-menelaion-sparta</x:v>
      </x:c>
      <x:c r="C204" s="14" t="str">
        <x:v>sanctuary</x:v>
      </x:c>
      <x:c r="D204" s="14" t="str">
        <x:v>hero_shrine</x:v>
      </x:c>
      <x:c r="E204" s="14" t="str">
        <x:v>hero_cult</x:v>
      </x:c>
      <x:c r="F204" s="14" t="str">
        <x:v>sanctuary</x:v>
      </x:c>
      <x:c r="G204" s="14" t="str">
        <x:v>Μενελάειο</x:v>
      </x:c>
      <x:c r="H204" s="14" t="str">
        <x:v>Menelaion Sanctuary</x:v>
      </x:c>
      <x:c r="I204" s="14" t="str">
        <x:v>Μενελάειον</x:v>
      </x:c>
      <x:c r="J204" s="16" t="str">
        <x:v>Ηρωικό ιερό πάνω σε μυκηναϊκό συγκρότημα κοντά στις Θεράπνες, με λατρεία της Ελένης και του Μενελάου.</x:v>
      </x:c>
      <x:c r="K204" s="16" t="str">
        <x:v>Heroic sanctuary on a Mycenaean complex near Therapnes, with cult of Helen and Menelaus.</x:v>
      </x:c>
      <x:c r="L204" s="14"/>
      <x:c r="M204" s="14"/>
      <x:c r="N204" s="14" t="str">
        <x:v>hero_cult</x:v>
      </x:c>
      <x:c r="O204" s="14" t="str">
        <x:v>region-lakonia</x:v>
      </x:c>
      <x:c r="P204" s="14" t="str">
        <x:v>approximate</x:v>
      </x:c>
      <x:c r="Q204" s="14" t="str">
        <x:v>high</x:v>
      </x:c>
      <x:c r="R204" s="14" t="str">
        <x:v>high</x:v>
      </x:c>
      <x:c r="S204" s="14" t="str">
        <x:v>reviewed</x:v>
      </x:c>
      <x:c r="T204" s="14" t="str">
        <x:v>machine_assisted_reviewed</x:v>
      </x:c>
      <x:c r="U204" s="14" t="str">
        <x:v>1.0.0</x:v>
      </x:c>
      <x:c r="V204" s="14" t="str">
        <x:v>archaios_ellinikos_kosmos_entities_v0_1.csv</x:v>
      </x:c>
      <x:c r="W204" s="17" t="n">
        <x:v>46248</x:v>
      </x:c>
      <x:c r="X204" s="14" t="str">
        <x:v>Codex-assisted normalization of user research</x:v>
      </x:c>
    </x:row>
    <x:row r="205" ht="44" customHeight="1">
      <x:c r="A205" s="14" t="str">
        <x:v>sanctuary-metapontum-tavole-palatine-heraion</x:v>
      </x:c>
      <x:c r="B205" s="14" t="str">
        <x:v>sanctuary-metapontum-tavole-palatine-heraion</x:v>
      </x:c>
      <x:c r="C205" s="14" t="str">
        <x:v>sanctuary</x:v>
      </x:c>
      <x:c r="D205" s="14" t="str">
        <x:v>cult_place</x:v>
      </x:c>
      <x:c r="E205" s="14" t="str">
        <x:v>rural</x:v>
      </x:c>
      <x:c r="F205" s="14" t="str">
        <x:v>sanctuary</x:v>
      </x:c>
      <x:c r="G205" s="14" t="str">
        <x:v>Ηραίο των Tavole Palatine</x:v>
      </x:c>
      <x:c r="H205" s="14" t="str">
        <x:v>Hera Sanctuary at Tavole Palatine</x:v>
      </x:c>
      <x:c r="I205" s="14" t="str">
        <x:v>Ἡραῖον Μεταποντίου</x:v>
      </x:c>
      <x:c r="J205" s="16" t="str">
        <x:v>Εξωαστικό συνοριακό ιερό του Μεταποντίου με δωρικό ναό του 6ου αιώνα π.Χ. και δεκαπέντε σωζόμενες κολόνες.</x:v>
      </x:c>
      <x:c r="K205" s="16" t="str">
        <x:v>An extra-urban boundary sanctuary of Metapontum with a sixth-century BCE Doric temple and fifteen surviving columns.</x:v>
      </x:c>
      <x:c r="L205" s="14"/>
      <x:c r="M205" s="14" t="str">
        <x:v>rural</x:v>
      </x:c>
      <x:c r="N205" s="14"/>
      <x:c r="O205" s="14" t="str">
        <x:v>region-leykania</x:v>
      </x:c>
      <x:c r="P205" s="14" t="str">
        <x:v>approximate</x:v>
      </x:c>
      <x:c r="Q205" s="14" t="str">
        <x:v>high</x:v>
      </x:c>
      <x:c r="R205" s="14" t="str">
        <x:v>high</x:v>
      </x:c>
      <x:c r="S205" s="14" t="str">
        <x:v>reviewed</x:v>
      </x:c>
      <x:c r="T205" s="14" t="str">
        <x:v>machine_assisted_reviewed</x:v>
      </x:c>
      <x:c r="U205" s="14" t="str">
        <x:v>1.0.0</x:v>
      </x:c>
      <x:c r="V205" s="14" t="str">
        <x:v>archaios_ellinikos_kosmos_entities_v0_1.csv</x:v>
      </x:c>
      <x:c r="W205" s="17" t="n">
        <x:v>46248</x:v>
      </x:c>
      <x:c r="X205" s="14" t="str">
        <x:v>Codex-assisted normalization of user research</x:v>
      </x:c>
    </x:row>
    <x:row r="206" ht="44" customHeight="1">
      <x:c r="A206" s="14" t="str">
        <x:v>sanctuary-mount-lykaion-zeus-sanctuary</x:v>
      </x:c>
      <x:c r="B206" s="14" t="str">
        <x:v>sanctuary-mount-lykaion-zeus-sanctuary</x:v>
      </x:c>
      <x:c r="C206" s="14" t="str">
        <x:v>sanctuary</x:v>
      </x:c>
      <x:c r="D206" s="14" t="str">
        <x:v>peak_sanctuary</x:v>
      </x:c>
      <x:c r="E206" s="14" t="str">
        <x:v>peak</x:v>
      </x:c>
      <x:c r="F206" s="14" t="str">
        <x:v>sanctuary</x:v>
      </x:c>
      <x:c r="G206" s="14" t="str">
        <x:v>Ιερό του Λυκαίου Διός</x:v>
      </x:c>
      <x:c r="H206" s="14" t="str">
        <x:v>Sanctuary of Zeus on Mount Lykaion</x:v>
      </x:c>
      <x:c r="I206" s="14" t="str">
        <x:v>Λύκαιον</x:v>
      </x:c>
      <x:c r="J206" s="16" t="str">
        <x:v>Υπαίθριο κορυφαίο ιερό με τέμενος, τέφρινο βωμό και αθλητικές εγκαταστάσεις χαμηλότερα στο όρος.</x:v>
      </x:c>
      <x:c r="K206" s="16" t="str">
        <x:v>An open-air mountaintop sanctuary with a sacred precinct and ash altar, with athletic facilities lower on the mountain.</x:v>
      </x:c>
      <x:c r="L206" s="14"/>
      <x:c r="M206" s="14" t="str">
        <x:v>peak</x:v>
      </x:c>
      <x:c r="N206" s="14"/>
      <x:c r="O206" s="14" t="str">
        <x:v>region-arkadia</x:v>
      </x:c>
      <x:c r="P206" s="14" t="str">
        <x:v>approximate</x:v>
      </x:c>
      <x:c r="Q206" s="14" t="str">
        <x:v>high</x:v>
      </x:c>
      <x:c r="R206" s="14" t="str">
        <x:v>high</x:v>
      </x:c>
      <x:c r="S206" s="14" t="str">
        <x:v>reviewed</x:v>
      </x:c>
      <x:c r="T206" s="14" t="str">
        <x:v>machine_assisted_reviewed</x:v>
      </x:c>
      <x:c r="U206" s="14" t="str">
        <x:v>1.0.0</x:v>
      </x:c>
      <x:c r="V206" s="14" t="str">
        <x:v>archaios_ellinikos_kosmos_entities_v0_1.csv</x:v>
      </x:c>
      <x:c r="W206" s="17" t="n">
        <x:v>46248</x:v>
      </x:c>
      <x:c r="X206" s="14" t="str">
        <x:v>Codex-assisted normalization of user research</x:v>
      </x:c>
    </x:row>
    <x:row r="207" ht="44" customHeight="1">
      <x:c r="A207" s="14" t="str">
        <x:v>sanctuary-naukratis-hellenion</x:v>
      </x:c>
      <x:c r="B207" s="14" t="str">
        <x:v>sanctuary-naukratis-hellenion</x:v>
      </x:c>
      <x:c r="C207" s="14" t="str">
        <x:v>sanctuary</x:v>
      </x:c>
      <x:c r="D207" s="14" t="str">
        <x:v>cult_place</x:v>
      </x:c>
      <x:c r="E207" s="14" t="str">
        <x:v>federal</x:v>
      </x:c>
      <x:c r="F207" s="14" t="str">
        <x:v>sanctuary</x:v>
      </x:c>
      <x:c r="G207" s="14" t="str">
        <x:v>Ελλήνιο της Ναυκράτιδος</x:v>
      </x:c>
      <x:c r="H207" s="14" t="str">
        <x:v>Hellenion at Naukratis</x:v>
      </x:c>
      <x:c r="I207" s="14" t="str">
        <x:v>Ἑλλήνιον</x:v>
      </x:c>
      <x:c r="J207" s="16" t="str">
        <x:v>Κοινό τέμενος ελληνικών πόλεων στη Ναύκρατι· η γενική θέση είναι γνωστή από τις ανασκαφές, αλλά το σημείο αποδίδεται εδώ προσεγγιστικά.</x:v>
      </x:c>
      <x:c r="K207" s="16" t="str">
        <x:v>A shared sacred precinct of Greek cities at Naukratis; excavations establish its general location, represented here by an approximate point.</x:v>
      </x:c>
      <x:c r="L207" s="14" t="str">
        <x:v>federal</x:v>
      </x:c>
      <x:c r="M207" s="14"/>
      <x:c r="N207" s="14"/>
      <x:c r="O207" s="14" t="str">
        <x:v>region-delta-neiloy</x:v>
      </x:c>
      <x:c r="P207" s="14" t="str">
        <x:v>approximate</x:v>
      </x:c>
      <x:c r="Q207" s="14" t="str">
        <x:v>medium</x:v>
      </x:c>
      <x:c r="R207" s="14" t="str">
        <x:v>medium</x:v>
      </x:c>
      <x:c r="S207" s="14" t="str">
        <x:v>reviewed</x:v>
      </x:c>
      <x:c r="T207" s="14" t="str">
        <x:v>machine_assisted_reviewed</x:v>
      </x:c>
      <x:c r="U207" s="14" t="str">
        <x:v>1.0.0</x:v>
      </x:c>
      <x:c r="V207" s="14" t="str">
        <x:v>archaios_ellinikos_kosmos_entities_v0_1.csv</x:v>
      </x:c>
      <x:c r="W207" s="17" t="n">
        <x:v>46249</x:v>
      </x:c>
      <x:c r="X207" s="14" t="str">
        <x:v>Codex-assisted scholarly review</x:v>
      </x:c>
    </x:row>
    <x:row r="208" ht="44" customHeight="1">
      <x:c r="A208" s="14" t="str">
        <x:v>sanctuary-nemea-zeus-sanctuary</x:v>
      </x:c>
      <x:c r="B208" s="14" t="str">
        <x:v>sanctuary-nemea-zeus-sanctuary</x:v>
      </x:c>
      <x:c r="C208" s="14" t="str">
        <x:v>sanctuary</x:v>
      </x:c>
      <x:c r="D208" s="14" t="str">
        <x:v>cult_place</x:v>
      </x:c>
      <x:c r="E208" s="14" t="str">
        <x:v>panhellenic</x:v>
      </x:c>
      <x:c r="F208" s="14" t="str">
        <x:v>sanctuary</x:v>
      </x:c>
      <x:c r="G208" s="14" t="str">
        <x:v>Ιερό του Νεμείου Διός</x:v>
      </x:c>
      <x:c r="H208" s="14" t="str">
        <x:v>Sanctuary of Nemean Zeus</x:v>
      </x:c>
      <x:c r="I208" s="14" t="str">
        <x:v>Νεμέα</x:v>
      </x:c>
      <x:c r="J208" s="16" t="str">
        <x:v>Πανελλήνιο ιερό και έδρα των Νεμέων, με διαδοχικούς ναούς του Δία, βωμό, ξενώνες, λουτρό και στάδιο.</x:v>
      </x:c>
      <x:c r="K208" s="16" t="str">
        <x:v>A Panhellenic sanctuary and venue of the Nemean Games, with successive temples of Zeus, an altar, guest houses, bath and stadium.</x:v>
      </x:c>
      <x:c r="L208" s="14" t="str">
        <x:v>panhellenic</x:v>
      </x:c>
      <x:c r="M208" s="14"/>
      <x:c r="N208" s="14"/>
      <x:c r="O208" s="14" t="str">
        <x:v>region-korinthia</x:v>
      </x:c>
      <x:c r="P208" s="14" t="str">
        <x:v>approximate</x:v>
      </x:c>
      <x:c r="Q208" s="14" t="str">
        <x:v>high</x:v>
      </x:c>
      <x:c r="R208" s="14" t="str">
        <x:v>high</x:v>
      </x:c>
      <x:c r="S208" s="14" t="str">
        <x:v>reviewed</x:v>
      </x:c>
      <x:c r="T208" s="14" t="str">
        <x:v>machine_assisted_reviewed</x:v>
      </x:c>
      <x:c r="U208" s="14" t="str">
        <x:v>1.0.0</x:v>
      </x:c>
      <x:c r="V208" s="14" t="str">
        <x:v>archaios_ellinikos_kosmos_entities_v0_1.csv</x:v>
      </x:c>
      <x:c r="W208" s="17" t="n">
        <x:v>46248</x:v>
      </x:c>
      <x:c r="X208" s="14" t="str">
        <x:v>Codex-assisted normalization of user research</x:v>
      </x:c>
    </x:row>
    <x:row r="209" ht="44" customHeight="1">
      <x:c r="A209" s="14" t="str">
        <x:v>sanctuary-olbia-apollo-delphinios-sanctuary</x:v>
      </x:c>
      <x:c r="B209" s="14" t="str">
        <x:v>sanctuary-olbia-apollo-delphinios-sanctuary</x:v>
      </x:c>
      <x:c r="C209" s="14" t="str">
        <x:v>sanctuary</x:v>
      </x:c>
      <x:c r="D209" s="14" t="str">
        <x:v>cult_place</x:v>
      </x:c>
      <x:c r="E209" s="14" t="str">
        <x:v>urban</x:v>
      </x:c>
      <x:c r="F209" s="14" t="str">
        <x:v>sanctuary</x:v>
      </x:c>
      <x:c r="G209" s="14" t="str">
        <x:v>Ιερό του Απόλλωνα Δελφινίου στην Ολβία</x:v>
      </x:c>
      <x:c r="H209" s="14" t="str">
        <x:v>Sanctuary of Apollo Delphinios at Olbia Pontica</x:v>
      </x:c>
      <x:c r="I209" s="14" t="str">
        <x:v>Ἀπόλλωνος Δελφινίου τέμενος</x:v>
      </x:c>
      <x:c r="J209" s="16" t="str">
        <x:v>Κεντρικό τέμενος κοντά στην αγορά της Ολβίας με ναό και βωμούς· η συντεταγμένη είναι προσεγγιστική λόγω της πολυφασικής ανασκαφής.</x:v>
      </x:c>
      <x:c r="K209" s="16" t="str">
        <x:v>A central sacred precinct near the agora of Olbia, with a temple and altars; the coordinate is approximate because the excavated remains are multi-phase.</x:v>
      </x:c>
      <x:c r="L209" s="14"/>
      <x:c r="M209" s="14" t="str">
        <x:v>urban</x:v>
      </x:c>
      <x:c r="N209" s="14"/>
      <x:c r="O209" s="14" t="str">
        <x:v>region-skythia</x:v>
      </x:c>
      <x:c r="P209" s="14" t="str">
        <x:v>approximate</x:v>
      </x:c>
      <x:c r="Q209" s="14" t="str">
        <x:v>medium</x:v>
      </x:c>
      <x:c r="R209" s="14" t="str">
        <x:v>medium</x:v>
      </x:c>
      <x:c r="S209" s="14" t="str">
        <x:v>reviewed</x:v>
      </x:c>
      <x:c r="T209" s="14" t="str">
        <x:v>machine_assisted_reviewed</x:v>
      </x:c>
      <x:c r="U209" s="14" t="str">
        <x:v>1.0.0</x:v>
      </x:c>
      <x:c r="V209" s="14" t="str">
        <x:v>archaios_ellinikos_kosmos_entities_v0_1.csv</x:v>
      </x:c>
      <x:c r="W209" s="17" t="n">
        <x:v>46249</x:v>
      </x:c>
      <x:c r="X209" s="14" t="str">
        <x:v>Codex-assisted scholarly review</x:v>
      </x:c>
    </x:row>
    <x:row r="210" ht="44" customHeight="1">
      <x:c r="A210" s="14" t="str">
        <x:v>sanctuary-olympia-zeus-sanctuary</x:v>
      </x:c>
      <x:c r="B210" s="14" t="str">
        <x:v>sanctuary-olympia-zeus-sanctuary</x:v>
      </x:c>
      <x:c r="C210" s="14" t="str">
        <x:v>sanctuary</x:v>
      </x:c>
      <x:c r="D210" s="14" t="str">
        <x:v>cult_place</x:v>
      </x:c>
      <x:c r="E210" s="14" t="str">
        <x:v>panhellenic</x:v>
      </x:c>
      <x:c r="F210" s="14" t="str">
        <x:v>sanctuary</x:v>
      </x:c>
      <x:c r="G210" s="14" t="str">
        <x:v>Ιερό του Δία στην Ολυμπία</x:v>
      </x:c>
      <x:c r="H210" s="14" t="str">
        <x:v>Sanctuary of Zeus at Olympia</x:v>
      </x:c>
      <x:c r="I210" s="14" t="str">
        <x:v>Ὀλυμπία</x:v>
      </x:c>
      <x:c r="J210" s="16" t="str">
        <x:v>Η Άλτις ήταν το πανελλήνιο τέμενος του Δία και ο πυρήνας των Ολυμπιακών Αγώνων, με ναούς, βωμούς και θησαυρούς.</x:v>
      </x:c>
      <x:c r="K210" s="16" t="str">
        <x:v>The Altis was the Panhellenic sacred precinct of Zeus and the ritual core of the Olympic Games, with temples, altars and treasuries.</x:v>
      </x:c>
      <x:c r="L210" s="14" t="str">
        <x:v>panhellenic</x:v>
      </x:c>
      <x:c r="M210" s="14"/>
      <x:c r="N210" s="14"/>
      <x:c r="O210" s="14" t="str">
        <x:v>region-elida</x:v>
      </x:c>
      <x:c r="P210" s="14" t="str">
        <x:v>approximate</x:v>
      </x:c>
      <x:c r="Q210" s="14" t="str">
        <x:v>high</x:v>
      </x:c>
      <x:c r="R210" s="14" t="str">
        <x:v>high</x:v>
      </x:c>
      <x:c r="S210" s="14" t="str">
        <x:v>reviewed</x:v>
      </x:c>
      <x:c r="T210" s="14" t="str">
        <x:v>machine_assisted_reviewed</x:v>
      </x:c>
      <x:c r="U210" s="14" t="str">
        <x:v>1.0.0</x:v>
      </x:c>
      <x:c r="V210" s="14" t="str">
        <x:v>archaios_ellinikos_kosmos_entities_v0_1.csv</x:v>
      </x:c>
      <x:c r="W210" s="17" t="n">
        <x:v>46248</x:v>
      </x:c>
      <x:c r="X210" s="14" t="str">
        <x:v>Codex-assisted normalization of user research</x:v>
      </x:c>
    </x:row>
    <x:row r="211" ht="44" customHeight="1">
      <x:c r="A211" s="14" t="str">
        <x:v>sanctuary-oropos-amphiareion</x:v>
      </x:c>
      <x:c r="B211" s="14" t="str">
        <x:v>sanctuary-oropos-amphiareion</x:v>
      </x:c>
      <x:c r="C211" s="14" t="str">
        <x:v>sanctuary</x:v>
      </x:c>
      <x:c r="D211" s="14" t="str">
        <x:v>healing_sanctuary</x:v>
      </x:c>
      <x:c r="E211" s="14" t="str">
        <x:v>healing_oracle</x:v>
      </x:c>
      <x:c r="F211" s="14" t="str">
        <x:v>sanctuary</x:v>
      </x:c>
      <x:c r="G211" s="14" t="str">
        <x:v>Αμφιαράειο Ωρωπού</x:v>
      </x:c>
      <x:c r="H211" s="14" t="str">
        <x:v>Amphiareion of Oropos</x:v>
      </x:c>
      <x:c r="I211" s="14" t="str">
        <x:v>Ἀμφιαράειον</x:v>
      </x:c>
      <x:c r="J211" s="16" t="str">
        <x:v>Θεραπευτικό μαντείο του ήρωα Αμφιαράου, με ιερή πηγή, εγκοιμητήριο, ναό, στοά και θέατρο.</x:v>
      </x:c>
      <x:c r="K211" s="16" t="str">
        <x:v>A healing oracle of the hero Amphiaraos, with a sacred spring, incubation hall, temple, stoa and theatre.</x:v>
      </x:c>
      <x:c r="L211" s="14"/>
      <x:c r="M211" s="14"/>
      <x:c r="N211" s="14" t="str">
        <x:v>oracle|healing</x:v>
      </x:c>
      <x:c r="O211" s="14" t="str">
        <x:v>region-oria-attikes-boiotias</x:v>
      </x:c>
      <x:c r="P211" s="14" t="str">
        <x:v>approximate</x:v>
      </x:c>
      <x:c r="Q211" s="14" t="str">
        <x:v>high</x:v>
      </x:c>
      <x:c r="R211" s="14" t="str">
        <x:v>high</x:v>
      </x:c>
      <x:c r="S211" s="14" t="str">
        <x:v>reviewed</x:v>
      </x:c>
      <x:c r="T211" s="14" t="str">
        <x:v>machine_assisted_reviewed</x:v>
      </x:c>
      <x:c r="U211" s="14" t="str">
        <x:v>1.0.0</x:v>
      </x:c>
      <x:c r="V211" s="14" t="str">
        <x:v>archaios_ellinikos_kosmos_entities_v0_1.csv</x:v>
      </x:c>
      <x:c r="W211" s="17" t="n">
        <x:v>46248</x:v>
      </x:c>
      <x:c r="X211" s="14" t="str">
        <x:v>Codex-assisted normalization of user research</x:v>
      </x:c>
    </x:row>
    <x:row r="212" ht="44" customHeight="1">
      <x:c r="A212" s="14" t="str">
        <x:v>sanctuary-palaepaphos-aphrodite-sanctuary</x:v>
      </x:c>
      <x:c r="B212" s="14" t="str">
        <x:v>sanctuary-palaepaphos-aphrodite-sanctuary</x:v>
      </x:c>
      <x:c r="C212" s="14" t="str">
        <x:v>sanctuary</x:v>
      </x:c>
      <x:c r="D212" s="14" t="str">
        <x:v>cult_place</x:v>
      </x:c>
      <x:c r="E212" s="14" t="str">
        <x:v>urban</x:v>
      </x:c>
      <x:c r="F212" s="14" t="str">
        <x:v>sanctuary</x:v>
      </x:c>
      <x:c r="G212" s="14" t="str">
        <x:v>Ιερό της Αφροδίτης στην Παλαίπαφο</x:v>
      </x:c>
      <x:c r="H212" s="14" t="str">
        <x:v>Sanctuary of Aphrodite at Palaepaphos</x:v>
      </x:c>
      <x:c r="I212" s="14" t="str">
        <x:v>Παλαίπαφος</x:v>
      </x:c>
      <x:c r="J212" s="16" t="str">
        <x:v>Κύριο παγκύπριο κέντρο της Αφροδίτης, με λατρεία ανεικονικού λίθου και συνεχή ακτινοβολία από την Ύστερη Εποχή του Χαλκού.</x:v>
      </x:c>
      <x:c r="K212" s="16" t="str">
        <x:v>The principal pan-Cypriot centre of Aphrodite, with the cult of an aniconic stone and sustained influence from the Late Bronze Age.</x:v>
      </x:c>
      <x:c r="L212" s="14"/>
      <x:c r="M212" s="14" t="str">
        <x:v>urban</x:v>
      </x:c>
      <x:c r="N212" s="14"/>
      <x:c r="O212" s="14" t="str">
        <x:v>region-kypros</x:v>
      </x:c>
      <x:c r="P212" s="14" t="str">
        <x:v>approximate</x:v>
      </x:c>
      <x:c r="Q212" s="14" t="str">
        <x:v>high</x:v>
      </x:c>
      <x:c r="R212" s="14" t="str">
        <x:v>high</x:v>
      </x:c>
      <x:c r="S212" s="14" t="str">
        <x:v>reviewed</x:v>
      </x:c>
      <x:c r="T212" s="14" t="str">
        <x:v>machine_assisted_reviewed</x:v>
      </x:c>
      <x:c r="U212" s="14" t="str">
        <x:v>1.0.0</x:v>
      </x:c>
      <x:c r="V212" s="14" t="str">
        <x:v>archaios_ellinikos_kosmos_entities_v0_1.csv</x:v>
      </x:c>
      <x:c r="W212" s="17" t="n">
        <x:v>46248</x:v>
      </x:c>
      <x:c r="X212" s="14" t="str">
        <x:v>Codex-assisted normalization of user research</x:v>
      </x:c>
    </x:row>
    <x:row r="213" ht="44" customHeight="1">
      <x:c r="A213" s="14" t="str">
        <x:v>sanctuary-panionion-poseidon-sanctuary</x:v>
      </x:c>
      <x:c r="B213" s="14" t="str">
        <x:v>sanctuary-panionion-poseidon-sanctuary</x:v>
      </x:c>
      <x:c r="C213" s="14" t="str">
        <x:v>sanctuary</x:v>
      </x:c>
      <x:c r="D213" s="14" t="str">
        <x:v>cult_place</x:v>
      </x:c>
      <x:c r="E213" s="14" t="str">
        <x:v>federal</x:v>
      </x:c>
      <x:c r="F213" s="14" t="str">
        <x:v>sanctuary</x:v>
      </x:c>
      <x:c r="G213" s="14" t="str">
        <x:v>Πανιώνιο</x:v>
      </x:c>
      <x:c r="H213" s="14" t="str">
        <x:v>Panionion Sanctuary</x:v>
      </x:c>
      <x:c r="I213" s="14" t="str">
        <x:v>Πανιώνιον</x:v>
      </x:c>
      <x:c r="J213" s="16" t="str">
        <x:v>Ομοσπονδιακό ιερό και τόπος συνελεύσεων του Κοινού των Ιώνων στη βόρεια πλαγιά της Μυκάλης.</x:v>
      </x:c>
      <x:c r="K213" s="16" t="str">
        <x:v>A federal sanctuary and meeting place of the Ionian League on the northern slope of Mount Mycale.</x:v>
      </x:c>
      <x:c r="L213" s="14" t="str">
        <x:v>federal</x:v>
      </x:c>
      <x:c r="M213" s="14"/>
      <x:c r="N213" s="14"/>
      <x:c r="O213" s="14" t="str">
        <x:v>region-ionia</x:v>
      </x:c>
      <x:c r="P213" s="14" t="str">
        <x:v>approximate</x:v>
      </x:c>
      <x:c r="Q213" s="14" t="str">
        <x:v>high</x:v>
      </x:c>
      <x:c r="R213" s="14" t="str">
        <x:v>high</x:v>
      </x:c>
      <x:c r="S213" s="14" t="str">
        <x:v>reviewed</x:v>
      </x:c>
      <x:c r="T213" s="14" t="str">
        <x:v>machine_assisted_reviewed</x:v>
      </x:c>
      <x:c r="U213" s="14" t="str">
        <x:v>1.0.0</x:v>
      </x:c>
      <x:c r="V213" s="14" t="str">
        <x:v>archaios_ellinikos_kosmos_entities_v0_1.csv</x:v>
      </x:c>
      <x:c r="W213" s="17" t="n">
        <x:v>46248</x:v>
      </x:c>
      <x:c r="X213" s="14" t="str">
        <x:v>Codex-assisted normalization of user research</x:v>
      </x:c>
    </x:row>
    <x:row r="214" ht="44" customHeight="1">
      <x:c r="A214" s="14" t="str">
        <x:v>sanctuary-pantikapaion-apollo-ietros-sanctuary</x:v>
      </x:c>
      <x:c r="B214" s="14" t="str">
        <x:v>sanctuary-pantikapaion-apollo-ietros-sanctuary</x:v>
      </x:c>
      <x:c r="C214" s="14" t="str">
        <x:v>sanctuary</x:v>
      </x:c>
      <x:c r="D214" s="14" t="str">
        <x:v>cult_place</x:v>
      </x:c>
      <x:c r="E214" s="14" t="str">
        <x:v>urban</x:v>
      </x:c>
      <x:c r="F214" s="14" t="str">
        <x:v>sanctuary</x:v>
      </x:c>
      <x:c r="G214" s="14" t="str">
        <x:v>Ιερό του Απόλλωνα Ιητρού στο Παντικάπαιο</x:v>
      </x:c>
      <x:c r="H214" s="14" t="str">
        <x:v>Sanctuary of Apollo Ietros at Pantikapaion</x:v>
      </x:c>
      <x:c r="I214" s="14" t="str">
        <x:v>Ἀπόλλωνος Ἰητροῦ ἱερόν</x:v>
      </x:c>
      <x:c r="J214" s="16" t="str">
        <x:v>Κύριο ιερό της μιλησιακής αποικίας στην ακρόπολη του όρους Μιθριδάτη· η θέση αποδίδεται προσεγγιστικά λόγω αποσπασματικής διατήρησης.</x:v>
      </x:c>
      <x:c r="K214" s="16" t="str">
        <x:v>Main sanctuary of the Milesian colony on the acropolis of Mount Mithridates; the location is approximate due to fragmentary preservation.</x:v>
      </x:c>
      <x:c r="L214" s="14"/>
      <x:c r="M214" s="14" t="str">
        <x:v>urban</x:v>
      </x:c>
      <x:c r="N214" s="14"/>
      <x:c r="O214" s="14" t="str">
        <x:v>region-kimmerios-bosporos</x:v>
      </x:c>
      <x:c r="P214" s="14" t="str">
        <x:v>approximate</x:v>
      </x:c>
      <x:c r="Q214" s="14" t="str">
        <x:v>medium</x:v>
      </x:c>
      <x:c r="R214" s="14" t="str">
        <x:v>medium</x:v>
      </x:c>
      <x:c r="S214" s="14" t="str">
        <x:v>reviewed</x:v>
      </x:c>
      <x:c r="T214" s="14" t="str">
        <x:v>machine_assisted_reviewed</x:v>
      </x:c>
      <x:c r="U214" s="14" t="str">
        <x:v>1.0.0</x:v>
      </x:c>
      <x:c r="V214" s="14" t="str">
        <x:v>archaios_ellinikos_kosmos_entities_v0_1.csv</x:v>
      </x:c>
      <x:c r="W214" s="17" t="n">
        <x:v>46249</x:v>
      </x:c>
      <x:c r="X214" s="14" t="str">
        <x:v>Codex-assisted scholarly review</x:v>
      </x:c>
    </x:row>
    <x:row r="215" ht="44" customHeight="1">
      <x:c r="A215" s="14" t="str">
        <x:v>sanctuary-perachora-heraion</x:v>
      </x:c>
      <x:c r="B215" s="14" t="str">
        <x:v>sanctuary-perachora-heraion</x:v>
      </x:c>
      <x:c r="C215" s="14" t="str">
        <x:v>sanctuary</x:v>
      </x:c>
      <x:c r="D215" s="14" t="str">
        <x:v>cult_place</x:v>
      </x:c>
      <x:c r="E215" s="14" t="str">
        <x:v>rural</x:v>
      </x:c>
      <x:c r="F215" s="14" t="str">
        <x:v>sanctuary</x:v>
      </x:c>
      <x:c r="G215" s="14" t="str">
        <x:v>Ηραίο Περαχώρας</x:v>
      </x:c>
      <x:c r="H215" s="14" t="str">
        <x:v>Heraion of Perachora</x:v>
      </x:c>
      <x:c r="I215" s="14" t="str">
        <x:v>Ἥρας Ἀκραίας ἱερόν</x:v>
      </x:c>
      <x:c r="J215" s="16" t="str">
        <x:v>Παράκτιο κορινθιακό ιερό με δύο κύριες λατρευτικές ενότητες, βωμούς, δεξαμενή και εκτεταμένα αναθήματα.</x:v>
      </x:c>
      <x:c r="K215" s="16" t="str">
        <x:v>Coastal Corinthian sanctuary with two main worship sections, altars, cistern and extensive votive offerings.</x:v>
      </x:c>
      <x:c r="L215" s="14"/>
      <x:c r="M215" s="14" t="str">
        <x:v>rural</x:v>
      </x:c>
      <x:c r="N215" s="14"/>
      <x:c r="O215" s="14" t="str">
        <x:v>region-korinthia</x:v>
      </x:c>
      <x:c r="P215" s="14" t="str">
        <x:v>approximate</x:v>
      </x:c>
      <x:c r="Q215" s="14" t="str">
        <x:v>high</x:v>
      </x:c>
      <x:c r="R215" s="14" t="str">
        <x:v>high</x:v>
      </x:c>
      <x:c r="S215" s="14" t="str">
        <x:v>reviewed</x:v>
      </x:c>
      <x:c r="T215" s="14" t="str">
        <x:v>machine_assisted_reviewed</x:v>
      </x:c>
      <x:c r="U215" s="14" t="str">
        <x:v>1.0.0</x:v>
      </x:c>
      <x:c r="V215" s="14" t="str">
        <x:v>archaios_ellinikos_kosmos_entities_v0_1.csv</x:v>
      </x:c>
      <x:c r="W215" s="17" t="n">
        <x:v>46248</x:v>
      </x:c>
      <x:c r="X215" s="14" t="str">
        <x:v>Codex-assisted normalization of user research</x:v>
      </x:c>
    </x:row>
    <x:row r="216" ht="44" customHeight="1">
      <x:c r="A216" s="14" t="str">
        <x:v>sanctuary-pergamon-asklepieion</x:v>
      </x:c>
      <x:c r="B216" s="14" t="str">
        <x:v>sanctuary-pergamon-asklepieion</x:v>
      </x:c>
      <x:c r="C216" s="14" t="str">
        <x:v>sanctuary</x:v>
      </x:c>
      <x:c r="D216" s="14" t="str">
        <x:v>healing_sanctuary</x:v>
      </x:c>
      <x:c r="E216" s="14" t="str">
        <x:v>healing</x:v>
      </x:c>
      <x:c r="F216" s="14" t="str">
        <x:v>sanctuary</x:v>
      </x:c>
      <x:c r="G216" s="14" t="str">
        <x:v>Ασκληπιείο Περγάμου</x:v>
      </x:c>
      <x:c r="H216" s="14" t="str">
        <x:v>Asklepieion of Pergamon</x:v>
      </x:c>
      <x:c r="I216" s="14" t="str">
        <x:v>Ἀσκληπιεῖον Περγάμου</x:v>
      </x:c>
      <x:c r="J216" s="16" t="str">
        <x:v>Διεθνώς γνωστό θεραπευτικό ιερό νότια της ακρόπολης, με ιερά οδό, εγκοιμητήριο, πηγές, θέατρο και ρωμαϊκές αίθουσες θεραπείας.</x:v>
      </x:c>
      <x:c r="K216" s="16" t="str">
        <x:v>An internationally renowned healing sanctuary south of the acropolis, with a Sacred Way, incubation hall, springs, theatre and Roman treatment rooms.</x:v>
      </x:c>
      <x:c r="L216" s="14"/>
      <x:c r="M216" s="14"/>
      <x:c r="N216" s="14" t="str">
        <x:v>healing</x:v>
      </x:c>
      <x:c r="O216" s="14" t="str">
        <x:v>region-mysia</x:v>
      </x:c>
      <x:c r="P216" s="14" t="str">
        <x:v>approximate</x:v>
      </x:c>
      <x:c r="Q216" s="14" t="str">
        <x:v>high</x:v>
      </x:c>
      <x:c r="R216" s="14" t="str">
        <x:v>high</x:v>
      </x:c>
      <x:c r="S216" s="14" t="str">
        <x:v>reviewed</x:v>
      </x:c>
      <x:c r="T216" s="14" t="str">
        <x:v>machine_assisted_reviewed</x:v>
      </x:c>
      <x:c r="U216" s="14" t="str">
        <x:v>1.0.0</x:v>
      </x:c>
      <x:c r="V216" s="14" t="str">
        <x:v>archaios_ellinikos_kosmos_entities_v0_1.csv</x:v>
      </x:c>
      <x:c r="W216" s="17" t="n">
        <x:v>46248</x:v>
      </x:c>
      <x:c r="X216" s="14" t="str">
        <x:v>Codex-assisted normalization of user research</x:v>
      </x:c>
    </x:row>
    <x:row r="217" ht="44" customHeight="1">
      <x:c r="A217" s="14" t="str">
        <x:v>sanctuary-priene-athena-polias-sanctuary</x:v>
      </x:c>
      <x:c r="B217" s="14" t="str">
        <x:v>sanctuary-priene-athena-polias-sanctuary</x:v>
      </x:c>
      <x:c r="C217" s="14" t="str">
        <x:v>sanctuary</x:v>
      </x:c>
      <x:c r="D217" s="14" t="str">
        <x:v>cult_place</x:v>
      </x:c>
      <x:c r="E217" s="14" t="str">
        <x:v>urban</x:v>
      </x:c>
      <x:c r="F217" s="14" t="str">
        <x:v>sanctuary</x:v>
      </x:c>
      <x:c r="G217" s="14" t="str">
        <x:v>Ιερό της Αθηνάς Πολιάδος στην Πριήνη</x:v>
      </x:c>
      <x:c r="H217" s="14" t="str">
        <x:v>Sanctuary of Athena Polias at Priene</x:v>
      </x:c>
      <x:c r="I217" s="14" t="str">
        <x:v>Ἀθηνᾶ Πολιάς</x:v>
      </x:c>
      <x:c r="J217" s="16" t="str">
        <x:v>Κύριο αστικό ιερό της Πριήνης με ιωνικό ναό σχεδιασμένο από τον Πύθεο και αφιέρωση που συνδέθηκε με τον Μέγα Αλέξανδρο.</x:v>
      </x:c>
      <x:c r="K217" s="16" t="str">
        <x:v>Priene's main urban sanctuary with an Ionic temple designed by Pytheos and a dedication associated with Alexander the Great.</x:v>
      </x:c>
      <x:c r="L217" s="14"/>
      <x:c r="M217" s="14" t="str">
        <x:v>urban</x:v>
      </x:c>
      <x:c r="N217" s="14"/>
      <x:c r="O217" s="14" t="str">
        <x:v>region-ionia</x:v>
      </x:c>
      <x:c r="P217" s="14" t="str">
        <x:v>approximate</x:v>
      </x:c>
      <x:c r="Q217" s="14" t="str">
        <x:v>high</x:v>
      </x:c>
      <x:c r="R217" s="14" t="str">
        <x:v>high</x:v>
      </x:c>
      <x:c r="S217" s="14" t="str">
        <x:v>reviewed</x:v>
      </x:c>
      <x:c r="T217" s="14" t="str">
        <x:v>machine_assisted_reviewed</x:v>
      </x:c>
      <x:c r="U217" s="14" t="str">
        <x:v>1.0.0</x:v>
      </x:c>
      <x:c r="V217" s="14" t="str">
        <x:v>archaios_ellinikos_kosmos_entities_v0_1.csv</x:v>
      </x:c>
      <x:c r="W217" s="17" t="n">
        <x:v>46248</x:v>
      </x:c>
      <x:c r="X217" s="14" t="str">
        <x:v>Codex-assisted normalization of user research</x:v>
      </x:c>
    </x:row>
    <x:row r="218" ht="44" customHeight="1">
      <x:c r="A218" s="14" t="str">
        <x:v>sanctuary-rhodes-zeus-atabyrios-sanctuary</x:v>
      </x:c>
      <x:c r="B218" s="14" t="str">
        <x:v>sanctuary-rhodes-zeus-atabyrios-sanctuary</x:v>
      </x:c>
      <x:c r="C218" s="14" t="str">
        <x:v>sanctuary</x:v>
      </x:c>
      <x:c r="D218" s="14" t="str">
        <x:v>peak_sanctuary</x:v>
      </x:c>
      <x:c r="E218" s="14" t="str">
        <x:v>peak</x:v>
      </x:c>
      <x:c r="F218" s="14" t="str">
        <x:v>sanctuary</x:v>
      </x:c>
      <x:c r="G218" s="14" t="str">
        <x:v>Ιερό του Αταβυρίου Διός</x:v>
      </x:c>
      <x:c r="H218" s="14" t="str">
        <x:v>Sanctuary of Zeus Atabyrios</x:v>
      </x:c>
      <x:c r="I218" s="14" t="str">
        <x:v>Ζεὺς Ἀταβύριος</x:v>
      </x:c>
      <x:c r="J218" s="16" t="str">
        <x:v>Κορυφαίο ιερό στο υψηλότερο όρος της Ρόδου, με πανοραμικό έλεγχο του νησιού και λατρεία του τοπικού Δία.</x:v>
      </x:c>
      <x:c r="K218" s="16" t="str">
        <x:v>A mountaintop sanctuary on the highest peak of Rhodes, commanding wide views over the island and dedicated to its local Zeus.</x:v>
      </x:c>
      <x:c r="L218" s="14"/>
      <x:c r="M218" s="14" t="str">
        <x:v>peak</x:v>
      </x:c>
      <x:c r="N218" s="14"/>
      <x:c r="O218" s="14" t="str">
        <x:v>region-rodos</x:v>
      </x:c>
      <x:c r="P218" s="14" t="str">
        <x:v>approximate</x:v>
      </x:c>
      <x:c r="Q218" s="14" t="str">
        <x:v>high</x:v>
      </x:c>
      <x:c r="R218" s="14" t="str">
        <x:v>high</x:v>
      </x:c>
      <x:c r="S218" s="14" t="str">
        <x:v>reviewed</x:v>
      </x:c>
      <x:c r="T218" s="14" t="str">
        <x:v>machine_assisted_reviewed</x:v>
      </x:c>
      <x:c r="U218" s="14" t="str">
        <x:v>1.0.0</x:v>
      </x:c>
      <x:c r="V218" s="14" t="str">
        <x:v>archaios_ellinikos_kosmos_entities_v0_1.csv</x:v>
      </x:c>
      <x:c r="W218" s="17" t="n">
        <x:v>46248</x:v>
      </x:c>
      <x:c r="X218" s="14" t="str">
        <x:v>Codex-assisted normalization of user research</x:v>
      </x:c>
    </x:row>
    <x:row r="219" ht="44" customHeight="1">
      <x:c r="A219" s="14" t="str">
        <x:v>sanctuary-samos-heraion</x:v>
      </x:c>
      <x:c r="B219" s="14" t="str">
        <x:v>sanctuary-samos-heraion</x:v>
      </x:c>
      <x:c r="C219" s="14" t="str">
        <x:v>sanctuary</x:v>
      </x:c>
      <x:c r="D219" s="14" t="str">
        <x:v>cult_place</x:v>
      </x:c>
      <x:c r="E219" s="14" t="str">
        <x:v>extraurban</x:v>
      </x:c>
      <x:c r="F219" s="14" t="str">
        <x:v>sanctuary</x:v>
      </x:c>
      <x:c r="G219" s="14" t="str">
        <x:v>Ηραίο Σάμου</x:v>
      </x:c>
      <x:c r="H219" s="14" t="str">
        <x:v>Heraion of Samos</x:v>
      </x:c>
      <x:c r="I219" s="14" t="str">
        <x:v>Ἡραῖον Σάμου</x:v>
      </x:c>
      <x:c r="J219" s="16" t="str">
        <x:v>Μείζον ιωνικό ιερό κοντά στις εκβολές του Ίμβρασου, με διαδοχικούς γιγαντιαίους ναούς και πλούσιες διεθνείς αναθήσεις.</x:v>
      </x:c>
      <x:c r="K219" s="16" t="str">
        <x:v>A major Ionic sanctuary near the mouth of the Imbrasos, with successive gigantic temples and rich international dedications.</x:v>
      </x:c>
      <x:c r="L219" s="14"/>
      <x:c r="M219" s="14" t="str">
        <x:v>extraurban</x:v>
      </x:c>
      <x:c r="N219" s="14"/>
      <x:c r="O219" s="14" t="str">
        <x:v>region-ionia</x:v>
      </x:c>
      <x:c r="P219" s="14" t="str">
        <x:v>approximate</x:v>
      </x:c>
      <x:c r="Q219" s="14" t="str">
        <x:v>high</x:v>
      </x:c>
      <x:c r="R219" s="14" t="str">
        <x:v>high</x:v>
      </x:c>
      <x:c r="S219" s="14" t="str">
        <x:v>reviewed</x:v>
      </x:c>
      <x:c r="T219" s="14" t="str">
        <x:v>machine_assisted_reviewed</x:v>
      </x:c>
      <x:c r="U219" s="14" t="str">
        <x:v>1.0.0</x:v>
      </x:c>
      <x:c r="V219" s="14" t="str">
        <x:v>archaios_ellinikos_kosmos_entities_v0_1.csv</x:v>
      </x:c>
      <x:c r="W219" s="17" t="n">
        <x:v>46248</x:v>
      </x:c>
      <x:c r="X219" s="14" t="str">
        <x:v>Codex-assisted normalization of user research</x:v>
      </x:c>
    </x:row>
    <x:row r="220" ht="44" customHeight="1">
      <x:c r="A220" s="14" t="str">
        <x:v>sanctuary-samothrace-great-gods-sanctuary</x:v>
      </x:c>
      <x:c r="B220" s="14" t="str">
        <x:v>sanctuary-samothrace-great-gods-sanctuary</x:v>
      </x:c>
      <x:c r="C220" s="14" t="str">
        <x:v>sanctuary</x:v>
      </x:c>
      <x:c r="D220" s="14" t="str">
        <x:v>mystery_sanctuary</x:v>
      </x:c>
      <x:c r="E220" s="14" t="str">
        <x:v>mystery</x:v>
      </x:c>
      <x:c r="F220" s="14" t="str">
        <x:v>sanctuary</x:v>
      </x:c>
      <x:c r="G220" s="14" t="str">
        <x:v>Ιερό των Μεγάλων Θεών στη Σαμοθράκη</x:v>
      </x:c>
      <x:c r="H220" s="14" t="str">
        <x:v>Sanctuary of the Great Gods at Samothrace</x:v>
      </x:c>
      <x:c r="I220" s="14" t="str">
        <x:v>Θεῶν Μεγάλων ἱερόν</x:v>
      </x:c>
      <x:c r="J220" s="16" t="str">
        <x:v>Διεθνές μυστηριακό ιερό σε διαδοχικά άνδηρα, γνωστό για τελετές μύησης και μνημεία ελληνιστικών βασιλικών οίκων.</x:v>
      </x:c>
      <x:c r="K220" s="16" t="str">
        <x:v>An international mystery sanctuary arranged on successive terraces, known for initiation rites and monuments of Hellenistic royal houses.</x:v>
      </x:c>
      <x:c r="L220" s="14"/>
      <x:c r="M220" s="14"/>
      <x:c r="N220" s="14" t="str">
        <x:v>mystery</x:v>
      </x:c>
      <x:c r="O220" s="14" t="str">
        <x:v>region-thrake</x:v>
      </x:c>
      <x:c r="P220" s="14" t="str">
        <x:v>approximate</x:v>
      </x:c>
      <x:c r="Q220" s="14" t="str">
        <x:v>high</x:v>
      </x:c>
      <x:c r="R220" s="14" t="str">
        <x:v>high</x:v>
      </x:c>
      <x:c r="S220" s="14" t="str">
        <x:v>reviewed</x:v>
      </x:c>
      <x:c r="T220" s="14" t="str">
        <x:v>machine_assisted_reviewed</x:v>
      </x:c>
      <x:c r="U220" s="14" t="str">
        <x:v>1.0.0</x:v>
      </x:c>
      <x:c r="V220" s="14" t="str">
        <x:v>archaios_ellinikos_kosmos_entities_v0_1.csv</x:v>
      </x:c>
      <x:c r="W220" s="17" t="n">
        <x:v>46248</x:v>
      </x:c>
      <x:c r="X220" s="14" t="str">
        <x:v>Codex-assisted normalization of user research</x:v>
      </x:c>
    </x:row>
    <x:row r="221" ht="44" customHeight="1">
      <x:c r="A221" s="14" t="str">
        <x:v>sanctuary-sardis-artemis-sanctuary</x:v>
      </x:c>
      <x:c r="B221" s="14" t="str">
        <x:v>sanctuary-sardis-artemis-sanctuary</x:v>
      </x:c>
      <x:c r="C221" s="14" t="str">
        <x:v>sanctuary</x:v>
      </x:c>
      <x:c r="D221" s="14" t="str">
        <x:v>cult_place</x:v>
      </x:c>
      <x:c r="E221" s="14" t="str">
        <x:v>urban</x:v>
      </x:c>
      <x:c r="F221" s="14" t="str">
        <x:v>sanctuary</x:v>
      </x:c>
      <x:c r="G221" s="14" t="str">
        <x:v>Ιερό της Αρτέμιδος στις Σάρδεις</x:v>
      </x:c>
      <x:c r="H221" s="14" t="str">
        <x:v>Sanctuary of Artemis at Sardis</x:v>
      </x:c>
      <x:c r="I221" s="14" t="str">
        <x:v>Ἀρτέμιδος ἱερόν ἐν Σάρδεσι</x:v>
      </x:c>
      <x:c r="J221" s="16" t="str">
        <x:v>Μεγάλο λυδικό ιερό με περσική λατρευτική φάση και μνημειακό ελληνιστικό-ρωμαϊκό ναό που παρέμεινε ημιτελής.</x:v>
      </x:c>
      <x:c r="K221" s="16" t="str">
        <x:v>A large Lydian sanctuary with a Persian cult phase and a monumental Hellenistic-Roman temple that remained incomplete.</x:v>
      </x:c>
      <x:c r="L221" s="14"/>
      <x:c r="M221" s="14" t="str">
        <x:v>urban</x:v>
      </x:c>
      <x:c r="N221" s="14"/>
      <x:c r="O221" s="14" t="str">
        <x:v>region-lydia</x:v>
      </x:c>
      <x:c r="P221" s="14" t="str">
        <x:v>approximate</x:v>
      </x:c>
      <x:c r="Q221" s="14" t="str">
        <x:v>high</x:v>
      </x:c>
      <x:c r="R221" s="14" t="str">
        <x:v>high</x:v>
      </x:c>
      <x:c r="S221" s="14" t="str">
        <x:v>reviewed</x:v>
      </x:c>
      <x:c r="T221" s="14" t="str">
        <x:v>machine_assisted_reviewed</x:v>
      </x:c>
      <x:c r="U221" s="14" t="str">
        <x:v>1.0.0</x:v>
      </x:c>
      <x:c r="V221" s="14" t="str">
        <x:v>archaios_ellinikos_kosmos_entities_v0_1.csv</x:v>
      </x:c>
      <x:c r="W221" s="17" t="n">
        <x:v>46248</x:v>
      </x:c>
      <x:c r="X221" s="14" t="str">
        <x:v>Codex-assisted normalization of user research</x:v>
      </x:c>
    </x:row>
    <x:row r="222" ht="44" customHeight="1">
      <x:c r="A222" s="14" t="str">
        <x:v>sanctuary-segesta-doric-temple-sanctuary</x:v>
      </x:c>
      <x:c r="B222" s="14" t="str">
        <x:v>sanctuary-segesta-doric-temple-sanctuary</x:v>
      </x:c>
      <x:c r="C222" s="14" t="str">
        <x:v>sanctuary</x:v>
      </x:c>
      <x:c r="D222" s="14" t="str">
        <x:v>cult_place</x:v>
      </x:c>
      <x:c r="E222" s="14" t="str">
        <x:v>rural</x:v>
      </x:c>
      <x:c r="F222" s="14" t="str">
        <x:v>sanctuary</x:v>
      </x:c>
      <x:c r="G222" s="14" t="str">
        <x:v>Δωρικός ναός της Έγεστας</x:v>
      </x:c>
      <x:c r="H222" s="14" t="str">
        <x:v>Doric Temple of Segesta</x:v>
      </x:c>
      <x:c r="I222" s="14"/>
      <x:c r="J222" s="16" t="str">
        <x:v>Ημιτελής περίπτερος δωρικός ναός του ύστερου 5ου αιώνα π.Χ. σε εξωαστική θέση· η αφιέρωση και η ακριβής λειτουργία του παραμένουν αβέβαιες.</x:v>
      </x:c>
      <x:c r="K222" s="16" t="str">
        <x:v>An unfinished peripteral Doric temple of the late fifth century BCE in an extra-urban setting; its dedication and precise function remain uncertain.</x:v>
      </x:c>
      <x:c r="L222" s="14"/>
      <x:c r="M222" s="14" t="str">
        <x:v>rural</x:v>
      </x:c>
      <x:c r="N222" s="14"/>
      <x:c r="O222" s="14" t="str">
        <x:v>region-sikelia</x:v>
      </x:c>
      <x:c r="P222" s="14" t="str">
        <x:v>approximate</x:v>
      </x:c>
      <x:c r="Q222" s="14" t="str">
        <x:v>medium</x:v>
      </x:c>
      <x:c r="R222" s="14" t="str">
        <x:v>medium</x:v>
      </x:c>
      <x:c r="S222" s="14" t="str">
        <x:v>reviewed</x:v>
      </x:c>
      <x:c r="T222" s="14" t="str">
        <x:v>machine_assisted_reviewed</x:v>
      </x:c>
      <x:c r="U222" s="14" t="str">
        <x:v>1.0.0</x:v>
      </x:c>
      <x:c r="V222" s="14" t="str">
        <x:v>archaios_ellinikos_kosmos_entities_v0_1.csv</x:v>
      </x:c>
      <x:c r="W222" s="17" t="n">
        <x:v>46249</x:v>
      </x:c>
      <x:c r="X222" s="14" t="str">
        <x:v>Codex-assisted scholarly review</x:v>
      </x:c>
    </x:row>
    <x:row r="223" ht="44" customHeight="1">
      <x:c r="A223" s="14" t="str">
        <x:v>sanctuary-selinous-demeter-malophoros-sanctuary</x:v>
      </x:c>
      <x:c r="B223" s="14" t="str">
        <x:v>sanctuary-selinous-demeter-malophoros-sanctuary</x:v>
      </x:c>
      <x:c r="C223" s="14" t="str">
        <x:v>sanctuary</x:v>
      </x:c>
      <x:c r="D223" s="14" t="str">
        <x:v>cult_place</x:v>
      </x:c>
      <x:c r="E223" s="14" t="str">
        <x:v>rural</x:v>
      </x:c>
      <x:c r="F223" s="14" t="str">
        <x:v>sanctuary</x:v>
      </x:c>
      <x:c r="G223" s="14" t="str">
        <x:v>Ιερό της Δήμητρας Μαλοφόρου στον Σελινούντα</x:v>
      </x:c>
      <x:c r="H223" s="14" t="str">
        <x:v>Sanctuary of Demeter Malophoros at Selinus</x:v>
      </x:c>
      <x:c r="I223" s="14" t="str">
        <x:v>Δήμητρος Μαλοφόρου ἱερόν</x:v>
      </x:c>
      <x:c r="J223" s="16" t="str">
        <x:v>Μεγάλο εξωαστικό τέμενος δυτικά της πόλης, με ναό, βωμούς και χιλιάδες αναθήματα που μαρτυρούν μακρά και πολυπολιτισμική χρήση.</x:v>
      </x:c>
      <x:c r="K223" s="16" t="str">
        <x:v>A large extra-urban sacred precinct west of the city, with a temple, altars and thousands of offerings attesting long and multicultural use.</x:v>
      </x:c>
      <x:c r="L223" s="14"/>
      <x:c r="M223" s="14" t="str">
        <x:v>rural</x:v>
      </x:c>
      <x:c r="N223" s="14"/>
      <x:c r="O223" s="14" t="str">
        <x:v>region-sikelia</x:v>
      </x:c>
      <x:c r="P223" s="14" t="str">
        <x:v>approximate</x:v>
      </x:c>
      <x:c r="Q223" s="14" t="str">
        <x:v>high</x:v>
      </x:c>
      <x:c r="R223" s="14" t="str">
        <x:v>high</x:v>
      </x:c>
      <x:c r="S223" s="14" t="str">
        <x:v>reviewed</x:v>
      </x:c>
      <x:c r="T223" s="14" t="str">
        <x:v>machine_assisted_reviewed</x:v>
      </x:c>
      <x:c r="U223" s="14" t="str">
        <x:v>1.0.0</x:v>
      </x:c>
      <x:c r="V223" s="14" t="str">
        <x:v>archaios_ellinikos_kosmos_entities_v0_1.csv</x:v>
      </x:c>
      <x:c r="W223" s="17" t="n">
        <x:v>46248</x:v>
      </x:c>
      <x:c r="X223" s="14" t="str">
        <x:v>Codex-assisted normalization of user research</x:v>
      </x:c>
    </x:row>
    <x:row r="224" ht="44" customHeight="1">
      <x:c r="A224" s="14" t="str">
        <x:v>sanctuary-siwa-amun-zeus-oracle</x:v>
      </x:c>
      <x:c r="B224" s="14" t="str">
        <x:v>sanctuary-siwa-amun-zeus-oracle</x:v>
      </x:c>
      <x:c r="C224" s="14" t="str">
        <x:v>sanctuary</x:v>
      </x:c>
      <x:c r="D224" s="14" t="str">
        <x:v>oracle</x:v>
      </x:c>
      <x:c r="E224" s="14" t="str">
        <x:v>oracle</x:v>
      </x:c>
      <x:c r="F224" s="14" t="str">
        <x:v>sanctuary</x:v>
      </x:c>
      <x:c r="G224" s="14" t="str">
        <x:v>Μαντείο του Άμμωνα στη Σίβα</x:v>
      </x:c>
      <x:c r="H224" s="14" t="str">
        <x:v>Oracle of Amun/Zeus Ammon at Siwa</x:v>
      </x:c>
      <x:c r="I224" s="14" t="str">
        <x:v>Ἄμμωνος χρηστήριον</x:v>
      </x:c>
      <x:c r="J224" s="16" t="str">
        <x:v>Περίφημο μαντείο στην όαση της Σίβα, όπου ο αιγυπτιακός Άμμων ταυτίστηκε με τον Δία και το οποίο συμβουλεύτηκε ο Αλέξανδρος.</x:v>
      </x:c>
      <x:c r="K224" s="16" t="str">
        <x:v>A celebrated oracle at the Siwa Oasis, where the Egyptian Amun was identified with Zeus and which Alexander consulted.</x:v>
      </x:c>
      <x:c r="L224" s="14"/>
      <x:c r="M224" s="14"/>
      <x:c r="N224" s="14" t="str">
        <x:v>oracle</x:v>
      </x:c>
      <x:c r="O224" s="14" t="str">
        <x:v>region-libyke-eremos</x:v>
      </x:c>
      <x:c r="P224" s="14" t="str">
        <x:v>approximate</x:v>
      </x:c>
      <x:c r="Q224" s="14" t="str">
        <x:v>high</x:v>
      </x:c>
      <x:c r="R224" s="14" t="str">
        <x:v>high</x:v>
      </x:c>
      <x:c r="S224" s="14" t="str">
        <x:v>reviewed</x:v>
      </x:c>
      <x:c r="T224" s="14" t="str">
        <x:v>machine_assisted_reviewed</x:v>
      </x:c>
      <x:c r="U224" s="14" t="str">
        <x:v>1.0.0</x:v>
      </x:c>
      <x:c r="V224" s="14" t="str">
        <x:v>archaios_ellinikos_kosmos_entities_v0_1.csv</x:v>
      </x:c>
      <x:c r="W224" s="17" t="n">
        <x:v>46248</x:v>
      </x:c>
      <x:c r="X224" s="14" t="str">
        <x:v>Codex-assisted normalization of user research</x:v>
      </x:c>
    </x:row>
    <x:row r="225" ht="44" customHeight="1">
      <x:c r="A225" s="14" t="str">
        <x:v>sanctuary-smintheion-apollo-sanctuary</x:v>
      </x:c>
      <x:c r="B225" s="14" t="str">
        <x:v>sanctuary-smintheion-apollo-sanctuary</x:v>
      </x:c>
      <x:c r="C225" s="14" t="str">
        <x:v>sanctuary</x:v>
      </x:c>
      <x:c r="D225" s="14" t="str">
        <x:v>cult_place</x:v>
      </x:c>
      <x:c r="E225" s="14" t="str">
        <x:v>rural</x:v>
      </x:c>
      <x:c r="F225" s="14" t="str">
        <x:v>sanctuary</x:v>
      </x:c>
      <x:c r="G225" s="14" t="str">
        <x:v>Σμίνθειο</x:v>
      </x:c>
      <x:c r="H225" s="14" t="str">
        <x:v>Sanctuary of Apollo Smintheus</x:v>
      </x:c>
      <x:c r="I225" s="14" t="str">
        <x:v>Σμίνθειον</x:v>
      </x:c>
      <x:c r="J225" s="16" t="str">
        <x:v>Ιερό της Τρωάδας γνωστό από τον Όμηρο, με μνημειακό ιωνικό ναό του 2ου αιώνα π.Χ. και ανάγλυφα του τρωικού κύκλου.</x:v>
      </x:c>
      <x:c r="K225" s="16" t="str">
        <x:v>Sanctuary of Troas known by Homer, with a monumental Ionic temple of the 2nd century BC. and reliefs of the trojan cycle.</x:v>
      </x:c>
      <x:c r="L225" s="14"/>
      <x:c r="M225" s="14" t="str">
        <x:v>rural</x:v>
      </x:c>
      <x:c r="N225" s="14"/>
      <x:c r="O225" s="14" t="str">
        <x:v>region-troada</x:v>
      </x:c>
      <x:c r="P225" s="14" t="str">
        <x:v>approximate</x:v>
      </x:c>
      <x:c r="Q225" s="14" t="str">
        <x:v>high</x:v>
      </x:c>
      <x:c r="R225" s="14" t="str">
        <x:v>high</x:v>
      </x:c>
      <x:c r="S225" s="14" t="str">
        <x:v>reviewed</x:v>
      </x:c>
      <x:c r="T225" s="14" t="str">
        <x:v>machine_assisted_reviewed</x:v>
      </x:c>
      <x:c r="U225" s="14" t="str">
        <x:v>1.0.0</x:v>
      </x:c>
      <x:c r="V225" s="14" t="str">
        <x:v>archaios_ellinikos_kosmos_entities_v0_1.csv</x:v>
      </x:c>
      <x:c r="W225" s="17" t="n">
        <x:v>46248</x:v>
      </x:c>
      <x:c r="X225" s="14" t="str">
        <x:v>Codex-assisted normalization of user research</x:v>
      </x:c>
    </x:row>
    <x:row r="226" ht="44" customHeight="1">
      <x:c r="A226" s="14" t="str">
        <x:v>sanctuary-sounion-poseidon-sanctuary</x:v>
      </x:c>
      <x:c r="B226" s="14" t="str">
        <x:v>sanctuary-sounion-poseidon-sanctuary</x:v>
      </x:c>
      <x:c r="C226" s="14" t="str">
        <x:v>sanctuary</x:v>
      </x:c>
      <x:c r="D226" s="14" t="str">
        <x:v>cult_place</x:v>
      </x:c>
      <x:c r="E226" s="14" t="str">
        <x:v>rural</x:v>
      </x:c>
      <x:c r="F226" s="14" t="str">
        <x:v>sanctuary</x:v>
      </x:c>
      <x:c r="G226" s="14" t="str">
        <x:v>Ιερό του Ποσειδώνα στο Σούνιο</x:v>
      </x:c>
      <x:c r="H226" s="14" t="str">
        <x:v>Sanctuary of Poseidon at Sounion</x:v>
      </x:c>
      <x:c r="I226" s="14" t="str">
        <x:v>Σούνιον</x:v>
      </x:c>
      <x:c r="J226" s="16" t="str">
        <x:v>Οχυρωμένο παράκτιο ιερό στο νοτιότερο άκρο της Αττικής, με τον κλασικό μαρμάρινο ναό πάνω σε παλαιότερο αρχαϊκό.</x:v>
      </x:c>
      <x:c r="K226" s="16" t="str">
        <x:v>Fortified coastal sanctuary at the southernmost tip of Attica, with the classical marble temple on top of an older archaic one.</x:v>
      </x:c>
      <x:c r="L226" s="14"/>
      <x:c r="M226" s="14" t="str">
        <x:v>rural</x:v>
      </x:c>
      <x:c r="N226" s="14"/>
      <x:c r="O226" s="14" t="str">
        <x:v>region-attike</x:v>
      </x:c>
      <x:c r="P226" s="14" t="str">
        <x:v>approximate</x:v>
      </x:c>
      <x:c r="Q226" s="14" t="str">
        <x:v>high</x:v>
      </x:c>
      <x:c r="R226" s="14" t="str">
        <x:v>high</x:v>
      </x:c>
      <x:c r="S226" s="14" t="str">
        <x:v>reviewed</x:v>
      </x:c>
      <x:c r="T226" s="14" t="str">
        <x:v>machine_assisted_reviewed</x:v>
      </x:c>
      <x:c r="U226" s="14" t="str">
        <x:v>1.0.0</x:v>
      </x:c>
      <x:c r="V226" s="14" t="str">
        <x:v>archaios_ellinikos_kosmos_entities_v0_1.csv</x:v>
      </x:c>
      <x:c r="W226" s="17" t="n">
        <x:v>46248</x:v>
      </x:c>
      <x:c r="X226" s="14" t="str">
        <x:v>Codex-assisted normalization of user research</x:v>
      </x:c>
    </x:row>
    <x:row r="227" ht="44" customHeight="1">
      <x:c r="A227" s="14" t="str">
        <x:v>sanctuary-syracuse-apollo-sanctuary</x:v>
      </x:c>
      <x:c r="B227" s="14" t="str">
        <x:v>sanctuary-syracuse-apollo-sanctuary</x:v>
      </x:c>
      <x:c r="C227" s="14" t="str">
        <x:v>sanctuary</x:v>
      </x:c>
      <x:c r="D227" s="14" t="str">
        <x:v>cult_place</x:v>
      </x:c>
      <x:c r="E227" s="14" t="str">
        <x:v>urban</x:v>
      </x:c>
      <x:c r="F227" s="14" t="str">
        <x:v>sanctuary</x:v>
      </x:c>
      <x:c r="G227" s="14" t="str">
        <x:v>Ναός του Απόλλωνα στις Συρακούσες</x:v>
      </x:c>
      <x:c r="H227" s="14" t="str">
        <x:v>Temple of Apollo at Syracuse</x:v>
      </x:c>
      <x:c r="I227" s="14" t="str">
        <x:v>Ἀπόλλωνος ἱερόν ἐν Ὀρτυγίᾳ</x:v>
      </x:c>
      <x:c r="J227" s="16" t="str">
        <x:v>Ένας από τους αρχαιότερους μνημειακούς δωρικούς ναούς της Σικελίας, στην είσοδο της Ορτυγίας, με μεταγενέστερες θρησκευτικές επαναχρήσεις.</x:v>
      </x:c>
      <x:c r="K227" s="16" t="str">
        <x:v>One of the oldest monumental Doric temples of Sicily, at the entrance of Ortygia, with later religious reuses.</x:v>
      </x:c>
      <x:c r="L227" s="14"/>
      <x:c r="M227" s="14" t="str">
        <x:v>urban</x:v>
      </x:c>
      <x:c r="N227" s="14"/>
      <x:c r="O227" s="14" t="str">
        <x:v>region-sikelia</x:v>
      </x:c>
      <x:c r="P227" s="14" t="str">
        <x:v>approximate</x:v>
      </x:c>
      <x:c r="Q227" s="14" t="str">
        <x:v>high</x:v>
      </x:c>
      <x:c r="R227" s="14" t="str">
        <x:v>high</x:v>
      </x:c>
      <x:c r="S227" s="14" t="str">
        <x:v>reviewed</x:v>
      </x:c>
      <x:c r="T227" s="14" t="str">
        <x:v>machine_assisted_reviewed</x:v>
      </x:c>
      <x:c r="U227" s="14" t="str">
        <x:v>1.0.0</x:v>
      </x:c>
      <x:c r="V227" s="14" t="str">
        <x:v>archaios_ellinikos_kosmos_entities_v0_1.csv</x:v>
      </x:c>
      <x:c r="W227" s="17" t="n">
        <x:v>46248</x:v>
      </x:c>
      <x:c r="X227" s="14" t="str">
        <x:v>Codex-assisted normalization of user research</x:v>
      </x:c>
    </x:row>
    <x:row r="228" ht="44" customHeight="1">
      <x:c r="A228" s="14" t="str">
        <x:v>sanctuary-tegea-athena-alea-sanctuary</x:v>
      </x:c>
      <x:c r="B228" s="14" t="str">
        <x:v>sanctuary-tegea-athena-alea-sanctuary</x:v>
      </x:c>
      <x:c r="C228" s="14" t="str">
        <x:v>sanctuary</x:v>
      </x:c>
      <x:c r="D228" s="14" t="str">
        <x:v>cult_place</x:v>
      </x:c>
      <x:c r="E228" s="14" t="str">
        <x:v>urban</x:v>
      </x:c>
      <x:c r="F228" s="14" t="str">
        <x:v>sanctuary</x:v>
      </x:c>
      <x:c r="G228" s="14" t="str">
        <x:v>Ιερό της Αθηνάς Αλέας στην Τεγέα</x:v>
      </x:c>
      <x:c r="H228" s="14" t="str">
        <x:v>Sanctuary of Athena Alea at Tegea</x:v>
      </x:c>
      <x:c r="I228" s="14" t="str">
        <x:v>Ἀθηνᾶς Ἀλέας ἱερόν</x:v>
      </x:c>
      <x:c r="J228" s="16" t="str">
        <x:v>Κεντρικό αρκαδικό ιερό με αρχαϊκή φάση και τον μνημειακό ναό που αποδόθηκε στον Σκόπα μετά την πυρκαγιά του 394 π.Χ.</x:v>
      </x:c>
      <x:c r="K228" s="16" t="str">
        <x:v>Central Arcadian sanctuary with an archaic phase and the monumental temple attributed to Scopas after the fire of 394 BC.</x:v>
      </x:c>
      <x:c r="L228" s="14"/>
      <x:c r="M228" s="14" t="str">
        <x:v>urban</x:v>
      </x:c>
      <x:c r="N228" s="14"/>
      <x:c r="O228" s="14" t="str">
        <x:v>region-arkadia</x:v>
      </x:c>
      <x:c r="P228" s="14" t="str">
        <x:v>approximate</x:v>
      </x:c>
      <x:c r="Q228" s="14" t="str">
        <x:v>high</x:v>
      </x:c>
      <x:c r="R228" s="14" t="str">
        <x:v>high</x:v>
      </x:c>
      <x:c r="S228" s="14" t="str">
        <x:v>reviewed</x:v>
      </x:c>
      <x:c r="T228" s="14" t="str">
        <x:v>machine_assisted_reviewed</x:v>
      </x:c>
      <x:c r="U228" s="14" t="str">
        <x:v>1.0.0</x:v>
      </x:c>
      <x:c r="V228" s="14" t="str">
        <x:v>archaios_ellinikos_kosmos_entities_v0_1.csv</x:v>
      </x:c>
      <x:c r="W228" s="17" t="n">
        <x:v>46248</x:v>
      </x:c>
      <x:c r="X228" s="14" t="str">
        <x:v>Codex-assisted normalization of user research</x:v>
      </x:c>
    </x:row>
    <x:row r="229" ht="44" customHeight="1">
      <x:c r="A229" s="14" t="str">
        <x:v>sanctuary-thermon-apollo-sanctuary</x:v>
      </x:c>
      <x:c r="B229" s="14" t="str">
        <x:v>sanctuary-thermon-apollo-sanctuary</x:v>
      </x:c>
      <x:c r="C229" s="14" t="str">
        <x:v>sanctuary</x:v>
      </x:c>
      <x:c r="D229" s="14" t="str">
        <x:v>cult_place</x:v>
      </x:c>
      <x:c r="E229" s="14" t="str">
        <x:v>federal</x:v>
      </x:c>
      <x:c r="F229" s="14" t="str">
        <x:v>sanctuary</x:v>
      </x:c>
      <x:c r="G229" s="14" t="str">
        <x:v>Ιερό του Απόλλωνα στο Θέρμο</x:v>
      </x:c>
      <x:c r="H229" s="14" t="str">
        <x:v>Sanctuary of Apollo at Thermon</x:v>
      </x:c>
      <x:c r="I229" s="14" t="str">
        <x:v>Θέρμον</x:v>
      </x:c>
      <x:c r="J229" s="16" t="str">
        <x:v>Θρησκευτικό και πολιτικό κέντρο των Αιτωλών. Η έναρξη αφορά τον αρχαϊκό ναό του Απόλλωνα και όχι τα προγενέστερα μέγαρα της Εποχής του Χαλκού.</x:v>
      </x:c>
      <x:c r="K229" s="16" t="str">
        <x:v>The religious and political centre of the Aetolians. The start date refers to the Archaic temple of Apollo, not the earlier Bronze Age megaron buildings.</x:v>
      </x:c>
      <x:c r="L229" s="14" t="str">
        <x:v>federal</x:v>
      </x:c>
      <x:c r="M229" s="14"/>
      <x:c r="N229" s="14"/>
      <x:c r="O229" s="14" t="str">
        <x:v>region-aitolia</x:v>
      </x:c>
      <x:c r="P229" s="14" t="str">
        <x:v>approximate</x:v>
      </x:c>
      <x:c r="Q229" s="14" t="str">
        <x:v>high</x:v>
      </x:c>
      <x:c r="R229" s="14" t="str">
        <x:v>high</x:v>
      </x:c>
      <x:c r="S229" s="14" t="str">
        <x:v>reviewed</x:v>
      </x:c>
      <x:c r="T229" s="14" t="str">
        <x:v>machine_assisted_reviewed</x:v>
      </x:c>
      <x:c r="U229" s="14" t="str">
        <x:v>1.0.0</x:v>
      </x:c>
      <x:c r="V229" s="14" t="str">
        <x:v>archaios_ellinikos_kosmos_entities_v0_1.csv</x:v>
      </x:c>
      <x:c r="W229" s="17" t="n">
        <x:v>46248</x:v>
      </x:c>
      <x:c r="X229" s="14" t="str">
        <x:v>Codex-assisted normalization of user research</x:v>
      </x:c>
    </x:row>
    <x:row r="230" ht="44" customHeight="1">
      <x:c r="A230" s="14" t="str">
        <x:v>sanctuary-tinos-poseidon-amphitrite-sanctuary</x:v>
      </x:c>
      <x:c r="B230" s="14" t="str">
        <x:v>sanctuary-tinos-poseidon-amphitrite-sanctuary</x:v>
      </x:c>
      <x:c r="C230" s="14" t="str">
        <x:v>sanctuary</x:v>
      </x:c>
      <x:c r="D230" s="14" t="str">
        <x:v>healing_sanctuary</x:v>
      </x:c>
      <x:c r="E230" s="14" t="str">
        <x:v>healing</x:v>
      </x:c>
      <x:c r="F230" s="14" t="str">
        <x:v>sanctuary</x:v>
      </x:c>
      <x:c r="G230" s="14" t="str">
        <x:v>Ιερό Ποσειδώνα και Αμφιτρίτης στην Τήνο</x:v>
      </x:c>
      <x:c r="H230" s="14" t="str">
        <x:v>Sanctuary of Poseidon and Amphitrite on Tinos</x:v>
      </x:c>
      <x:c r="I230" s="14" t="str">
        <x:v>Ποσειδῶνος καὶ Ἀμφιτρίτης ἱερόν</x:v>
      </x:c>
      <x:c r="J230" s="16" t="str">
        <x:v>Ελληνιστικό παράκτιο ιερό με θεραπευτική διάσταση, μνημειακό βωμό, κρήνες, λουτρικές εγκαταστάσεις και στοές.</x:v>
      </x:c>
      <x:c r="K230" s="16" t="str">
        <x:v>Hellenistic coastal sanctuary with a therapeutic dimension, monumental altar, fountains, bathing facilities and arcades.</x:v>
      </x:c>
      <x:c r="L230" s="14"/>
      <x:c r="M230" s="14"/>
      <x:c r="N230" s="14" t="str">
        <x:v>healing</x:v>
      </x:c>
      <x:c r="O230" s="14" t="str">
        <x:v>region-kyklades</x:v>
      </x:c>
      <x:c r="P230" s="14" t="str">
        <x:v>approximate</x:v>
      </x:c>
      <x:c r="Q230" s="14" t="str">
        <x:v>high</x:v>
      </x:c>
      <x:c r="R230" s="14" t="str">
        <x:v>high</x:v>
      </x:c>
      <x:c r="S230" s="14" t="str">
        <x:v>reviewed</x:v>
      </x:c>
      <x:c r="T230" s="14" t="str">
        <x:v>machine_assisted_reviewed</x:v>
      </x:c>
      <x:c r="U230" s="14" t="str">
        <x:v>1.0.0</x:v>
      </x:c>
      <x:c r="V230" s="14" t="str">
        <x:v>archaios_ellinikos_kosmos_entities_v0_1.csv</x:v>
      </x:c>
      <x:c r="W230" s="17" t="n">
        <x:v>46248</x:v>
      </x:c>
      <x:c r="X230" s="14" t="str">
        <x:v>Codex-assisted normalization of user research</x:v>
      </x:c>
    </x:row>
  </x:sheetData>
  <x:mergeCells>
    <x:mergeCell ref="A1:X1"/>
    <x:mergeCell ref="A2:X2"/>
  </x:mergeCells>
  <x:pageMargins left="0.7" right="0.7" top="0.75" bottom="0.75" header="0.3" footer="0.3"/>
  <x:tableParts count="1">
    <x:tablePart xmlns:r="http://schemas.openxmlformats.org/officeDocument/2006/relationships" r:id="R6fdd26c38e7245f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36" hidden="0" customWidth="1"/>
    <x:col min="3" max="3" width="32" hidden="0" customWidth="1"/>
    <x:col min="4" max="4" width="18" hidden="0" customWidth="1"/>
    <x:col min="5" max="5" width="18" hidden="0" customWidth="1"/>
    <x:col min="6" max="6" width="28" hidden="0" customWidth="1"/>
    <x:col min="7" max="7" width="18" hidden="0" customWidth="1"/>
    <x:col min="8" max="8" width="13" hidden="0" customWidth="1"/>
    <x:col min="9" max="9" width="13" hidden="0" customWidth="1"/>
    <x:col min="10" max="10" width="24" hidden="0" customWidth="1"/>
    <x:col min="11" max="11" width="18" hidden="0" customWidth="1"/>
  </x:cols>
  <x:sheetData>
    <x:row r="1" ht="34" customHeight="1">
      <x:c r="A1" s="3" t="str">
        <x:v>Names / Ονομασίες</x:v>
      </x:c>
      <x:c r="B1" s="3"/>
      <x:c r="C1" s="3"/>
      <x:c r="D1" s="3"/>
      <x:c r="E1" s="3"/>
      <x:c r="F1" s="3"/>
      <x:c r="G1" s="3"/>
      <x:c r="H1" s="3"/>
      <x:c r="I1" s="3"/>
      <x:c r="J1" s="3"/>
      <x:c r="K1" s="3"/>
    </x:row>
    <x:row r="2" ht="28" customHeight="1">
      <x:c r="A2" s="8" t="str">
        <x:v>Preferred, ancient and alternative linguistic forms linked to canonical entities.</x:v>
      </x:c>
      <x:c r="B2" s="8"/>
      <x:c r="C2" s="8"/>
      <x:c r="D2" s="8"/>
      <x:c r="E2" s="8"/>
      <x:c r="F2" s="8"/>
      <x:c r="G2" s="8"/>
      <x:c r="H2" s="8"/>
      <x:c r="I2" s="8"/>
      <x:c r="J2" s="8"/>
      <x:c r="K2" s="8"/>
    </x:row>
    <x:row r="4" ht="30" customHeight="1">
      <x:c r="A4" s="13" t="str">
        <x:v>name_id</x:v>
      </x:c>
      <x:c r="B4" s="13" t="str">
        <x:v>entity_id</x:v>
      </x:c>
      <x:c r="C4" s="13" t="str">
        <x:v>name</x:v>
      </x:c>
      <x:c r="D4" s="13" t="str">
        <x:v>language</x:v>
      </x:c>
      <x:c r="E4" s="13" t="str">
        <x:v>script</x:v>
      </x:c>
      <x:c r="F4" s="13" t="str">
        <x:v>name_type</x:v>
      </x:c>
      <x:c r="G4" s="13" t="str">
        <x:v>is_preferred</x:v>
      </x:c>
      <x:c r="H4" s="13" t="str">
        <x:v>start_year</x:v>
      </x:c>
      <x:c r="I4" s="13" t="str">
        <x:v>end_year</x:v>
      </x:c>
      <x:c r="J4" s="13" t="str">
        <x:v>source_id</x:v>
      </x:c>
      <x:c r="K4" s="13" t="str">
        <x:v>review_state</x:v>
      </x:c>
    </x:row>
    <x:row r="5" ht="26" customHeight="1">
      <x:c r="A5" s="14" t="str">
        <x:v>name-city-aegina-city-el-preferred</x:v>
      </x:c>
      <x:c r="B5" s="14" t="str">
        <x:v>city-aegina-city</x:v>
      </x:c>
      <x:c r="C5" s="14" t="str">
        <x:v>Αίγινα</x:v>
      </x:c>
      <x:c r="D5" s="14" t="str">
        <x:v>el</x:v>
      </x:c>
      <x:c r="E5" s="14" t="str">
        <x:v>Grek</x:v>
      </x:c>
      <x:c r="F5" s="14" t="str">
        <x:v>preferred</x:v>
      </x:c>
      <x:c r="G5" s="20" t="b">
        <x:v>1</x:v>
      </x:c>
      <x:c r="H5" s="21"/>
      <x:c r="I5" s="21"/>
      <x:c r="J5" s="14" t="str">
        <x:v>src-pleiades-579853</x:v>
      </x:c>
      <x:c r="K5" s="14" t="str">
        <x:v>reviewed</x:v>
      </x:c>
    </x:row>
    <x:row r="6" ht="26" customHeight="1">
      <x:c r="A6" s="14" t="str">
        <x:v>name-city-aegina-city-en-preferred</x:v>
      </x:c>
      <x:c r="B6" s="14" t="str">
        <x:v>city-aegina-city</x:v>
      </x:c>
      <x:c r="C6" s="14" t="str">
        <x:v>Aegina</x:v>
      </x:c>
      <x:c r="D6" s="14" t="str">
        <x:v>en</x:v>
      </x:c>
      <x:c r="E6" s="14" t="str">
        <x:v>Latn</x:v>
      </x:c>
      <x:c r="F6" s="14" t="str">
        <x:v>preferred</x:v>
      </x:c>
      <x:c r="G6" s="20" t="b">
        <x:v>1</x:v>
      </x:c>
      <x:c r="H6" s="21"/>
      <x:c r="I6" s="21"/>
      <x:c r="J6" s="14" t="str">
        <x:v>src-pleiades-579853</x:v>
      </x:c>
      <x:c r="K6" s="14" t="str">
        <x:v>reviewed</x:v>
      </x:c>
    </x:row>
    <x:row r="7" ht="26" customHeight="1">
      <x:c r="A7" s="14" t="str">
        <x:v>name-city-aegina-city-grc-ancient</x:v>
      </x:c>
      <x:c r="B7" s="14" t="str">
        <x:v>city-aegina-city</x:v>
      </x:c>
      <x:c r="C7" s="14" t="str">
        <x:v>Αἴγινα</x:v>
      </x:c>
      <x:c r="D7" s="14" t="str">
        <x:v>grc</x:v>
      </x:c>
      <x:c r="E7" s="14" t="str">
        <x:v>Grek</x:v>
      </x:c>
      <x:c r="F7" s="14" t="str">
        <x:v>ancient</x:v>
      </x:c>
      <x:c r="G7" s="20" t="b">
        <x:v>0</x:v>
      </x:c>
      <x:c r="H7" s="21"/>
      <x:c r="I7" s="21"/>
      <x:c r="J7" s="14" t="str">
        <x:v>src-pleiades-579853</x:v>
      </x:c>
      <x:c r="K7" s="14" t="str">
        <x:v>reviewed</x:v>
      </x:c>
    </x:row>
    <x:row r="8" ht="26" customHeight="1">
      <x:c r="A8" s="14" t="str">
        <x:v>name-city-aigai-macedonia-el-preferred</x:v>
      </x:c>
      <x:c r="B8" s="14" t="str">
        <x:v>city-aigai-macedonia</x:v>
      </x:c>
      <x:c r="C8" s="14" t="str">
        <x:v>Αιγές</x:v>
      </x:c>
      <x:c r="D8" s="14" t="str">
        <x:v>el</x:v>
      </x:c>
      <x:c r="E8" s="14" t="str">
        <x:v>Grek</x:v>
      </x:c>
      <x:c r="F8" s="14" t="str">
        <x:v>preferred</x:v>
      </x:c>
      <x:c r="G8" s="20" t="b">
        <x:v>1</x:v>
      </x:c>
      <x:c r="H8" s="21"/>
      <x:c r="I8" s="21"/>
      <x:c r="J8" s="14" t="str">
        <x:v>src-pleiades-491512</x:v>
      </x:c>
      <x:c r="K8" s="14" t="str">
        <x:v>reviewed</x:v>
      </x:c>
    </x:row>
    <x:row r="9" ht="26" customHeight="1">
      <x:c r="A9" s="14" t="str">
        <x:v>name-city-aigai-macedonia-en-preferred</x:v>
      </x:c>
      <x:c r="B9" s="14" t="str">
        <x:v>city-aigai-macedonia</x:v>
      </x:c>
      <x:c r="C9" s="14" t="str">
        <x:v>Aigai</x:v>
      </x:c>
      <x:c r="D9" s="14" t="str">
        <x:v>en</x:v>
      </x:c>
      <x:c r="E9" s="14" t="str">
        <x:v>Latn</x:v>
      </x:c>
      <x:c r="F9" s="14" t="str">
        <x:v>preferred</x:v>
      </x:c>
      <x:c r="G9" s="20" t="b">
        <x:v>1</x:v>
      </x:c>
      <x:c r="H9" s="21"/>
      <x:c r="I9" s="21"/>
      <x:c r="J9" s="14" t="str">
        <x:v>src-pleiades-491512</x:v>
      </x:c>
      <x:c r="K9" s="14" t="str">
        <x:v>reviewed</x:v>
      </x:c>
    </x:row>
    <x:row r="10" ht="26" customHeight="1">
      <x:c r="A10" s="14" t="str">
        <x:v>name-city-aigai-macedonia-grc-ancient</x:v>
      </x:c>
      <x:c r="B10" s="14" t="str">
        <x:v>city-aigai-macedonia</x:v>
      </x:c>
      <x:c r="C10" s="14" t="str">
        <x:v>Αἰγαί</x:v>
      </x:c>
      <x:c r="D10" s="14" t="str">
        <x:v>grc</x:v>
      </x:c>
      <x:c r="E10" s="14" t="str">
        <x:v>Grek</x:v>
      </x:c>
      <x:c r="F10" s="14" t="str">
        <x:v>ancient</x:v>
      </x:c>
      <x:c r="G10" s="20" t="b">
        <x:v>0</x:v>
      </x:c>
      <x:c r="H10" s="21"/>
      <x:c r="I10" s="21"/>
      <x:c r="J10" s="14" t="str">
        <x:v>src-pleiades-491512</x:v>
      </x:c>
      <x:c r="K10" s="14" t="str">
        <x:v>reviewed</x:v>
      </x:c>
    </x:row>
    <x:row r="11" ht="26" customHeight="1">
      <x:c r="A11" s="14" t="str">
        <x:v>name-city-alexandria-egypt-el-preferred</x:v>
      </x:c>
      <x:c r="B11" s="14" t="str">
        <x:v>city-alexandria-egypt</x:v>
      </x:c>
      <x:c r="C11" s="14" t="str">
        <x:v>Αλεξάνδρεια</x:v>
      </x:c>
      <x:c r="D11" s="14" t="str">
        <x:v>el</x:v>
      </x:c>
      <x:c r="E11" s="14" t="str">
        <x:v>Grek</x:v>
      </x:c>
      <x:c r="F11" s="14" t="str">
        <x:v>preferred</x:v>
      </x:c>
      <x:c r="G11" s="20" t="b">
        <x:v>1</x:v>
      </x:c>
      <x:c r="H11" s="21"/>
      <x:c r="I11" s="21"/>
      <x:c r="J11" s="14" t="str">
        <x:v>src-pleiades-727070</x:v>
      </x:c>
      <x:c r="K11" s="14" t="str">
        <x:v>reviewed</x:v>
      </x:c>
    </x:row>
    <x:row r="12" ht="26" customHeight="1">
      <x:c r="A12" s="14" t="str">
        <x:v>name-city-alexandria-egypt-en-preferred</x:v>
      </x:c>
      <x:c r="B12" s="14" t="str">
        <x:v>city-alexandria-egypt</x:v>
      </x:c>
      <x:c r="C12" s="14" t="str">
        <x:v>Alexandria</x:v>
      </x:c>
      <x:c r="D12" s="14" t="str">
        <x:v>en</x:v>
      </x:c>
      <x:c r="E12" s="14" t="str">
        <x:v>Latn</x:v>
      </x:c>
      <x:c r="F12" s="14" t="str">
        <x:v>preferred</x:v>
      </x:c>
      <x:c r="G12" s="20" t="b">
        <x:v>1</x:v>
      </x:c>
      <x:c r="H12" s="21"/>
      <x:c r="I12" s="21"/>
      <x:c r="J12" s="14" t="str">
        <x:v>src-pleiades-727070</x:v>
      </x:c>
      <x:c r="K12" s="14" t="str">
        <x:v>reviewed</x:v>
      </x:c>
    </x:row>
    <x:row r="13" ht="26" customHeight="1">
      <x:c r="A13" s="14" t="str">
        <x:v>name-city-alexandria-egypt-grc-ancient</x:v>
      </x:c>
      <x:c r="B13" s="14" t="str">
        <x:v>city-alexandria-egypt</x:v>
      </x:c>
      <x:c r="C13" s="14" t="str">
        <x:v>Ἀλεξάνδρεια</x:v>
      </x:c>
      <x:c r="D13" s="14" t="str">
        <x:v>grc</x:v>
      </x:c>
      <x:c r="E13" s="14" t="str">
        <x:v>Grek</x:v>
      </x:c>
      <x:c r="F13" s="14" t="str">
        <x:v>ancient</x:v>
      </x:c>
      <x:c r="G13" s="20" t="b">
        <x:v>0</x:v>
      </x:c>
      <x:c r="H13" s="21"/>
      <x:c r="I13" s="21"/>
      <x:c r="J13" s="14" t="str">
        <x:v>src-pleiades-727070</x:v>
      </x:c>
      <x:c r="K13" s="14" t="str">
        <x:v>reviewed</x:v>
      </x:c>
    </x:row>
    <x:row r="14" ht="26" customHeight="1">
      <x:c r="A14" s="14" t="str">
        <x:v>name-city-antioch-orontes-el-preferred</x:v>
      </x:c>
      <x:c r="B14" s="14" t="str">
        <x:v>city-antioch-orontes</x:v>
      </x:c>
      <x:c r="C14" s="14" t="str">
        <x:v>Αντιόχεια επί Ορόντου</x:v>
      </x:c>
      <x:c r="D14" s="14" t="str">
        <x:v>el</x:v>
      </x:c>
      <x:c r="E14" s="14" t="str">
        <x:v>Grek</x:v>
      </x:c>
      <x:c r="F14" s="14" t="str">
        <x:v>preferred</x:v>
      </x:c>
      <x:c r="G14" s="20" t="b">
        <x:v>1</x:v>
      </x:c>
      <x:c r="H14" s="21"/>
      <x:c r="I14" s="21"/>
      <x:c r="J14" s="14" t="str">
        <x:v>src-pleiades-658381</x:v>
      </x:c>
      <x:c r="K14" s="14" t="str">
        <x:v>reviewed</x:v>
      </x:c>
    </x:row>
    <x:row r="15" ht="26" customHeight="1">
      <x:c r="A15" s="14" t="str">
        <x:v>name-city-antioch-orontes-en-preferred</x:v>
      </x:c>
      <x:c r="B15" s="14" t="str">
        <x:v>city-antioch-orontes</x:v>
      </x:c>
      <x:c r="C15" s="14" t="str">
        <x:v>Antioch on the Orontes</x:v>
      </x:c>
      <x:c r="D15" s="14" t="str">
        <x:v>en</x:v>
      </x:c>
      <x:c r="E15" s="14" t="str">
        <x:v>Latn</x:v>
      </x:c>
      <x:c r="F15" s="14" t="str">
        <x:v>preferred</x:v>
      </x:c>
      <x:c r="G15" s="20" t="b">
        <x:v>1</x:v>
      </x:c>
      <x:c r="H15" s="21"/>
      <x:c r="I15" s="21"/>
      <x:c r="J15" s="14" t="str">
        <x:v>src-pleiades-658381</x:v>
      </x:c>
      <x:c r="K15" s="14" t="str">
        <x:v>reviewed</x:v>
      </x:c>
    </x:row>
    <x:row r="16" ht="26" customHeight="1">
      <x:c r="A16" s="14" t="str">
        <x:v>name-city-antioch-orontes-grc-ancient</x:v>
      </x:c>
      <x:c r="B16" s="14" t="str">
        <x:v>city-antioch-orontes</x:v>
      </x:c>
      <x:c r="C16" s="14" t="str">
        <x:v>Ἀντιόχεια ἡ ἐπὶ Ὀρόντου</x:v>
      </x:c>
      <x:c r="D16" s="14" t="str">
        <x:v>grc</x:v>
      </x:c>
      <x:c r="E16" s="14" t="str">
        <x:v>Grek</x:v>
      </x:c>
      <x:c r="F16" s="14" t="str">
        <x:v>ancient</x:v>
      </x:c>
      <x:c r="G16" s="20" t="b">
        <x:v>0</x:v>
      </x:c>
      <x:c r="H16" s="21"/>
      <x:c r="I16" s="21"/>
      <x:c r="J16" s="14" t="str">
        <x:v>src-pleiades-658381</x:v>
      </x:c>
      <x:c r="K16" s="14" t="str">
        <x:v>reviewed</x:v>
      </x:c>
    </x:row>
    <x:row r="17" ht="26" customHeight="1">
      <x:c r="A17" s="14" t="str">
        <x:v>name-city-argos-el-preferred</x:v>
      </x:c>
      <x:c r="B17" s="14" t="str">
        <x:v>city-argos</x:v>
      </x:c>
      <x:c r="C17" s="14" t="str">
        <x:v>Άργος</x:v>
      </x:c>
      <x:c r="D17" s="14" t="str">
        <x:v>el</x:v>
      </x:c>
      <x:c r="E17" s="14" t="str">
        <x:v>Grek</x:v>
      </x:c>
      <x:c r="F17" s="14" t="str">
        <x:v>preferred</x:v>
      </x:c>
      <x:c r="G17" s="20" t="b">
        <x:v>1</x:v>
      </x:c>
      <x:c r="H17" s="21"/>
      <x:c r="I17" s="21"/>
      <x:c r="J17" s="14" t="str">
        <x:v>src-pleiades-570106</x:v>
      </x:c>
      <x:c r="K17" s="14" t="str">
        <x:v>reviewed</x:v>
      </x:c>
    </x:row>
    <x:row r="18" ht="26" customHeight="1">
      <x:c r="A18" s="14" t="str">
        <x:v>name-city-argos-en-preferred</x:v>
      </x:c>
      <x:c r="B18" s="14" t="str">
        <x:v>city-argos</x:v>
      </x:c>
      <x:c r="C18" s="14" t="str">
        <x:v>Argos</x:v>
      </x:c>
      <x:c r="D18" s="14" t="str">
        <x:v>en</x:v>
      </x:c>
      <x:c r="E18" s="14" t="str">
        <x:v>Latn</x:v>
      </x:c>
      <x:c r="F18" s="14" t="str">
        <x:v>preferred</x:v>
      </x:c>
      <x:c r="G18" s="20" t="b">
        <x:v>1</x:v>
      </x:c>
      <x:c r="H18" s="21"/>
      <x:c r="I18" s="21"/>
      <x:c r="J18" s="14" t="str">
        <x:v>src-pleiades-570106</x:v>
      </x:c>
      <x:c r="K18" s="14" t="str">
        <x:v>reviewed</x:v>
      </x:c>
    </x:row>
    <x:row r="19" ht="26" customHeight="1">
      <x:c r="A19" s="14" t="str">
        <x:v>name-city-argos-grc-ancient</x:v>
      </x:c>
      <x:c r="B19" s="14" t="str">
        <x:v>city-argos</x:v>
      </x:c>
      <x:c r="C19" s="14" t="str">
        <x:v>Ἄργος</x:v>
      </x:c>
      <x:c r="D19" s="14" t="str">
        <x:v>grc</x:v>
      </x:c>
      <x:c r="E19" s="14" t="str">
        <x:v>Grek</x:v>
      </x:c>
      <x:c r="F19" s="14" t="str">
        <x:v>ancient</x:v>
      </x:c>
      <x:c r="G19" s="20" t="b">
        <x:v>0</x:v>
      </x:c>
      <x:c r="H19" s="21"/>
      <x:c r="I19" s="21"/>
      <x:c r="J19" s="14" t="str">
        <x:v>src-pleiades-570106</x:v>
      </x:c>
      <x:c r="K19" s="14" t="str">
        <x:v>reviewed</x:v>
      </x:c>
    </x:row>
    <x:row r="20" ht="26" customHeight="1">
      <x:c r="A20" s="14" t="str">
        <x:v>name-city-athens-attica-el-preferred</x:v>
      </x:c>
      <x:c r="B20" s="14" t="str">
        <x:v>city-athens-attica</x:v>
      </x:c>
      <x:c r="C20" s="14" t="str">
        <x:v>Αθήνα</x:v>
      </x:c>
      <x:c r="D20" s="14" t="str">
        <x:v>el</x:v>
      </x:c>
      <x:c r="E20" s="14" t="str">
        <x:v>Grek</x:v>
      </x:c>
      <x:c r="F20" s="14" t="str">
        <x:v>preferred</x:v>
      </x:c>
      <x:c r="G20" s="20" t="b">
        <x:v>1</x:v>
      </x:c>
      <x:c r="H20" s="21"/>
      <x:c r="I20" s="21"/>
      <x:c r="J20" s="14" t="str">
        <x:v>src-pleiades-579885</x:v>
      </x:c>
      <x:c r="K20" s="14" t="str">
        <x:v>reviewed</x:v>
      </x:c>
    </x:row>
    <x:row r="21" ht="26" customHeight="1">
      <x:c r="A21" s="14" t="str">
        <x:v>name-city-athens-attica-en-preferred</x:v>
      </x:c>
      <x:c r="B21" s="14" t="str">
        <x:v>city-athens-attica</x:v>
      </x:c>
      <x:c r="C21" s="14" t="str">
        <x:v>Athens</x:v>
      </x:c>
      <x:c r="D21" s="14" t="str">
        <x:v>en</x:v>
      </x:c>
      <x:c r="E21" s="14" t="str">
        <x:v>Latn</x:v>
      </x:c>
      <x:c r="F21" s="14" t="str">
        <x:v>preferred</x:v>
      </x:c>
      <x:c r="G21" s="20" t="b">
        <x:v>1</x:v>
      </x:c>
      <x:c r="H21" s="21"/>
      <x:c r="I21" s="21"/>
      <x:c r="J21" s="14" t="str">
        <x:v>src-pleiades-579885</x:v>
      </x:c>
      <x:c r="K21" s="14" t="str">
        <x:v>reviewed</x:v>
      </x:c>
    </x:row>
    <x:row r="22" ht="26" customHeight="1">
      <x:c r="A22" s="14" t="str">
        <x:v>name-city-athens-attica-grc-ancient</x:v>
      </x:c>
      <x:c r="B22" s="14" t="str">
        <x:v>city-athens-attica</x:v>
      </x:c>
      <x:c r="C22" s="14" t="str">
        <x:v>Ἀθῆναι</x:v>
      </x:c>
      <x:c r="D22" s="14" t="str">
        <x:v>grc</x:v>
      </x:c>
      <x:c r="E22" s="14" t="str">
        <x:v>Grek</x:v>
      </x:c>
      <x:c r="F22" s="14" t="str">
        <x:v>ancient</x:v>
      </x:c>
      <x:c r="G22" s="20" t="b">
        <x:v>0</x:v>
      </x:c>
      <x:c r="H22" s="21"/>
      <x:c r="I22" s="21"/>
      <x:c r="J22" s="14" t="str">
        <x:v>src-pleiades-579885</x:v>
      </x:c>
      <x:c r="K22" s="14" t="str">
        <x:v>reviewed</x:v>
      </x:c>
    </x:row>
    <x:row r="23" ht="26" customHeight="1">
      <x:c r="A23" s="14" t="str">
        <x:v>name-city-chalcis-euboea-el-preferred</x:v>
      </x:c>
      <x:c r="B23" s="14" t="str">
        <x:v>city-chalcis-euboea</x:v>
      </x:c>
      <x:c r="C23" s="14" t="str">
        <x:v>Χαλκίδα</x:v>
      </x:c>
      <x:c r="D23" s="14" t="str">
        <x:v>el</x:v>
      </x:c>
      <x:c r="E23" s="14" t="str">
        <x:v>Grek</x:v>
      </x:c>
      <x:c r="F23" s="14" t="str">
        <x:v>preferred</x:v>
      </x:c>
      <x:c r="G23" s="20" t="b">
        <x:v>1</x:v>
      </x:c>
      <x:c r="H23" s="21"/>
      <x:c r="I23" s="21"/>
      <x:c r="J23" s="14" t="str">
        <x:v>src-pleiades-540703</x:v>
      </x:c>
      <x:c r="K23" s="14" t="str">
        <x:v>reviewed</x:v>
      </x:c>
    </x:row>
    <x:row r="24" ht="26" customHeight="1">
      <x:c r="A24" s="14" t="str">
        <x:v>name-city-chalcis-euboea-en-preferred</x:v>
      </x:c>
      <x:c r="B24" s="14" t="str">
        <x:v>city-chalcis-euboea</x:v>
      </x:c>
      <x:c r="C24" s="14" t="str">
        <x:v>Chalcis</x:v>
      </x:c>
      <x:c r="D24" s="14" t="str">
        <x:v>en</x:v>
      </x:c>
      <x:c r="E24" s="14" t="str">
        <x:v>Latn</x:v>
      </x:c>
      <x:c r="F24" s="14" t="str">
        <x:v>preferred</x:v>
      </x:c>
      <x:c r="G24" s="20" t="b">
        <x:v>1</x:v>
      </x:c>
      <x:c r="H24" s="21"/>
      <x:c r="I24" s="21"/>
      <x:c r="J24" s="14" t="str">
        <x:v>src-pleiades-540703</x:v>
      </x:c>
      <x:c r="K24" s="14" t="str">
        <x:v>reviewed</x:v>
      </x:c>
    </x:row>
    <x:row r="25" ht="26" customHeight="1">
      <x:c r="A25" s="14" t="str">
        <x:v>name-city-chalcis-euboea-grc-ancient</x:v>
      </x:c>
      <x:c r="B25" s="14" t="str">
        <x:v>city-chalcis-euboea</x:v>
      </x:c>
      <x:c r="C25" s="14" t="str">
        <x:v>Χαλκίς</x:v>
      </x:c>
      <x:c r="D25" s="14" t="str">
        <x:v>grc</x:v>
      </x:c>
      <x:c r="E25" s="14" t="str">
        <x:v>Grek</x:v>
      </x:c>
      <x:c r="F25" s="14" t="str">
        <x:v>ancient</x:v>
      </x:c>
      <x:c r="G25" s="20" t="b">
        <x:v>0</x:v>
      </x:c>
      <x:c r="H25" s="21"/>
      <x:c r="I25" s="21"/>
      <x:c r="J25" s="14" t="str">
        <x:v>src-pleiades-540703</x:v>
      </x:c>
      <x:c r="K25" s="14" t="str">
        <x:v>reviewed</x:v>
      </x:c>
    </x:row>
    <x:row r="26" ht="26" customHeight="1">
      <x:c r="A26" s="14" t="str">
        <x:v>name-city-chios-city-el-preferred</x:v>
      </x:c>
      <x:c r="B26" s="14" t="str">
        <x:v>city-chios-city</x:v>
      </x:c>
      <x:c r="C26" s="14" t="str">
        <x:v>Χίος</x:v>
      </x:c>
      <x:c r="D26" s="14" t="str">
        <x:v>el</x:v>
      </x:c>
      <x:c r="E26" s="14" t="str">
        <x:v>Grek</x:v>
      </x:c>
      <x:c r="F26" s="14" t="str">
        <x:v>preferred</x:v>
      </x:c>
      <x:c r="G26" s="20" t="b">
        <x:v>1</x:v>
      </x:c>
      <x:c r="H26" s="21"/>
      <x:c r="I26" s="21"/>
      <x:c r="J26" s="14" t="str">
        <x:v>src-pleiades-550496</x:v>
      </x:c>
      <x:c r="K26" s="14" t="str">
        <x:v>reviewed</x:v>
      </x:c>
    </x:row>
    <x:row r="27" ht="26" customHeight="1">
      <x:c r="A27" s="14" t="str">
        <x:v>name-city-chios-city-en-preferred</x:v>
      </x:c>
      <x:c r="B27" s="14" t="str">
        <x:v>city-chios-city</x:v>
      </x:c>
      <x:c r="C27" s="14" t="str">
        <x:v>Chios</x:v>
      </x:c>
      <x:c r="D27" s="14" t="str">
        <x:v>en</x:v>
      </x:c>
      <x:c r="E27" s="14" t="str">
        <x:v>Latn</x:v>
      </x:c>
      <x:c r="F27" s="14" t="str">
        <x:v>preferred</x:v>
      </x:c>
      <x:c r="G27" s="20" t="b">
        <x:v>1</x:v>
      </x:c>
      <x:c r="H27" s="21"/>
      <x:c r="I27" s="21"/>
      <x:c r="J27" s="14" t="str">
        <x:v>src-pleiades-550496</x:v>
      </x:c>
      <x:c r="K27" s="14" t="str">
        <x:v>reviewed</x:v>
      </x:c>
    </x:row>
    <x:row r="28" ht="26" customHeight="1">
      <x:c r="A28" s="14" t="str">
        <x:v>name-city-chios-city-grc-ancient</x:v>
      </x:c>
      <x:c r="B28" s="14" t="str">
        <x:v>city-chios-city</x:v>
      </x:c>
      <x:c r="C28" s="14" t="str">
        <x:v>Χίος</x:v>
      </x:c>
      <x:c r="D28" s="14" t="str">
        <x:v>grc</x:v>
      </x:c>
      <x:c r="E28" s="14" t="str">
        <x:v>Grek</x:v>
      </x:c>
      <x:c r="F28" s="14" t="str">
        <x:v>ancient</x:v>
      </x:c>
      <x:c r="G28" s="20" t="b">
        <x:v>0</x:v>
      </x:c>
      <x:c r="H28" s="21"/>
      <x:c r="I28" s="21"/>
      <x:c r="J28" s="14" t="str">
        <x:v>src-pleiades-550496</x:v>
      </x:c>
      <x:c r="K28" s="14" t="str">
        <x:v>reviewed</x:v>
      </x:c>
    </x:row>
    <x:row r="29" ht="26" customHeight="1">
      <x:c r="A29" s="14" t="str">
        <x:v>name-city-corinth-el-preferred</x:v>
      </x:c>
      <x:c r="B29" s="14" t="str">
        <x:v>city-corinth</x:v>
      </x:c>
      <x:c r="C29" s="14" t="str">
        <x:v>Κόρινθος</x:v>
      </x:c>
      <x:c r="D29" s="14" t="str">
        <x:v>el</x:v>
      </x:c>
      <x:c r="E29" s="14" t="str">
        <x:v>Grek</x:v>
      </x:c>
      <x:c r="F29" s="14" t="str">
        <x:v>preferred</x:v>
      </x:c>
      <x:c r="G29" s="20" t="b">
        <x:v>1</x:v>
      </x:c>
      <x:c r="H29" s="21"/>
      <x:c r="I29" s="21"/>
      <x:c r="J29" s="14" t="str">
        <x:v>src-pleiades-570182</x:v>
      </x:c>
      <x:c r="K29" s="14" t="str">
        <x:v>reviewed</x:v>
      </x:c>
    </x:row>
    <x:row r="30" ht="26" customHeight="1">
      <x:c r="A30" s="14" t="str">
        <x:v>name-city-corinth-en-preferred</x:v>
      </x:c>
      <x:c r="B30" s="14" t="str">
        <x:v>city-corinth</x:v>
      </x:c>
      <x:c r="C30" s="14" t="str">
        <x:v>Corinth</x:v>
      </x:c>
      <x:c r="D30" s="14" t="str">
        <x:v>en</x:v>
      </x:c>
      <x:c r="E30" s="14" t="str">
        <x:v>Latn</x:v>
      </x:c>
      <x:c r="F30" s="14" t="str">
        <x:v>preferred</x:v>
      </x:c>
      <x:c r="G30" s="20" t="b">
        <x:v>1</x:v>
      </x:c>
      <x:c r="H30" s="21"/>
      <x:c r="I30" s="21"/>
      <x:c r="J30" s="14" t="str">
        <x:v>src-pleiades-570182</x:v>
      </x:c>
      <x:c r="K30" s="14" t="str">
        <x:v>reviewed</x:v>
      </x:c>
    </x:row>
    <x:row r="31" ht="26" customHeight="1">
      <x:c r="A31" s="14" t="str">
        <x:v>name-city-corinth-grc-ancient</x:v>
      </x:c>
      <x:c r="B31" s="14" t="str">
        <x:v>city-corinth</x:v>
      </x:c>
      <x:c r="C31" s="14" t="str">
        <x:v>Κόρινθος</x:v>
      </x:c>
      <x:c r="D31" s="14" t="str">
        <x:v>grc</x:v>
      </x:c>
      <x:c r="E31" s="14" t="str">
        <x:v>Grek</x:v>
      </x:c>
      <x:c r="F31" s="14" t="str">
        <x:v>ancient</x:v>
      </x:c>
      <x:c r="G31" s="20" t="b">
        <x:v>0</x:v>
      </x:c>
      <x:c r="H31" s="21"/>
      <x:c r="I31" s="21"/>
      <x:c r="J31" s="14" t="str">
        <x:v>src-pleiades-570182</x:v>
      </x:c>
      <x:c r="K31" s="14" t="str">
        <x:v>reviewed</x:v>
      </x:c>
    </x:row>
    <x:row r="32" ht="26" customHeight="1">
      <x:c r="A32" s="14" t="str">
        <x:v>name-city-demetrias-el-preferred</x:v>
      </x:c>
      <x:c r="B32" s="14" t="str">
        <x:v>city-demetrias</x:v>
      </x:c>
      <x:c r="C32" s="14" t="str">
        <x:v>Δημητριάδα</x:v>
      </x:c>
      <x:c r="D32" s="14" t="str">
        <x:v>el</x:v>
      </x:c>
      <x:c r="E32" s="14" t="str">
        <x:v>Grek</x:v>
      </x:c>
      <x:c r="F32" s="14" t="str">
        <x:v>preferred</x:v>
      </x:c>
      <x:c r="G32" s="20" t="b">
        <x:v>1</x:v>
      </x:c>
      <x:c r="H32" s="21"/>
      <x:c r="I32" s="21"/>
      <x:c r="J32" s="14" t="str">
        <x:v>src-pleiades-540730</x:v>
      </x:c>
      <x:c r="K32" s="14" t="str">
        <x:v>reviewed</x:v>
      </x:c>
    </x:row>
    <x:row r="33" ht="26" customHeight="1">
      <x:c r="A33" s="14" t="str">
        <x:v>name-city-demetrias-en-preferred</x:v>
      </x:c>
      <x:c r="B33" s="14" t="str">
        <x:v>city-demetrias</x:v>
      </x:c>
      <x:c r="C33" s="14" t="str">
        <x:v>Demetrias</x:v>
      </x:c>
      <x:c r="D33" s="14" t="str">
        <x:v>en</x:v>
      </x:c>
      <x:c r="E33" s="14" t="str">
        <x:v>Latn</x:v>
      </x:c>
      <x:c r="F33" s="14" t="str">
        <x:v>preferred</x:v>
      </x:c>
      <x:c r="G33" s="20" t="b">
        <x:v>1</x:v>
      </x:c>
      <x:c r="H33" s="21"/>
      <x:c r="I33" s="21"/>
      <x:c r="J33" s="14" t="str">
        <x:v>src-pleiades-540730</x:v>
      </x:c>
      <x:c r="K33" s="14" t="str">
        <x:v>reviewed</x:v>
      </x:c>
    </x:row>
    <x:row r="34" ht="26" customHeight="1">
      <x:c r="A34" s="14" t="str">
        <x:v>name-city-demetrias-grc-ancient</x:v>
      </x:c>
      <x:c r="B34" s="14" t="str">
        <x:v>city-demetrias</x:v>
      </x:c>
      <x:c r="C34" s="14" t="str">
        <x:v>Δημητριάς</x:v>
      </x:c>
      <x:c r="D34" s="14" t="str">
        <x:v>grc</x:v>
      </x:c>
      <x:c r="E34" s="14" t="str">
        <x:v>Grek</x:v>
      </x:c>
      <x:c r="F34" s="14" t="str">
        <x:v>ancient</x:v>
      </x:c>
      <x:c r="G34" s="20" t="b">
        <x:v>0</x:v>
      </x:c>
      <x:c r="H34" s="21"/>
      <x:c r="I34" s="21"/>
      <x:c r="J34" s="14" t="str">
        <x:v>src-pleiades-540730</x:v>
      </x:c>
      <x:c r="K34" s="14" t="str">
        <x:v>reviewed</x:v>
      </x:c>
    </x:row>
    <x:row r="35" ht="26" customHeight="1">
      <x:c r="A35" s="14" t="str">
        <x:v>name-city-dion-el-preferred</x:v>
      </x:c>
      <x:c r="B35" s="14" t="str">
        <x:v>city-dion</x:v>
      </x:c>
      <x:c r="C35" s="14" t="str">
        <x:v>Δίον</x:v>
      </x:c>
      <x:c r="D35" s="14" t="str">
        <x:v>el</x:v>
      </x:c>
      <x:c r="E35" s="14" t="str">
        <x:v>Grek</x:v>
      </x:c>
      <x:c r="F35" s="14" t="str">
        <x:v>preferred</x:v>
      </x:c>
      <x:c r="G35" s="20" t="b">
        <x:v>1</x:v>
      </x:c>
      <x:c r="H35" s="21"/>
      <x:c r="I35" s="21"/>
      <x:c r="J35" s="14" t="str">
        <x:v>src-pleiades-491572</x:v>
      </x:c>
      <x:c r="K35" s="14" t="str">
        <x:v>reviewed</x:v>
      </x:c>
    </x:row>
    <x:row r="36" ht="26" customHeight="1">
      <x:c r="A36" s="14" t="str">
        <x:v>name-city-dion-en-preferred</x:v>
      </x:c>
      <x:c r="B36" s="14" t="str">
        <x:v>city-dion</x:v>
      </x:c>
      <x:c r="C36" s="14" t="str">
        <x:v>Dion</x:v>
      </x:c>
      <x:c r="D36" s="14" t="str">
        <x:v>en</x:v>
      </x:c>
      <x:c r="E36" s="14" t="str">
        <x:v>Latn</x:v>
      </x:c>
      <x:c r="F36" s="14" t="str">
        <x:v>preferred</x:v>
      </x:c>
      <x:c r="G36" s="20" t="b">
        <x:v>1</x:v>
      </x:c>
      <x:c r="H36" s="21"/>
      <x:c r="I36" s="21"/>
      <x:c r="J36" s="14" t="str">
        <x:v>src-pleiades-491572</x:v>
      </x:c>
      <x:c r="K36" s="14" t="str">
        <x:v>reviewed</x:v>
      </x:c>
    </x:row>
    <x:row r="37" ht="26" customHeight="1">
      <x:c r="A37" s="14" t="str">
        <x:v>name-city-dion-grc-ancient</x:v>
      </x:c>
      <x:c r="B37" s="14" t="str">
        <x:v>city-dion</x:v>
      </x:c>
      <x:c r="C37" s="14" t="str">
        <x:v>Δῖον</x:v>
      </x:c>
      <x:c r="D37" s="14" t="str">
        <x:v>grc</x:v>
      </x:c>
      <x:c r="E37" s="14" t="str">
        <x:v>Grek</x:v>
      </x:c>
      <x:c r="F37" s="14" t="str">
        <x:v>ancient</x:v>
      </x:c>
      <x:c r="G37" s="20" t="b">
        <x:v>0</x:v>
      </x:c>
      <x:c r="H37" s="21"/>
      <x:c r="I37" s="21"/>
      <x:c r="J37" s="14" t="str">
        <x:v>src-pleiades-491572</x:v>
      </x:c>
      <x:c r="K37" s="14" t="str">
        <x:v>reviewed</x:v>
      </x:c>
    </x:row>
    <x:row r="38" ht="26" customHeight="1">
      <x:c r="A38" s="14" t="str">
        <x:v>name-city-epidaurus-city-el-preferred</x:v>
      </x:c>
      <x:c r="B38" s="14" t="str">
        <x:v>city-epidaurus-city</x:v>
      </x:c>
      <x:c r="C38" s="14" t="str">
        <x:v>Επίδαυρος</x:v>
      </x:c>
      <x:c r="D38" s="14" t="str">
        <x:v>el</x:v>
      </x:c>
      <x:c r="E38" s="14" t="str">
        <x:v>Grek</x:v>
      </x:c>
      <x:c r="F38" s="14" t="str">
        <x:v>preferred</x:v>
      </x:c>
      <x:c r="G38" s="20" t="b">
        <x:v>1</x:v>
      </x:c>
      <x:c r="H38" s="21"/>
      <x:c r="I38" s="21"/>
      <x:c r="J38" s="14" t="str">
        <x:v>src-pleiades-570228</x:v>
      </x:c>
      <x:c r="K38" s="14" t="str">
        <x:v>reviewed</x:v>
      </x:c>
    </x:row>
    <x:row r="39" ht="26" customHeight="1">
      <x:c r="A39" s="14" t="str">
        <x:v>name-city-epidaurus-city-en-preferred</x:v>
      </x:c>
      <x:c r="B39" s="14" t="str">
        <x:v>city-epidaurus-city</x:v>
      </x:c>
      <x:c r="C39" s="14" t="str">
        <x:v>Epidaurus</x:v>
      </x:c>
      <x:c r="D39" s="14" t="str">
        <x:v>en</x:v>
      </x:c>
      <x:c r="E39" s="14" t="str">
        <x:v>Latn</x:v>
      </x:c>
      <x:c r="F39" s="14" t="str">
        <x:v>preferred</x:v>
      </x:c>
      <x:c r="G39" s="20" t="b">
        <x:v>1</x:v>
      </x:c>
      <x:c r="H39" s="21"/>
      <x:c r="I39" s="21"/>
      <x:c r="J39" s="14" t="str">
        <x:v>src-pleiades-570228</x:v>
      </x:c>
      <x:c r="K39" s="14" t="str">
        <x:v>reviewed</x:v>
      </x:c>
    </x:row>
    <x:row r="40" ht="26" customHeight="1">
      <x:c r="A40" s="14" t="str">
        <x:v>name-city-epidaurus-city-grc-ancient</x:v>
      </x:c>
      <x:c r="B40" s="14" t="str">
        <x:v>city-epidaurus-city</x:v>
      </x:c>
      <x:c r="C40" s="14" t="str">
        <x:v>Ἐπίδαυρος</x:v>
      </x:c>
      <x:c r="D40" s="14" t="str">
        <x:v>grc</x:v>
      </x:c>
      <x:c r="E40" s="14" t="str">
        <x:v>Grek</x:v>
      </x:c>
      <x:c r="F40" s="14" t="str">
        <x:v>ancient</x:v>
      </x:c>
      <x:c r="G40" s="20" t="b">
        <x:v>0</x:v>
      </x:c>
      <x:c r="H40" s="21"/>
      <x:c r="I40" s="21"/>
      <x:c r="J40" s="14" t="str">
        <x:v>src-pleiades-570228</x:v>
      </x:c>
      <x:c r="K40" s="14" t="str">
        <x:v>reviewed</x:v>
      </x:c>
    </x:row>
    <x:row r="41" ht="26" customHeight="1">
      <x:c r="A41" s="14" t="str">
        <x:v>name-city-eretria-euboea-el-preferred</x:v>
      </x:c>
      <x:c r="B41" s="14" t="str">
        <x:v>city-eretria-euboea</x:v>
      </x:c>
      <x:c r="C41" s="14" t="str">
        <x:v>Ερέτρια</x:v>
      </x:c>
      <x:c r="D41" s="14" t="str">
        <x:v>el</x:v>
      </x:c>
      <x:c r="E41" s="14" t="str">
        <x:v>Grek</x:v>
      </x:c>
      <x:c r="F41" s="14" t="str">
        <x:v>preferred</x:v>
      </x:c>
      <x:c r="G41" s="20" t="b">
        <x:v>1</x:v>
      </x:c>
      <x:c r="H41" s="21"/>
      <x:c r="I41" s="21"/>
      <x:c r="J41" s="14" t="str">
        <x:v>src-pleiades-579925</x:v>
      </x:c>
      <x:c r="K41" s="14" t="str">
        <x:v>reviewed</x:v>
      </x:c>
    </x:row>
    <x:row r="42" ht="26" customHeight="1">
      <x:c r="A42" s="14" t="str">
        <x:v>name-city-eretria-euboea-en-preferred</x:v>
      </x:c>
      <x:c r="B42" s="14" t="str">
        <x:v>city-eretria-euboea</x:v>
      </x:c>
      <x:c r="C42" s="14" t="str">
        <x:v>Eretria</x:v>
      </x:c>
      <x:c r="D42" s="14" t="str">
        <x:v>en</x:v>
      </x:c>
      <x:c r="E42" s="14" t="str">
        <x:v>Latn</x:v>
      </x:c>
      <x:c r="F42" s="14" t="str">
        <x:v>preferred</x:v>
      </x:c>
      <x:c r="G42" s="20" t="b">
        <x:v>1</x:v>
      </x:c>
      <x:c r="H42" s="21"/>
      <x:c r="I42" s="21"/>
      <x:c r="J42" s="14" t="str">
        <x:v>src-pleiades-579925</x:v>
      </x:c>
      <x:c r="K42" s="14" t="str">
        <x:v>reviewed</x:v>
      </x:c>
    </x:row>
    <x:row r="43" ht="26" customHeight="1">
      <x:c r="A43" s="14" t="str">
        <x:v>name-city-eretria-euboea-grc-ancient</x:v>
      </x:c>
      <x:c r="B43" s="14" t="str">
        <x:v>city-eretria-euboea</x:v>
      </x:c>
      <x:c r="C43" s="14" t="str">
        <x:v>Ἐρέτρια</x:v>
      </x:c>
      <x:c r="D43" s="14" t="str">
        <x:v>grc</x:v>
      </x:c>
      <x:c r="E43" s="14" t="str">
        <x:v>Grek</x:v>
      </x:c>
      <x:c r="F43" s="14" t="str">
        <x:v>ancient</x:v>
      </x:c>
      <x:c r="G43" s="20" t="b">
        <x:v>0</x:v>
      </x:c>
      <x:c r="H43" s="21"/>
      <x:c r="I43" s="21"/>
      <x:c r="J43" s="14" t="str">
        <x:v>src-pleiades-579925</x:v>
      </x:c>
      <x:c r="K43" s="14" t="str">
        <x:v>reviewed</x:v>
      </x:c>
    </x:row>
    <x:row r="44" ht="26" customHeight="1">
      <x:c r="A44" s="14" t="str">
        <x:v>name-city-gortyn-el-preferred</x:v>
      </x:c>
      <x:c r="B44" s="14" t="str">
        <x:v>city-gortyn</x:v>
      </x:c>
      <x:c r="C44" s="14" t="str">
        <x:v>Γόρτυνα</x:v>
      </x:c>
      <x:c r="D44" s="14" t="str">
        <x:v>el</x:v>
      </x:c>
      <x:c r="E44" s="14" t="str">
        <x:v>Grek</x:v>
      </x:c>
      <x:c r="F44" s="14" t="str">
        <x:v>preferred</x:v>
      </x:c>
      <x:c r="G44" s="20" t="b">
        <x:v>1</x:v>
      </x:c>
      <x:c r="H44" s="21"/>
      <x:c r="I44" s="21"/>
      <x:c r="J44" s="14" t="str">
        <x:v>src-pleiades-589796</x:v>
      </x:c>
      <x:c r="K44" s="14" t="str">
        <x:v>reviewed</x:v>
      </x:c>
    </x:row>
    <x:row r="45" ht="26" customHeight="1">
      <x:c r="A45" s="14" t="str">
        <x:v>name-city-gortyn-en-preferred</x:v>
      </x:c>
      <x:c r="B45" s="14" t="str">
        <x:v>city-gortyn</x:v>
      </x:c>
      <x:c r="C45" s="14" t="str">
        <x:v>Gortyn</x:v>
      </x:c>
      <x:c r="D45" s="14" t="str">
        <x:v>en</x:v>
      </x:c>
      <x:c r="E45" s="14" t="str">
        <x:v>Latn</x:v>
      </x:c>
      <x:c r="F45" s="14" t="str">
        <x:v>preferred</x:v>
      </x:c>
      <x:c r="G45" s="20" t="b">
        <x:v>1</x:v>
      </x:c>
      <x:c r="H45" s="21"/>
      <x:c r="I45" s="21"/>
      <x:c r="J45" s="14" t="str">
        <x:v>src-pleiades-589796</x:v>
      </x:c>
      <x:c r="K45" s="14" t="str">
        <x:v>reviewed</x:v>
      </x:c>
    </x:row>
    <x:row r="46" ht="26" customHeight="1">
      <x:c r="A46" s="14" t="str">
        <x:v>name-city-gortyn-grc-ancient</x:v>
      </x:c>
      <x:c r="B46" s="14" t="str">
        <x:v>city-gortyn</x:v>
      </x:c>
      <x:c r="C46" s="14" t="str">
        <x:v>Γόρτυν</x:v>
      </x:c>
      <x:c r="D46" s="14" t="str">
        <x:v>grc</x:v>
      </x:c>
      <x:c r="E46" s="14" t="str">
        <x:v>Grek</x:v>
      </x:c>
      <x:c r="F46" s="14" t="str">
        <x:v>ancient</x:v>
      </x:c>
      <x:c r="G46" s="20" t="b">
        <x:v>0</x:v>
      </x:c>
      <x:c r="H46" s="21"/>
      <x:c r="I46" s="21"/>
      <x:c r="J46" s="14" t="str">
        <x:v>src-pleiades-589796</x:v>
      </x:c>
      <x:c r="K46" s="14" t="str">
        <x:v>reviewed</x:v>
      </x:c>
    </x:row>
    <x:row r="47" ht="26" customHeight="1">
      <x:c r="A47" s="14" t="str">
        <x:v>name-city-knossos-el-preferred</x:v>
      </x:c>
      <x:c r="B47" s="14" t="str">
        <x:v>city-knossos</x:v>
      </x:c>
      <x:c r="C47" s="14" t="str">
        <x:v>Κνωσός</x:v>
      </x:c>
      <x:c r="D47" s="14" t="str">
        <x:v>el</x:v>
      </x:c>
      <x:c r="E47" s="14" t="str">
        <x:v>Grek</x:v>
      </x:c>
      <x:c r="F47" s="14" t="str">
        <x:v>preferred</x:v>
      </x:c>
      <x:c r="G47" s="20" t="b">
        <x:v>1</x:v>
      </x:c>
      <x:c r="H47" s="21"/>
      <x:c r="I47" s="21"/>
      <x:c r="J47" s="14" t="str">
        <x:v>src-pleiades-589872</x:v>
      </x:c>
      <x:c r="K47" s="14" t="str">
        <x:v>reviewed</x:v>
      </x:c>
    </x:row>
    <x:row r="48" ht="26" customHeight="1">
      <x:c r="A48" s="14" t="str">
        <x:v>name-city-knossos-en-preferred</x:v>
      </x:c>
      <x:c r="B48" s="14" t="str">
        <x:v>city-knossos</x:v>
      </x:c>
      <x:c r="C48" s="14" t="str">
        <x:v>Knossos</x:v>
      </x:c>
      <x:c r="D48" s="14" t="str">
        <x:v>en</x:v>
      </x:c>
      <x:c r="E48" s="14" t="str">
        <x:v>Latn</x:v>
      </x:c>
      <x:c r="F48" s="14" t="str">
        <x:v>preferred</x:v>
      </x:c>
      <x:c r="G48" s="20" t="b">
        <x:v>1</x:v>
      </x:c>
      <x:c r="H48" s="21"/>
      <x:c r="I48" s="21"/>
      <x:c r="J48" s="14" t="str">
        <x:v>src-pleiades-589872</x:v>
      </x:c>
      <x:c r="K48" s="14" t="str">
        <x:v>reviewed</x:v>
      </x:c>
    </x:row>
    <x:row r="49" ht="26" customHeight="1">
      <x:c r="A49" s="14" t="str">
        <x:v>name-city-knossos-grc-ancient</x:v>
      </x:c>
      <x:c r="B49" s="14" t="str">
        <x:v>city-knossos</x:v>
      </x:c>
      <x:c r="C49" s="14" t="str">
        <x:v>Κνωσός</x:v>
      </x:c>
      <x:c r="D49" s="14" t="str">
        <x:v>grc</x:v>
      </x:c>
      <x:c r="E49" s="14" t="str">
        <x:v>Grek</x:v>
      </x:c>
      <x:c r="F49" s="14" t="str">
        <x:v>ancient</x:v>
      </x:c>
      <x:c r="G49" s="20" t="b">
        <x:v>0</x:v>
      </x:c>
      <x:c r="H49" s="21"/>
      <x:c r="I49" s="21"/>
      <x:c r="J49" s="14" t="str">
        <x:v>src-pleiades-589872</x:v>
      </x:c>
      <x:c r="K49" s="14" t="str">
        <x:v>reviewed</x:v>
      </x:c>
    </x:row>
    <x:row r="50" ht="26" customHeight="1">
      <x:c r="A50" s="14" t="str">
        <x:v>name-city-kos-city-el-preferred</x:v>
      </x:c>
      <x:c r="B50" s="14" t="str">
        <x:v>city-kos-city</x:v>
      </x:c>
      <x:c r="C50" s="14" t="str">
        <x:v>Κως</x:v>
      </x:c>
      <x:c r="D50" s="14" t="str">
        <x:v>el</x:v>
      </x:c>
      <x:c r="E50" s="14" t="str">
        <x:v>Grek</x:v>
      </x:c>
      <x:c r="F50" s="14" t="str">
        <x:v>preferred</x:v>
      </x:c>
      <x:c r="G50" s="20" t="b">
        <x:v>1</x:v>
      </x:c>
      <x:c r="H50" s="21"/>
      <x:c r="I50" s="21"/>
      <x:c r="J50" s="14" t="str">
        <x:v>src-pleiades-599728</x:v>
      </x:c>
      <x:c r="K50" s="14" t="str">
        <x:v>reviewed</x:v>
      </x:c>
    </x:row>
    <x:row r="51" ht="26" customHeight="1">
      <x:c r="A51" s="14" t="str">
        <x:v>name-city-kos-city-en-preferred</x:v>
      </x:c>
      <x:c r="B51" s="14" t="str">
        <x:v>city-kos-city</x:v>
      </x:c>
      <x:c r="C51" s="14" t="str">
        <x:v>Kos</x:v>
      </x:c>
      <x:c r="D51" s="14" t="str">
        <x:v>en</x:v>
      </x:c>
      <x:c r="E51" s="14" t="str">
        <x:v>Latn</x:v>
      </x:c>
      <x:c r="F51" s="14" t="str">
        <x:v>preferred</x:v>
      </x:c>
      <x:c r="G51" s="20" t="b">
        <x:v>1</x:v>
      </x:c>
      <x:c r="H51" s="21"/>
      <x:c r="I51" s="21"/>
      <x:c r="J51" s="14" t="str">
        <x:v>src-pleiades-599728</x:v>
      </x:c>
      <x:c r="K51" s="14" t="str">
        <x:v>reviewed</x:v>
      </x:c>
    </x:row>
    <x:row r="52" ht="26" customHeight="1">
      <x:c r="A52" s="14" t="str">
        <x:v>name-city-kos-city-grc-ancient</x:v>
      </x:c>
      <x:c r="B52" s="14" t="str">
        <x:v>city-kos-city</x:v>
      </x:c>
      <x:c r="C52" s="14" t="str">
        <x:v>Κῶς</x:v>
      </x:c>
      <x:c r="D52" s="14" t="str">
        <x:v>grc</x:v>
      </x:c>
      <x:c r="E52" s="14" t="str">
        <x:v>Grek</x:v>
      </x:c>
      <x:c r="F52" s="14" t="str">
        <x:v>ancient</x:v>
      </x:c>
      <x:c r="G52" s="20" t="b">
        <x:v>0</x:v>
      </x:c>
      <x:c r="H52" s="21"/>
      <x:c r="I52" s="21"/>
      <x:c r="J52" s="14" t="str">
        <x:v>src-pleiades-599728</x:v>
      </x:c>
      <x:c r="K52" s="14" t="str">
        <x:v>reviewed</x:v>
      </x:c>
    </x:row>
    <x:row r="53" ht="26" customHeight="1">
      <x:c r="A53" s="14" t="str">
        <x:v>name-city-larissa-thessaly-el-preferred</x:v>
      </x:c>
      <x:c r="B53" s="14" t="str">
        <x:v>city-larissa-thessaly</x:v>
      </x:c>
      <x:c r="C53" s="14" t="str">
        <x:v>Λάρισα</x:v>
      </x:c>
      <x:c r="D53" s="14" t="str">
        <x:v>el</x:v>
      </x:c>
      <x:c r="E53" s="14" t="str">
        <x:v>Grek</x:v>
      </x:c>
      <x:c r="F53" s="14" t="str">
        <x:v>preferred</x:v>
      </x:c>
      <x:c r="G53" s="20" t="b">
        <x:v>1</x:v>
      </x:c>
      <x:c r="H53" s="21"/>
      <x:c r="I53" s="21"/>
      <x:c r="J53" s="14" t="str">
        <x:v>src-pleiades-540905</x:v>
      </x:c>
      <x:c r="K53" s="14" t="str">
        <x:v>reviewed</x:v>
      </x:c>
    </x:row>
    <x:row r="54" ht="26" customHeight="1">
      <x:c r="A54" s="14" t="str">
        <x:v>name-city-larissa-thessaly-en-preferred</x:v>
      </x:c>
      <x:c r="B54" s="14" t="str">
        <x:v>city-larissa-thessaly</x:v>
      </x:c>
      <x:c r="C54" s="14" t="str">
        <x:v>Larissa</x:v>
      </x:c>
      <x:c r="D54" s="14" t="str">
        <x:v>en</x:v>
      </x:c>
      <x:c r="E54" s="14" t="str">
        <x:v>Latn</x:v>
      </x:c>
      <x:c r="F54" s="14" t="str">
        <x:v>preferred</x:v>
      </x:c>
      <x:c r="G54" s="20" t="b">
        <x:v>1</x:v>
      </x:c>
      <x:c r="H54" s="21"/>
      <x:c r="I54" s="21"/>
      <x:c r="J54" s="14" t="str">
        <x:v>src-pleiades-540905</x:v>
      </x:c>
      <x:c r="K54" s="14" t="str">
        <x:v>reviewed</x:v>
      </x:c>
    </x:row>
    <x:row r="55" ht="26" customHeight="1">
      <x:c r="A55" s="14" t="str">
        <x:v>name-city-larissa-thessaly-grc-ancient</x:v>
      </x:c>
      <x:c r="B55" s="14" t="str">
        <x:v>city-larissa-thessaly</x:v>
      </x:c>
      <x:c r="C55" s="14" t="str">
        <x:v>Λάρισα</x:v>
      </x:c>
      <x:c r="D55" s="14" t="str">
        <x:v>grc</x:v>
      </x:c>
      <x:c r="E55" s="14" t="str">
        <x:v>Grek</x:v>
      </x:c>
      <x:c r="F55" s="14" t="str">
        <x:v>ancient</x:v>
      </x:c>
      <x:c r="G55" s="20" t="b">
        <x:v>0</x:v>
      </x:c>
      <x:c r="H55" s="21"/>
      <x:c r="I55" s="21"/>
      <x:c r="J55" s="14" t="str">
        <x:v>src-pleiades-540905</x:v>
      </x:c>
      <x:c r="K55" s="14" t="str">
        <x:v>reviewed</x:v>
      </x:c>
    </x:row>
    <x:row r="56" ht="26" customHeight="1">
      <x:c r="A56" s="14" t="str">
        <x:v>name-city-lindos-el-preferred</x:v>
      </x:c>
      <x:c r="B56" s="14" t="str">
        <x:v>city-lindos</x:v>
      </x:c>
      <x:c r="C56" s="14" t="str">
        <x:v>Λίνδος</x:v>
      </x:c>
      <x:c r="D56" s="14" t="str">
        <x:v>el</x:v>
      </x:c>
      <x:c r="E56" s="14" t="str">
        <x:v>Grek</x:v>
      </x:c>
      <x:c r="F56" s="14" t="str">
        <x:v>preferred</x:v>
      </x:c>
      <x:c r="G56" s="20" t="b">
        <x:v>1</x:v>
      </x:c>
      <x:c r="H56" s="21"/>
      <x:c r="I56" s="21"/>
      <x:c r="J56" s="14" t="str">
        <x:v>src-pleiades-589913</x:v>
      </x:c>
      <x:c r="K56" s="14" t="str">
        <x:v>reviewed</x:v>
      </x:c>
    </x:row>
    <x:row r="57" ht="26" customHeight="1">
      <x:c r="A57" s="14" t="str">
        <x:v>name-city-lindos-en-preferred</x:v>
      </x:c>
      <x:c r="B57" s="14" t="str">
        <x:v>city-lindos</x:v>
      </x:c>
      <x:c r="C57" s="14" t="str">
        <x:v>Lindos</x:v>
      </x:c>
      <x:c r="D57" s="14" t="str">
        <x:v>en</x:v>
      </x:c>
      <x:c r="E57" s="14" t="str">
        <x:v>Latn</x:v>
      </x:c>
      <x:c r="F57" s="14" t="str">
        <x:v>preferred</x:v>
      </x:c>
      <x:c r="G57" s="20" t="b">
        <x:v>1</x:v>
      </x:c>
      <x:c r="H57" s="21"/>
      <x:c r="I57" s="21"/>
      <x:c r="J57" s="14" t="str">
        <x:v>src-pleiades-589913</x:v>
      </x:c>
      <x:c r="K57" s="14" t="str">
        <x:v>reviewed</x:v>
      </x:c>
    </x:row>
    <x:row r="58" ht="26" customHeight="1">
      <x:c r="A58" s="14" t="str">
        <x:v>name-city-lindos-grc-ancient</x:v>
      </x:c>
      <x:c r="B58" s="14" t="str">
        <x:v>city-lindos</x:v>
      </x:c>
      <x:c r="C58" s="14" t="str">
        <x:v>Λίνδος</x:v>
      </x:c>
      <x:c r="D58" s="14" t="str">
        <x:v>grc</x:v>
      </x:c>
      <x:c r="E58" s="14" t="str">
        <x:v>Grek</x:v>
      </x:c>
      <x:c r="F58" s="14" t="str">
        <x:v>ancient</x:v>
      </x:c>
      <x:c r="G58" s="20" t="b">
        <x:v>0</x:v>
      </x:c>
      <x:c r="H58" s="21"/>
      <x:c r="I58" s="21"/>
      <x:c r="J58" s="14" t="str">
        <x:v>src-pleiades-589913</x:v>
      </x:c>
      <x:c r="K58" s="14" t="str">
        <x:v>reviewed</x:v>
      </x:c>
    </x:row>
    <x:row r="59" ht="26" customHeight="1">
      <x:c r="A59" s="14" t="str">
        <x:v>name-city-mantinea-el-preferred</x:v>
      </x:c>
      <x:c r="B59" s="14" t="str">
        <x:v>city-mantinea</x:v>
      </x:c>
      <x:c r="C59" s="14" t="str">
        <x:v>Μαντίνεια</x:v>
      </x:c>
      <x:c r="D59" s="14" t="str">
        <x:v>el</x:v>
      </x:c>
      <x:c r="E59" s="14" t="str">
        <x:v>Grek</x:v>
      </x:c>
      <x:c r="F59" s="14" t="str">
        <x:v>preferred</x:v>
      </x:c>
      <x:c r="G59" s="20" t="b">
        <x:v>1</x:v>
      </x:c>
      <x:c r="H59" s="21"/>
      <x:c r="I59" s="21"/>
      <x:c r="J59" s="14" t="str">
        <x:v>src-pleiades-570459</x:v>
      </x:c>
      <x:c r="K59" s="14" t="str">
        <x:v>reviewed</x:v>
      </x:c>
    </x:row>
    <x:row r="60" ht="26" customHeight="1">
      <x:c r="A60" s="14" t="str">
        <x:v>name-city-mantinea-en-preferred</x:v>
      </x:c>
      <x:c r="B60" s="14" t="str">
        <x:v>city-mantinea</x:v>
      </x:c>
      <x:c r="C60" s="14" t="str">
        <x:v>Mantinea</x:v>
      </x:c>
      <x:c r="D60" s="14" t="str">
        <x:v>en</x:v>
      </x:c>
      <x:c r="E60" s="14" t="str">
        <x:v>Latn</x:v>
      </x:c>
      <x:c r="F60" s="14" t="str">
        <x:v>preferred</x:v>
      </x:c>
      <x:c r="G60" s="20" t="b">
        <x:v>1</x:v>
      </x:c>
      <x:c r="H60" s="21"/>
      <x:c r="I60" s="21"/>
      <x:c r="J60" s="14" t="str">
        <x:v>src-pleiades-570459</x:v>
      </x:c>
      <x:c r="K60" s="14" t="str">
        <x:v>reviewed</x:v>
      </x:c>
    </x:row>
    <x:row r="61" ht="26" customHeight="1">
      <x:c r="A61" s="14" t="str">
        <x:v>name-city-mantinea-grc-ancient</x:v>
      </x:c>
      <x:c r="B61" s="14" t="str">
        <x:v>city-mantinea</x:v>
      </x:c>
      <x:c r="C61" s="14" t="str">
        <x:v>Μαντίνεια</x:v>
      </x:c>
      <x:c r="D61" s="14" t="str">
        <x:v>grc</x:v>
      </x:c>
      <x:c r="E61" s="14" t="str">
        <x:v>Grek</x:v>
      </x:c>
      <x:c r="F61" s="14" t="str">
        <x:v>ancient</x:v>
      </x:c>
      <x:c r="G61" s="20" t="b">
        <x:v>0</x:v>
      </x:c>
      <x:c r="H61" s="21"/>
      <x:c r="I61" s="21"/>
      <x:c r="J61" s="14" t="str">
        <x:v>src-pleiades-570459</x:v>
      </x:c>
      <x:c r="K61" s="14" t="str">
        <x:v>reviewed</x:v>
      </x:c>
    </x:row>
    <x:row r="62" ht="26" customHeight="1">
      <x:c r="A62" s="14" t="str">
        <x:v>name-city-megalopolis-el-preferred</x:v>
      </x:c>
      <x:c r="B62" s="14" t="str">
        <x:v>city-megalopolis</x:v>
      </x:c>
      <x:c r="C62" s="14" t="str">
        <x:v>Μεγαλόπολη</x:v>
      </x:c>
      <x:c r="D62" s="14" t="str">
        <x:v>el</x:v>
      </x:c>
      <x:c r="E62" s="14" t="str">
        <x:v>Grek</x:v>
      </x:c>
      <x:c r="F62" s="14" t="str">
        <x:v>preferred</x:v>
      </x:c>
      <x:c r="G62" s="20" t="b">
        <x:v>1</x:v>
      </x:c>
      <x:c r="H62" s="21"/>
      <x:c r="I62" s="21"/>
      <x:c r="J62" s="14" t="str">
        <x:v>src-pleiades-570467</x:v>
      </x:c>
      <x:c r="K62" s="14" t="str">
        <x:v>reviewed</x:v>
      </x:c>
    </x:row>
    <x:row r="63" ht="26" customHeight="1">
      <x:c r="A63" s="14" t="str">
        <x:v>name-city-megalopolis-en-preferred</x:v>
      </x:c>
      <x:c r="B63" s="14" t="str">
        <x:v>city-megalopolis</x:v>
      </x:c>
      <x:c r="C63" s="14" t="str">
        <x:v>Megalopolis</x:v>
      </x:c>
      <x:c r="D63" s="14" t="str">
        <x:v>en</x:v>
      </x:c>
      <x:c r="E63" s="14" t="str">
        <x:v>Latn</x:v>
      </x:c>
      <x:c r="F63" s="14" t="str">
        <x:v>preferred</x:v>
      </x:c>
      <x:c r="G63" s="20" t="b">
        <x:v>1</x:v>
      </x:c>
      <x:c r="H63" s="21"/>
      <x:c r="I63" s="21"/>
      <x:c r="J63" s="14" t="str">
        <x:v>src-pleiades-570467</x:v>
      </x:c>
      <x:c r="K63" s="14" t="str">
        <x:v>reviewed</x:v>
      </x:c>
    </x:row>
    <x:row r="64" ht="26" customHeight="1">
      <x:c r="A64" s="14" t="str">
        <x:v>name-city-megalopolis-grc-ancient</x:v>
      </x:c>
      <x:c r="B64" s="14" t="str">
        <x:v>city-megalopolis</x:v>
      </x:c>
      <x:c r="C64" s="14" t="str">
        <x:v>Μεγάλη Πόλις</x:v>
      </x:c>
      <x:c r="D64" s="14" t="str">
        <x:v>grc</x:v>
      </x:c>
      <x:c r="E64" s="14" t="str">
        <x:v>Grek</x:v>
      </x:c>
      <x:c r="F64" s="14" t="str">
        <x:v>ancient</x:v>
      </x:c>
      <x:c r="G64" s="20" t="b">
        <x:v>0</x:v>
      </x:c>
      <x:c r="H64" s="21"/>
      <x:c r="I64" s="21"/>
      <x:c r="J64" s="14" t="str">
        <x:v>src-pleiades-570467</x:v>
      </x:c>
      <x:c r="K64" s="14" t="str">
        <x:v>reviewed</x:v>
      </x:c>
    </x:row>
    <x:row r="65" ht="26" customHeight="1">
      <x:c r="A65" s="14" t="str">
        <x:v>name-city-megara-el-preferred</x:v>
      </x:c>
      <x:c r="B65" s="14" t="str">
        <x:v>city-megara</x:v>
      </x:c>
      <x:c r="C65" s="14" t="str">
        <x:v>Μέγαρα</x:v>
      </x:c>
      <x:c r="D65" s="14" t="str">
        <x:v>el</x:v>
      </x:c>
      <x:c r="E65" s="14" t="str">
        <x:v>Grek</x:v>
      </x:c>
      <x:c r="F65" s="14" t="str">
        <x:v>preferred</x:v>
      </x:c>
      <x:c r="G65" s="20" t="b">
        <x:v>1</x:v>
      </x:c>
      <x:c r="H65" s="21"/>
      <x:c r="I65" s="21"/>
      <x:c r="J65" s="14" t="str">
        <x:v>src-pleiades-570468</x:v>
      </x:c>
      <x:c r="K65" s="14" t="str">
        <x:v>reviewed</x:v>
      </x:c>
    </x:row>
    <x:row r="66" ht="26" customHeight="1">
      <x:c r="A66" s="14" t="str">
        <x:v>name-city-megara-en-preferred</x:v>
      </x:c>
      <x:c r="B66" s="14" t="str">
        <x:v>city-megara</x:v>
      </x:c>
      <x:c r="C66" s="14" t="str">
        <x:v>Megara</x:v>
      </x:c>
      <x:c r="D66" s="14" t="str">
        <x:v>en</x:v>
      </x:c>
      <x:c r="E66" s="14" t="str">
        <x:v>Latn</x:v>
      </x:c>
      <x:c r="F66" s="14" t="str">
        <x:v>preferred</x:v>
      </x:c>
      <x:c r="G66" s="20" t="b">
        <x:v>1</x:v>
      </x:c>
      <x:c r="H66" s="21"/>
      <x:c r="I66" s="21"/>
      <x:c r="J66" s="14" t="str">
        <x:v>src-pleiades-570468</x:v>
      </x:c>
      <x:c r="K66" s="14" t="str">
        <x:v>reviewed</x:v>
      </x:c>
    </x:row>
    <x:row r="67" ht="26" customHeight="1">
      <x:c r="A67" s="14" t="str">
        <x:v>name-city-megara-grc-ancient</x:v>
      </x:c>
      <x:c r="B67" s="14" t="str">
        <x:v>city-megara</x:v>
      </x:c>
      <x:c r="C67" s="14" t="str">
        <x:v>Μέγαρα</x:v>
      </x:c>
      <x:c r="D67" s="14" t="str">
        <x:v>grc</x:v>
      </x:c>
      <x:c r="E67" s="14" t="str">
        <x:v>Grek</x:v>
      </x:c>
      <x:c r="F67" s="14" t="str">
        <x:v>ancient</x:v>
      </x:c>
      <x:c r="G67" s="20" t="b">
        <x:v>0</x:v>
      </x:c>
      <x:c r="H67" s="21"/>
      <x:c r="I67" s="21"/>
      <x:c r="J67" s="14" t="str">
        <x:v>src-pleiades-570468</x:v>
      </x:c>
      <x:c r="K67" s="14" t="str">
        <x:v>reviewed</x:v>
      </x:c>
    </x:row>
    <x:row r="68" ht="26" customHeight="1">
      <x:c r="A68" s="14" t="str">
        <x:v>name-city-messene-el-preferred</x:v>
      </x:c>
      <x:c r="B68" s="14" t="str">
        <x:v>city-messene</x:v>
      </x:c>
      <x:c r="C68" s="14" t="str">
        <x:v>Μεσσήνη</x:v>
      </x:c>
      <x:c r="D68" s="14" t="str">
        <x:v>el</x:v>
      </x:c>
      <x:c r="E68" s="14" t="str">
        <x:v>Grek</x:v>
      </x:c>
      <x:c r="F68" s="14" t="str">
        <x:v>preferred</x:v>
      </x:c>
      <x:c r="G68" s="20" t="b">
        <x:v>1</x:v>
      </x:c>
      <x:c r="H68" s="21"/>
      <x:c r="I68" s="21"/>
      <x:c r="J68" s="14" t="str">
        <x:v>src-pleiades-570479</x:v>
      </x:c>
      <x:c r="K68" s="14" t="str">
        <x:v>reviewed</x:v>
      </x:c>
    </x:row>
    <x:row r="69" ht="26" customHeight="1">
      <x:c r="A69" s="14" t="str">
        <x:v>name-city-messene-en-preferred</x:v>
      </x:c>
      <x:c r="B69" s="14" t="str">
        <x:v>city-messene</x:v>
      </x:c>
      <x:c r="C69" s="14" t="str">
        <x:v>Messene</x:v>
      </x:c>
      <x:c r="D69" s="14" t="str">
        <x:v>en</x:v>
      </x:c>
      <x:c r="E69" s="14" t="str">
        <x:v>Latn</x:v>
      </x:c>
      <x:c r="F69" s="14" t="str">
        <x:v>preferred</x:v>
      </x:c>
      <x:c r="G69" s="20" t="b">
        <x:v>1</x:v>
      </x:c>
      <x:c r="H69" s="21"/>
      <x:c r="I69" s="21"/>
      <x:c r="J69" s="14" t="str">
        <x:v>src-pleiades-570479</x:v>
      </x:c>
      <x:c r="K69" s="14" t="str">
        <x:v>reviewed</x:v>
      </x:c>
    </x:row>
    <x:row r="70" ht="26" customHeight="1">
      <x:c r="A70" s="14" t="str">
        <x:v>name-city-messene-grc-ancient</x:v>
      </x:c>
      <x:c r="B70" s="14" t="str">
        <x:v>city-messene</x:v>
      </x:c>
      <x:c r="C70" s="14" t="str">
        <x:v>Μεσσήνη</x:v>
      </x:c>
      <x:c r="D70" s="14" t="str">
        <x:v>grc</x:v>
      </x:c>
      <x:c r="E70" s="14" t="str">
        <x:v>Grek</x:v>
      </x:c>
      <x:c r="F70" s="14" t="str">
        <x:v>ancient</x:v>
      </x:c>
      <x:c r="G70" s="20" t="b">
        <x:v>0</x:v>
      </x:c>
      <x:c r="H70" s="21"/>
      <x:c r="I70" s="21"/>
      <x:c r="J70" s="14" t="str">
        <x:v>src-pleiades-570479</x:v>
      </x:c>
      <x:c r="K70" s="14" t="str">
        <x:v>reviewed</x:v>
      </x:c>
    </x:row>
    <x:row r="71" ht="26" customHeight="1">
      <x:c r="A71" s="14" t="str">
        <x:v>name-city-mytilene-el-preferred</x:v>
      </x:c>
      <x:c r="B71" s="14" t="str">
        <x:v>city-mytilene</x:v>
      </x:c>
      <x:c r="C71" s="14" t="str">
        <x:v>Μυτιλήνη</x:v>
      </x:c>
      <x:c r="D71" s="14" t="str">
        <x:v>el</x:v>
      </x:c>
      <x:c r="E71" s="14" t="str">
        <x:v>Grek</x:v>
      </x:c>
      <x:c r="F71" s="14" t="str">
        <x:v>preferred</x:v>
      </x:c>
      <x:c r="G71" s="20" t="b">
        <x:v>1</x:v>
      </x:c>
      <x:c r="H71" s="21"/>
      <x:c r="I71" s="21"/>
      <x:c r="J71" s="14" t="str">
        <x:v>src-pleiades-550763</x:v>
      </x:c>
      <x:c r="K71" s="14" t="str">
        <x:v>reviewed</x:v>
      </x:c>
    </x:row>
    <x:row r="72" ht="26" customHeight="1">
      <x:c r="A72" s="14" t="str">
        <x:v>name-city-mytilene-en-preferred</x:v>
      </x:c>
      <x:c r="B72" s="14" t="str">
        <x:v>city-mytilene</x:v>
      </x:c>
      <x:c r="C72" s="14" t="str">
        <x:v>Mytilene</x:v>
      </x:c>
      <x:c r="D72" s="14" t="str">
        <x:v>en</x:v>
      </x:c>
      <x:c r="E72" s="14" t="str">
        <x:v>Latn</x:v>
      </x:c>
      <x:c r="F72" s="14" t="str">
        <x:v>preferred</x:v>
      </x:c>
      <x:c r="G72" s="20" t="b">
        <x:v>1</x:v>
      </x:c>
      <x:c r="H72" s="21"/>
      <x:c r="I72" s="21"/>
      <x:c r="J72" s="14" t="str">
        <x:v>src-pleiades-550763</x:v>
      </x:c>
      <x:c r="K72" s="14" t="str">
        <x:v>reviewed</x:v>
      </x:c>
    </x:row>
    <x:row r="73" ht="26" customHeight="1">
      <x:c r="A73" s="14" t="str">
        <x:v>name-city-mytilene-grc-ancient</x:v>
      </x:c>
      <x:c r="B73" s="14" t="str">
        <x:v>city-mytilene</x:v>
      </x:c>
      <x:c r="C73" s="14" t="str">
        <x:v>Μυτιλήνη</x:v>
      </x:c>
      <x:c r="D73" s="14" t="str">
        <x:v>grc</x:v>
      </x:c>
      <x:c r="E73" s="14" t="str">
        <x:v>Grek</x:v>
      </x:c>
      <x:c r="F73" s="14" t="str">
        <x:v>ancient</x:v>
      </x:c>
      <x:c r="G73" s="20" t="b">
        <x:v>0</x:v>
      </x:c>
      <x:c r="H73" s="21"/>
      <x:c r="I73" s="21"/>
      <x:c r="J73" s="14" t="str">
        <x:v>src-pleiades-550763</x:v>
      </x:c>
      <x:c r="K73" s="14" t="str">
        <x:v>reviewed</x:v>
      </x:c>
    </x:row>
    <x:row r="74" ht="26" customHeight="1">
      <x:c r="A74" s="14" t="str">
        <x:v>name-city-naxos-cyclades-el-preferred</x:v>
      </x:c>
      <x:c r="B74" s="14" t="str">
        <x:v>city-naxos-cyclades</x:v>
      </x:c>
      <x:c r="C74" s="14" t="str">
        <x:v>Νάξος</x:v>
      </x:c>
      <x:c r="D74" s="14" t="str">
        <x:v>el</x:v>
      </x:c>
      <x:c r="E74" s="14" t="str">
        <x:v>Grek</x:v>
      </x:c>
      <x:c r="F74" s="14" t="str">
        <x:v>preferred</x:v>
      </x:c>
      <x:c r="G74" s="20" t="b">
        <x:v>1</x:v>
      </x:c>
      <x:c r="H74" s="21"/>
      <x:c r="I74" s="21"/>
      <x:c r="J74" s="14" t="str">
        <x:v>src-pleiades-599821</x:v>
      </x:c>
      <x:c r="K74" s="14" t="str">
        <x:v>reviewed</x:v>
      </x:c>
    </x:row>
    <x:row r="75" ht="26" customHeight="1">
      <x:c r="A75" s="14" t="str">
        <x:v>name-city-naxos-cyclades-en-preferred</x:v>
      </x:c>
      <x:c r="B75" s="14" t="str">
        <x:v>city-naxos-cyclades</x:v>
      </x:c>
      <x:c r="C75" s="14" t="str">
        <x:v>Naxos</x:v>
      </x:c>
      <x:c r="D75" s="14" t="str">
        <x:v>en</x:v>
      </x:c>
      <x:c r="E75" s="14" t="str">
        <x:v>Latn</x:v>
      </x:c>
      <x:c r="F75" s="14" t="str">
        <x:v>preferred</x:v>
      </x:c>
      <x:c r="G75" s="20" t="b">
        <x:v>1</x:v>
      </x:c>
      <x:c r="H75" s="21"/>
      <x:c r="I75" s="21"/>
      <x:c r="J75" s="14" t="str">
        <x:v>src-pleiades-599821</x:v>
      </x:c>
      <x:c r="K75" s="14" t="str">
        <x:v>reviewed</x:v>
      </x:c>
    </x:row>
    <x:row r="76" ht="26" customHeight="1">
      <x:c r="A76" s="14" t="str">
        <x:v>name-city-naxos-cyclades-grc-ancient</x:v>
      </x:c>
      <x:c r="B76" s="14" t="str">
        <x:v>city-naxos-cyclades</x:v>
      </x:c>
      <x:c r="C76" s="14" t="str">
        <x:v>Νάξος</x:v>
      </x:c>
      <x:c r="D76" s="14" t="str">
        <x:v>grc</x:v>
      </x:c>
      <x:c r="E76" s="14" t="str">
        <x:v>Grek</x:v>
      </x:c>
      <x:c r="F76" s="14" t="str">
        <x:v>ancient</x:v>
      </x:c>
      <x:c r="G76" s="20" t="b">
        <x:v>0</x:v>
      </x:c>
      <x:c r="H76" s="21"/>
      <x:c r="I76" s="21"/>
      <x:c r="J76" s="14" t="str">
        <x:v>src-pleiades-599821</x:v>
      </x:c>
      <x:c r="K76" s="14" t="str">
        <x:v>reviewed</x:v>
      </x:c>
    </x:row>
    <x:row r="77" ht="26" customHeight="1">
      <x:c r="A77" s="14" t="str">
        <x:v>name-city-olynthus-el-preferred</x:v>
      </x:c>
      <x:c r="B77" s="14" t="str">
        <x:v>city-olynthus</x:v>
      </x:c>
      <x:c r="C77" s="14" t="str">
        <x:v>Όλυνθος</x:v>
      </x:c>
      <x:c r="D77" s="14" t="str">
        <x:v>el</x:v>
      </x:c>
      <x:c r="E77" s="14" t="str">
        <x:v>Grek</x:v>
      </x:c>
      <x:c r="F77" s="14" t="str">
        <x:v>preferred</x:v>
      </x:c>
      <x:c r="G77" s="20" t="b">
        <x:v>1</x:v>
      </x:c>
      <x:c r="H77" s="21"/>
      <x:c r="I77" s="21"/>
      <x:c r="J77" s="14" t="str">
        <x:v>src-pleiades-491678</x:v>
      </x:c>
      <x:c r="K77" s="14" t="str">
        <x:v>reviewed</x:v>
      </x:c>
    </x:row>
    <x:row r="78" ht="26" customHeight="1">
      <x:c r="A78" s="14" t="str">
        <x:v>name-city-olynthus-en-preferred</x:v>
      </x:c>
      <x:c r="B78" s="14" t="str">
        <x:v>city-olynthus</x:v>
      </x:c>
      <x:c r="C78" s="14" t="str">
        <x:v>Olynthus</x:v>
      </x:c>
      <x:c r="D78" s="14" t="str">
        <x:v>en</x:v>
      </x:c>
      <x:c r="E78" s="14" t="str">
        <x:v>Latn</x:v>
      </x:c>
      <x:c r="F78" s="14" t="str">
        <x:v>preferred</x:v>
      </x:c>
      <x:c r="G78" s="20" t="b">
        <x:v>1</x:v>
      </x:c>
      <x:c r="H78" s="21"/>
      <x:c r="I78" s="21"/>
      <x:c r="J78" s="14" t="str">
        <x:v>src-pleiades-491678</x:v>
      </x:c>
      <x:c r="K78" s="14" t="str">
        <x:v>reviewed</x:v>
      </x:c>
    </x:row>
    <x:row r="79" ht="26" customHeight="1">
      <x:c r="A79" s="14" t="str">
        <x:v>name-city-olynthus-grc-ancient</x:v>
      </x:c>
      <x:c r="B79" s="14" t="str">
        <x:v>city-olynthus</x:v>
      </x:c>
      <x:c r="C79" s="14" t="str">
        <x:v>Ὄλυνθος</x:v>
      </x:c>
      <x:c r="D79" s="14" t="str">
        <x:v>grc</x:v>
      </x:c>
      <x:c r="E79" s="14" t="str">
        <x:v>Grek</x:v>
      </x:c>
      <x:c r="F79" s="14" t="str">
        <x:v>ancient</x:v>
      </x:c>
      <x:c r="G79" s="20" t="b">
        <x:v>0</x:v>
      </x:c>
      <x:c r="H79" s="21"/>
      <x:c r="I79" s="21"/>
      <x:c r="J79" s="14" t="str">
        <x:v>src-pleiades-491678</x:v>
      </x:c>
      <x:c r="K79" s="14" t="str">
        <x:v>reviewed</x:v>
      </x:c>
    </x:row>
    <x:row r="80" ht="26" customHeight="1">
      <x:c r="A80" s="14" t="str">
        <x:v>name-city-patrae-el-preferred</x:v>
      </x:c>
      <x:c r="B80" s="14" t="str">
        <x:v>city-patrae</x:v>
      </x:c>
      <x:c r="C80" s="14" t="str">
        <x:v>Πάτρα</x:v>
      </x:c>
      <x:c r="D80" s="14" t="str">
        <x:v>el</x:v>
      </x:c>
      <x:c r="E80" s="14" t="str">
        <x:v>Grek</x:v>
      </x:c>
      <x:c r="F80" s="14" t="str">
        <x:v>preferred</x:v>
      </x:c>
      <x:c r="G80" s="20" t="b">
        <x:v>1</x:v>
      </x:c>
      <x:c r="H80" s="21"/>
      <x:c r="I80" s="21"/>
      <x:c r="J80" s="14" t="str">
        <x:v>src-pleiades-570567</x:v>
      </x:c>
      <x:c r="K80" s="14" t="str">
        <x:v>reviewed</x:v>
      </x:c>
    </x:row>
    <x:row r="81" ht="26" customHeight="1">
      <x:c r="A81" s="14" t="str">
        <x:v>name-city-patrae-en-preferred</x:v>
      </x:c>
      <x:c r="B81" s="14" t="str">
        <x:v>city-patrae</x:v>
      </x:c>
      <x:c r="C81" s="14" t="str">
        <x:v>Patrae</x:v>
      </x:c>
      <x:c r="D81" s="14" t="str">
        <x:v>en</x:v>
      </x:c>
      <x:c r="E81" s="14" t="str">
        <x:v>Latn</x:v>
      </x:c>
      <x:c r="F81" s="14" t="str">
        <x:v>preferred</x:v>
      </x:c>
      <x:c r="G81" s="20" t="b">
        <x:v>1</x:v>
      </x:c>
      <x:c r="H81" s="21"/>
      <x:c r="I81" s="21"/>
      <x:c r="J81" s="14" t="str">
        <x:v>src-pleiades-570567</x:v>
      </x:c>
      <x:c r="K81" s="14" t="str">
        <x:v>reviewed</x:v>
      </x:c>
    </x:row>
    <x:row r="82" ht="26" customHeight="1">
      <x:c r="A82" s="14" t="str">
        <x:v>name-city-patrae-grc-ancient</x:v>
      </x:c>
      <x:c r="B82" s="14" t="str">
        <x:v>city-patrae</x:v>
      </x:c>
      <x:c r="C82" s="14" t="str">
        <x:v>Πάτραι</x:v>
      </x:c>
      <x:c r="D82" s="14" t="str">
        <x:v>grc</x:v>
      </x:c>
      <x:c r="E82" s="14" t="str">
        <x:v>Grek</x:v>
      </x:c>
      <x:c r="F82" s="14" t="str">
        <x:v>ancient</x:v>
      </x:c>
      <x:c r="G82" s="20" t="b">
        <x:v>0</x:v>
      </x:c>
      <x:c r="H82" s="21"/>
      <x:c r="I82" s="21"/>
      <x:c r="J82" s="14" t="str">
        <x:v>src-pleiades-570567</x:v>
      </x:c>
      <x:c r="K82" s="14" t="str">
        <x:v>reviewed</x:v>
      </x:c>
    </x:row>
    <x:row r="83" ht="26" customHeight="1">
      <x:c r="A83" s="14" t="str">
        <x:v>name-city-pella-el-preferred</x:v>
      </x:c>
      <x:c r="B83" s="14" t="str">
        <x:v>city-pella</x:v>
      </x:c>
      <x:c r="C83" s="14" t="str">
        <x:v>Πέλλα</x:v>
      </x:c>
      <x:c r="D83" s="14" t="str">
        <x:v>el</x:v>
      </x:c>
      <x:c r="E83" s="14" t="str">
        <x:v>Grek</x:v>
      </x:c>
      <x:c r="F83" s="14" t="str">
        <x:v>preferred</x:v>
      </x:c>
      <x:c r="G83" s="20" t="b">
        <x:v>1</x:v>
      </x:c>
      <x:c r="H83" s="21"/>
      <x:c r="I83" s="21"/>
      <x:c r="J83" s="14" t="str">
        <x:v>src-pleiades-491687</x:v>
      </x:c>
      <x:c r="K83" s="14" t="str">
        <x:v>reviewed</x:v>
      </x:c>
    </x:row>
    <x:row r="84" ht="26" customHeight="1">
      <x:c r="A84" s="14" t="str">
        <x:v>name-city-pella-en-preferred</x:v>
      </x:c>
      <x:c r="B84" s="14" t="str">
        <x:v>city-pella</x:v>
      </x:c>
      <x:c r="C84" s="14" t="str">
        <x:v>Pella</x:v>
      </x:c>
      <x:c r="D84" s="14" t="str">
        <x:v>en</x:v>
      </x:c>
      <x:c r="E84" s="14" t="str">
        <x:v>Latn</x:v>
      </x:c>
      <x:c r="F84" s="14" t="str">
        <x:v>preferred</x:v>
      </x:c>
      <x:c r="G84" s="20" t="b">
        <x:v>1</x:v>
      </x:c>
      <x:c r="H84" s="21"/>
      <x:c r="I84" s="21"/>
      <x:c r="J84" s="14" t="str">
        <x:v>src-pleiades-491687</x:v>
      </x:c>
      <x:c r="K84" s="14" t="str">
        <x:v>reviewed</x:v>
      </x:c>
    </x:row>
    <x:row r="85" ht="26" customHeight="1">
      <x:c r="A85" s="14" t="str">
        <x:v>name-city-pella-grc-ancient</x:v>
      </x:c>
      <x:c r="B85" s="14" t="str">
        <x:v>city-pella</x:v>
      </x:c>
      <x:c r="C85" s="14" t="str">
        <x:v>Πέλλα</x:v>
      </x:c>
      <x:c r="D85" s="14" t="str">
        <x:v>grc</x:v>
      </x:c>
      <x:c r="E85" s="14" t="str">
        <x:v>Grek</x:v>
      </x:c>
      <x:c r="F85" s="14" t="str">
        <x:v>ancient</x:v>
      </x:c>
      <x:c r="G85" s="20" t="b">
        <x:v>0</x:v>
      </x:c>
      <x:c r="H85" s="21"/>
      <x:c r="I85" s="21"/>
      <x:c r="J85" s="14" t="str">
        <x:v>src-pleiades-491687</x:v>
      </x:c>
      <x:c r="K85" s="14" t="str">
        <x:v>reviewed</x:v>
      </x:c>
    </x:row>
    <x:row r="86" ht="26" customHeight="1">
      <x:c r="A86" s="14" t="str">
        <x:v>name-city-pergamum-el-preferred</x:v>
      </x:c>
      <x:c r="B86" s="14" t="str">
        <x:v>city-pergamum</x:v>
      </x:c>
      <x:c r="C86" s="14" t="str">
        <x:v>Πέργαμος</x:v>
      </x:c>
      <x:c r="D86" s="14" t="str">
        <x:v>el</x:v>
      </x:c>
      <x:c r="E86" s="14" t="str">
        <x:v>Grek</x:v>
      </x:c>
      <x:c r="F86" s="14" t="str">
        <x:v>preferred</x:v>
      </x:c>
      <x:c r="G86" s="20" t="b">
        <x:v>1</x:v>
      </x:c>
      <x:c r="H86" s="21"/>
      <x:c r="I86" s="21"/>
      <x:c r="J86" s="14" t="str">
        <x:v>src-pleiades-550812</x:v>
      </x:c>
      <x:c r="K86" s="14" t="str">
        <x:v>reviewed</x:v>
      </x:c>
    </x:row>
    <x:row r="87" ht="26" customHeight="1">
      <x:c r="A87" s="14" t="str">
        <x:v>name-city-pergamum-en-preferred</x:v>
      </x:c>
      <x:c r="B87" s="14" t="str">
        <x:v>city-pergamum</x:v>
      </x:c>
      <x:c r="C87" s="14" t="str">
        <x:v>Pergamum</x:v>
      </x:c>
      <x:c r="D87" s="14" t="str">
        <x:v>en</x:v>
      </x:c>
      <x:c r="E87" s="14" t="str">
        <x:v>Latn</x:v>
      </x:c>
      <x:c r="F87" s="14" t="str">
        <x:v>preferred</x:v>
      </x:c>
      <x:c r="G87" s="20" t="b">
        <x:v>1</x:v>
      </x:c>
      <x:c r="H87" s="21"/>
      <x:c r="I87" s="21"/>
      <x:c r="J87" s="14" t="str">
        <x:v>src-pleiades-550812</x:v>
      </x:c>
      <x:c r="K87" s="14" t="str">
        <x:v>reviewed</x:v>
      </x:c>
    </x:row>
    <x:row r="88" ht="26" customHeight="1">
      <x:c r="A88" s="14" t="str">
        <x:v>name-city-pergamum-grc-ancient</x:v>
      </x:c>
      <x:c r="B88" s="14" t="str">
        <x:v>city-pergamum</x:v>
      </x:c>
      <x:c r="C88" s="14" t="str">
        <x:v>Πέργαμον</x:v>
      </x:c>
      <x:c r="D88" s="14" t="str">
        <x:v>grc</x:v>
      </x:c>
      <x:c r="E88" s="14" t="str">
        <x:v>Grek</x:v>
      </x:c>
      <x:c r="F88" s="14" t="str">
        <x:v>ancient</x:v>
      </x:c>
      <x:c r="G88" s="20" t="b">
        <x:v>0</x:v>
      </x:c>
      <x:c r="H88" s="21"/>
      <x:c r="I88" s="21"/>
      <x:c r="J88" s="14" t="str">
        <x:v>src-pleiades-550812</x:v>
      </x:c>
      <x:c r="K88" s="14" t="str">
        <x:v>reviewed</x:v>
      </x:c>
    </x:row>
    <x:row r="89" ht="26" customHeight="1">
      <x:c r="A89" s="14" t="str">
        <x:v>name-city-pherae-thessaly-el-preferred</x:v>
      </x:c>
      <x:c r="B89" s="14" t="str">
        <x:v>city-pherae-thessaly</x:v>
      </x:c>
      <x:c r="C89" s="14" t="str">
        <x:v>Φερές</x:v>
      </x:c>
      <x:c r="D89" s="14" t="str">
        <x:v>el</x:v>
      </x:c>
      <x:c r="E89" s="14" t="str">
        <x:v>Grek</x:v>
      </x:c>
      <x:c r="F89" s="14" t="str">
        <x:v>preferred</x:v>
      </x:c>
      <x:c r="G89" s="20" t="b">
        <x:v>1</x:v>
      </x:c>
      <x:c r="H89" s="21"/>
      <x:c r="I89" s="21"/>
      <x:c r="J89" s="14" t="str">
        <x:v>src-pleiades-541044</x:v>
      </x:c>
      <x:c r="K89" s="14" t="str">
        <x:v>reviewed</x:v>
      </x:c>
    </x:row>
    <x:row r="90" ht="26" customHeight="1">
      <x:c r="A90" s="14" t="str">
        <x:v>name-city-pherae-thessaly-en-preferred</x:v>
      </x:c>
      <x:c r="B90" s="14" t="str">
        <x:v>city-pherae-thessaly</x:v>
      </x:c>
      <x:c r="C90" s="14" t="str">
        <x:v>Pherae</x:v>
      </x:c>
      <x:c r="D90" s="14" t="str">
        <x:v>en</x:v>
      </x:c>
      <x:c r="E90" s="14" t="str">
        <x:v>Latn</x:v>
      </x:c>
      <x:c r="F90" s="14" t="str">
        <x:v>preferred</x:v>
      </x:c>
      <x:c r="G90" s="20" t="b">
        <x:v>1</x:v>
      </x:c>
      <x:c r="H90" s="21"/>
      <x:c r="I90" s="21"/>
      <x:c r="J90" s="14" t="str">
        <x:v>src-pleiades-541044</x:v>
      </x:c>
      <x:c r="K90" s="14" t="str">
        <x:v>reviewed</x:v>
      </x:c>
    </x:row>
    <x:row r="91" ht="26" customHeight="1">
      <x:c r="A91" s="14" t="str">
        <x:v>name-city-pherae-thessaly-grc-ancient</x:v>
      </x:c>
      <x:c r="B91" s="14" t="str">
        <x:v>city-pherae-thessaly</x:v>
      </x:c>
      <x:c r="C91" s="14" t="str">
        <x:v>Φεραί</x:v>
      </x:c>
      <x:c r="D91" s="14" t="str">
        <x:v>grc</x:v>
      </x:c>
      <x:c r="E91" s="14" t="str">
        <x:v>Grek</x:v>
      </x:c>
      <x:c r="F91" s="14" t="str">
        <x:v>ancient</x:v>
      </x:c>
      <x:c r="G91" s="20" t="b">
        <x:v>0</x:v>
      </x:c>
      <x:c r="H91" s="21"/>
      <x:c r="I91" s="21"/>
      <x:c r="J91" s="14" t="str">
        <x:v>src-pleiades-541044</x:v>
      </x:c>
      <x:c r="K91" s="14" t="str">
        <x:v>reviewed</x:v>
      </x:c>
    </x:row>
    <x:row r="92" ht="26" customHeight="1">
      <x:c r="A92" s="14" t="str">
        <x:v>name-city-piraeus-el-preferred</x:v>
      </x:c>
      <x:c r="B92" s="14" t="str">
        <x:v>city-piraeus</x:v>
      </x:c>
      <x:c r="C92" s="14" t="str">
        <x:v>Πειραιάς</x:v>
      </x:c>
      <x:c r="D92" s="14" t="str">
        <x:v>el</x:v>
      </x:c>
      <x:c r="E92" s="14" t="str">
        <x:v>Grek</x:v>
      </x:c>
      <x:c r="F92" s="14" t="str">
        <x:v>preferred</x:v>
      </x:c>
      <x:c r="G92" s="20" t="b">
        <x:v>1</x:v>
      </x:c>
      <x:c r="H92" s="21"/>
      <x:c r="I92" s="21"/>
      <x:c r="J92" s="14" t="str">
        <x:v>src-pleiades-580062</x:v>
      </x:c>
      <x:c r="K92" s="14" t="str">
        <x:v>reviewed</x:v>
      </x:c>
    </x:row>
    <x:row r="93" ht="26" customHeight="1">
      <x:c r="A93" s="14" t="str">
        <x:v>name-city-piraeus-en-preferred</x:v>
      </x:c>
      <x:c r="B93" s="14" t="str">
        <x:v>city-piraeus</x:v>
      </x:c>
      <x:c r="C93" s="14" t="str">
        <x:v>Piraeus</x:v>
      </x:c>
      <x:c r="D93" s="14" t="str">
        <x:v>en</x:v>
      </x:c>
      <x:c r="E93" s="14" t="str">
        <x:v>Latn</x:v>
      </x:c>
      <x:c r="F93" s="14" t="str">
        <x:v>preferred</x:v>
      </x:c>
      <x:c r="G93" s="20" t="b">
        <x:v>1</x:v>
      </x:c>
      <x:c r="H93" s="21"/>
      <x:c r="I93" s="21"/>
      <x:c r="J93" s="14" t="str">
        <x:v>src-pleiades-580062</x:v>
      </x:c>
      <x:c r="K93" s="14" t="str">
        <x:v>reviewed</x:v>
      </x:c>
    </x:row>
    <x:row r="94" ht="26" customHeight="1">
      <x:c r="A94" s="14" t="str">
        <x:v>name-city-piraeus-grc-ancient</x:v>
      </x:c>
      <x:c r="B94" s="14" t="str">
        <x:v>city-piraeus</x:v>
      </x:c>
      <x:c r="C94" s="14" t="str">
        <x:v>Πειραιεύς</x:v>
      </x:c>
      <x:c r="D94" s="14" t="str">
        <x:v>grc</x:v>
      </x:c>
      <x:c r="E94" s="14" t="str">
        <x:v>Grek</x:v>
      </x:c>
      <x:c r="F94" s="14" t="str">
        <x:v>ancient</x:v>
      </x:c>
      <x:c r="G94" s="20" t="b">
        <x:v>0</x:v>
      </x:c>
      <x:c r="H94" s="21"/>
      <x:c r="I94" s="21"/>
      <x:c r="J94" s="14" t="str">
        <x:v>src-pleiades-580062</x:v>
      </x:c>
      <x:c r="K94" s="14" t="str">
        <x:v>reviewed</x:v>
      </x:c>
    </x:row>
    <x:row r="95" ht="26" customHeight="1">
      <x:c r="A95" s="14" t="str">
        <x:v>name-city-ptolemais-cyrenaica-el-preferred</x:v>
      </x:c>
      <x:c r="B95" s="14" t="str">
        <x:v>city-ptolemais-cyrenaica</x:v>
      </x:c>
      <x:c r="C95" s="14" t="str">
        <x:v>Πτολεμαΐδα Κυρηναϊκής</x:v>
      </x:c>
      <x:c r="D95" s="14" t="str">
        <x:v>el</x:v>
      </x:c>
      <x:c r="E95" s="14" t="str">
        <x:v>Grek</x:v>
      </x:c>
      <x:c r="F95" s="14" t="str">
        <x:v>preferred</x:v>
      </x:c>
      <x:c r="G95" s="20" t="b">
        <x:v>1</x:v>
      </x:c>
      <x:c r="H95" s="21"/>
      <x:c r="I95" s="21"/>
      <x:c r="J95" s="14" t="str">
        <x:v>src-pleiades-373879</x:v>
      </x:c>
      <x:c r="K95" s="14" t="str">
        <x:v>reviewed</x:v>
      </x:c>
    </x:row>
    <x:row r="96" ht="26" customHeight="1">
      <x:c r="A96" s="14" t="str">
        <x:v>name-city-ptolemais-cyrenaica-en-preferred</x:v>
      </x:c>
      <x:c r="B96" s="14" t="str">
        <x:v>city-ptolemais-cyrenaica</x:v>
      </x:c>
      <x:c r="C96" s="14" t="str">
        <x:v>Ptolemais of Cyrenaica</x:v>
      </x:c>
      <x:c r="D96" s="14" t="str">
        <x:v>en</x:v>
      </x:c>
      <x:c r="E96" s="14" t="str">
        <x:v>Latn</x:v>
      </x:c>
      <x:c r="F96" s="14" t="str">
        <x:v>preferred</x:v>
      </x:c>
      <x:c r="G96" s="20" t="b">
        <x:v>1</x:v>
      </x:c>
      <x:c r="H96" s="21"/>
      <x:c r="I96" s="21"/>
      <x:c r="J96" s="14" t="str">
        <x:v>src-pleiades-373879</x:v>
      </x:c>
      <x:c r="K96" s="14" t="str">
        <x:v>reviewed</x:v>
      </x:c>
    </x:row>
    <x:row r="97" ht="26" customHeight="1">
      <x:c r="A97" s="14" t="str">
        <x:v>name-city-ptolemais-cyrenaica-grc-ancient</x:v>
      </x:c>
      <x:c r="B97" s="14" t="str">
        <x:v>city-ptolemais-cyrenaica</x:v>
      </x:c>
      <x:c r="C97" s="14" t="str">
        <x:v>Πτολεμαΐς</x:v>
      </x:c>
      <x:c r="D97" s="14" t="str">
        <x:v>grc</x:v>
      </x:c>
      <x:c r="E97" s="14" t="str">
        <x:v>Grek</x:v>
      </x:c>
      <x:c r="F97" s="14" t="str">
        <x:v>ancient</x:v>
      </x:c>
      <x:c r="G97" s="20" t="b">
        <x:v>0</x:v>
      </x:c>
      <x:c r="H97" s="21"/>
      <x:c r="I97" s="21"/>
      <x:c r="J97" s="14" t="str">
        <x:v>src-pleiades-373879</x:v>
      </x:c>
      <x:c r="K97" s="14" t="str">
        <x:v>reviewed</x:v>
      </x:c>
    </x:row>
    <x:row r="98" ht="26" customHeight="1">
      <x:c r="A98" s="14" t="str">
        <x:v>name-city-pydna-el-preferred</x:v>
      </x:c>
      <x:c r="B98" s="14" t="str">
        <x:v>city-pydna</x:v>
      </x:c>
      <x:c r="C98" s="14" t="str">
        <x:v>Πύδνα</x:v>
      </x:c>
      <x:c r="D98" s="14" t="str">
        <x:v>el</x:v>
      </x:c>
      <x:c r="E98" s="14" t="str">
        <x:v>Grek</x:v>
      </x:c>
      <x:c r="F98" s="14" t="str">
        <x:v>preferred</x:v>
      </x:c>
      <x:c r="G98" s="20" t="b">
        <x:v>1</x:v>
      </x:c>
      <x:c r="H98" s="21"/>
      <x:c r="I98" s="21"/>
      <x:c r="J98" s="14" t="str">
        <x:v>src-pleiades-491703</x:v>
      </x:c>
      <x:c r="K98" s="14" t="str">
        <x:v>reviewed</x:v>
      </x:c>
    </x:row>
    <x:row r="99" ht="26" customHeight="1">
      <x:c r="A99" s="14" t="str">
        <x:v>name-city-pydna-en-preferred</x:v>
      </x:c>
      <x:c r="B99" s="14" t="str">
        <x:v>city-pydna</x:v>
      </x:c>
      <x:c r="C99" s="14" t="str">
        <x:v>Pydna</x:v>
      </x:c>
      <x:c r="D99" s="14" t="str">
        <x:v>en</x:v>
      </x:c>
      <x:c r="E99" s="14" t="str">
        <x:v>Latn</x:v>
      </x:c>
      <x:c r="F99" s="14" t="str">
        <x:v>preferred</x:v>
      </x:c>
      <x:c r="G99" s="20" t="b">
        <x:v>1</x:v>
      </x:c>
      <x:c r="H99" s="21"/>
      <x:c r="I99" s="21"/>
      <x:c r="J99" s="14" t="str">
        <x:v>src-pleiades-491703</x:v>
      </x:c>
      <x:c r="K99" s="14" t="str">
        <x:v>reviewed</x:v>
      </x:c>
    </x:row>
    <x:row r="100" ht="26" customHeight="1">
      <x:c r="A100" s="14" t="str">
        <x:v>name-city-pydna-grc-ancient</x:v>
      </x:c>
      <x:c r="B100" s="14" t="str">
        <x:v>city-pydna</x:v>
      </x:c>
      <x:c r="C100" s="14" t="str">
        <x:v>Πύδνα</x:v>
      </x:c>
      <x:c r="D100" s="14" t="str">
        <x:v>grc</x:v>
      </x:c>
      <x:c r="E100" s="14" t="str">
        <x:v>Grek</x:v>
      </x:c>
      <x:c r="F100" s="14" t="str">
        <x:v>ancient</x:v>
      </x:c>
      <x:c r="G100" s="20" t="b">
        <x:v>0</x:v>
      </x:c>
      <x:c r="H100" s="21"/>
      <x:c r="I100" s="21"/>
      <x:c r="J100" s="14" t="str">
        <x:v>src-pleiades-491703</x:v>
      </x:c>
      <x:c r="K100" s="14" t="str">
        <x:v>reviewed</x:v>
      </x:c>
    </x:row>
    <x:row r="101" ht="26" customHeight="1">
      <x:c r="A101" s="14" t="str">
        <x:v>name-city-rhodes-city-el-preferred</x:v>
      </x:c>
      <x:c r="B101" s="14" t="str">
        <x:v>city-rhodes-city</x:v>
      </x:c>
      <x:c r="C101" s="14" t="str">
        <x:v>Ρόδος</x:v>
      </x:c>
      <x:c r="D101" s="14" t="str">
        <x:v>el</x:v>
      </x:c>
      <x:c r="E101" s="14" t="str">
        <x:v>Grek</x:v>
      </x:c>
      <x:c r="F101" s="14" t="str">
        <x:v>preferred</x:v>
      </x:c>
      <x:c r="G101" s="20" t="b">
        <x:v>1</x:v>
      </x:c>
      <x:c r="H101" s="21"/>
      <x:c r="I101" s="21"/>
      <x:c r="J101" s="14" t="str">
        <x:v>src-pleiades-590030</x:v>
      </x:c>
      <x:c r="K101" s="14" t="str">
        <x:v>reviewed</x:v>
      </x:c>
    </x:row>
    <x:row r="102" ht="26" customHeight="1">
      <x:c r="A102" s="14" t="str">
        <x:v>name-city-rhodes-city-en-preferred</x:v>
      </x:c>
      <x:c r="B102" s="14" t="str">
        <x:v>city-rhodes-city</x:v>
      </x:c>
      <x:c r="C102" s="14" t="str">
        <x:v>Rhodes</x:v>
      </x:c>
      <x:c r="D102" s="14" t="str">
        <x:v>en</x:v>
      </x:c>
      <x:c r="E102" s="14" t="str">
        <x:v>Latn</x:v>
      </x:c>
      <x:c r="F102" s="14" t="str">
        <x:v>preferred</x:v>
      </x:c>
      <x:c r="G102" s="20" t="b">
        <x:v>1</x:v>
      </x:c>
      <x:c r="H102" s="21"/>
      <x:c r="I102" s="21"/>
      <x:c r="J102" s="14" t="str">
        <x:v>src-pleiades-590030</x:v>
      </x:c>
      <x:c r="K102" s="14" t="str">
        <x:v>reviewed</x:v>
      </x:c>
    </x:row>
    <x:row r="103" ht="26" customHeight="1">
      <x:c r="A103" s="14" t="str">
        <x:v>name-city-rhodes-city-grc-ancient</x:v>
      </x:c>
      <x:c r="B103" s="14" t="str">
        <x:v>city-rhodes-city</x:v>
      </x:c>
      <x:c r="C103" s="14" t="str">
        <x:v>Ῥόδος</x:v>
      </x:c>
      <x:c r="D103" s="14" t="str">
        <x:v>grc</x:v>
      </x:c>
      <x:c r="E103" s="14" t="str">
        <x:v>Grek</x:v>
      </x:c>
      <x:c r="F103" s="14" t="str">
        <x:v>ancient</x:v>
      </x:c>
      <x:c r="G103" s="20" t="b">
        <x:v>0</x:v>
      </x:c>
      <x:c r="H103" s="21"/>
      <x:c r="I103" s="21"/>
      <x:c r="J103" s="14" t="str">
        <x:v>src-pleiades-590030</x:v>
      </x:c>
      <x:c r="K103" s="14" t="str">
        <x:v>reviewed</x:v>
      </x:c>
    </x:row>
    <x:row r="104" ht="26" customHeight="1">
      <x:c r="A104" s="14" t="str">
        <x:v>name-city-samos-city-el-preferred</x:v>
      </x:c>
      <x:c r="B104" s="14" t="str">
        <x:v>city-samos-city</x:v>
      </x:c>
      <x:c r="C104" s="14" t="str">
        <x:v>Σάμος</x:v>
      </x:c>
      <x:c r="D104" s="14" t="str">
        <x:v>el</x:v>
      </x:c>
      <x:c r="E104" s="14" t="str">
        <x:v>Grek</x:v>
      </x:c>
      <x:c r="F104" s="14" t="str">
        <x:v>preferred</x:v>
      </x:c>
      <x:c r="G104" s="20" t="b">
        <x:v>1</x:v>
      </x:c>
      <x:c r="H104" s="21"/>
      <x:c r="I104" s="21"/>
      <x:c r="J104" s="14" t="str">
        <x:v>src-pleiades-599925</x:v>
      </x:c>
      <x:c r="K104" s="14" t="str">
        <x:v>reviewed</x:v>
      </x:c>
    </x:row>
    <x:row r="105" ht="26" customHeight="1">
      <x:c r="A105" s="14" t="str">
        <x:v>name-city-samos-city-en-preferred</x:v>
      </x:c>
      <x:c r="B105" s="14" t="str">
        <x:v>city-samos-city</x:v>
      </x:c>
      <x:c r="C105" s="14" t="str">
        <x:v>Samos</x:v>
      </x:c>
      <x:c r="D105" s="14" t="str">
        <x:v>en</x:v>
      </x:c>
      <x:c r="E105" s="14" t="str">
        <x:v>Latn</x:v>
      </x:c>
      <x:c r="F105" s="14" t="str">
        <x:v>preferred</x:v>
      </x:c>
      <x:c r="G105" s="20" t="b">
        <x:v>1</x:v>
      </x:c>
      <x:c r="H105" s="21"/>
      <x:c r="I105" s="21"/>
      <x:c r="J105" s="14" t="str">
        <x:v>src-pleiades-599925</x:v>
      </x:c>
      <x:c r="K105" s="14" t="str">
        <x:v>reviewed</x:v>
      </x:c>
    </x:row>
    <x:row r="106" ht="26" customHeight="1">
      <x:c r="A106" s="14" t="str">
        <x:v>name-city-samos-city-grc-ancient</x:v>
      </x:c>
      <x:c r="B106" s="14" t="str">
        <x:v>city-samos-city</x:v>
      </x:c>
      <x:c r="C106" s="14" t="str">
        <x:v>Σάμος</x:v>
      </x:c>
      <x:c r="D106" s="14" t="str">
        <x:v>grc</x:v>
      </x:c>
      <x:c r="E106" s="14" t="str">
        <x:v>Grek</x:v>
      </x:c>
      <x:c r="F106" s="14" t="str">
        <x:v>ancient</x:v>
      </x:c>
      <x:c r="G106" s="20" t="b">
        <x:v>0</x:v>
      </x:c>
      <x:c r="H106" s="21"/>
      <x:c r="I106" s="21"/>
      <x:c r="J106" s="14" t="str">
        <x:v>src-pleiades-599925</x:v>
      </x:c>
      <x:c r="K106" s="14" t="str">
        <x:v>reviewed</x:v>
      </x:c>
    </x:row>
    <x:row r="107" ht="26" customHeight="1">
      <x:c r="A107" s="14" t="str">
        <x:v>name-city-sicyon-el-preferred</x:v>
      </x:c>
      <x:c r="B107" s="14" t="str">
        <x:v>city-sicyon</x:v>
      </x:c>
      <x:c r="C107" s="14" t="str">
        <x:v>Σικυώνα</x:v>
      </x:c>
      <x:c r="D107" s="14" t="str">
        <x:v>el</x:v>
      </x:c>
      <x:c r="E107" s="14" t="str">
        <x:v>Grek</x:v>
      </x:c>
      <x:c r="F107" s="14" t="str">
        <x:v>preferred</x:v>
      </x:c>
      <x:c r="G107" s="20" t="b">
        <x:v>1</x:v>
      </x:c>
      <x:c r="H107" s="21"/>
      <x:c r="I107" s="21"/>
      <x:c r="J107" s="14" t="str">
        <x:v>src-pleiades-570668</x:v>
      </x:c>
      <x:c r="K107" s="14" t="str">
        <x:v>reviewed</x:v>
      </x:c>
    </x:row>
    <x:row r="108" ht="26" customHeight="1">
      <x:c r="A108" s="14" t="str">
        <x:v>name-city-sicyon-en-preferred</x:v>
      </x:c>
      <x:c r="B108" s="14" t="str">
        <x:v>city-sicyon</x:v>
      </x:c>
      <x:c r="C108" s="14" t="str">
        <x:v>Sicyon</x:v>
      </x:c>
      <x:c r="D108" s="14" t="str">
        <x:v>en</x:v>
      </x:c>
      <x:c r="E108" s="14" t="str">
        <x:v>Latn</x:v>
      </x:c>
      <x:c r="F108" s="14" t="str">
        <x:v>preferred</x:v>
      </x:c>
      <x:c r="G108" s="20" t="b">
        <x:v>1</x:v>
      </x:c>
      <x:c r="H108" s="21"/>
      <x:c r="I108" s="21"/>
      <x:c r="J108" s="14" t="str">
        <x:v>src-pleiades-570668</x:v>
      </x:c>
      <x:c r="K108" s="14" t="str">
        <x:v>reviewed</x:v>
      </x:c>
    </x:row>
    <x:row r="109" ht="26" customHeight="1">
      <x:c r="A109" s="14" t="str">
        <x:v>name-city-sicyon-grc-ancient</x:v>
      </x:c>
      <x:c r="B109" s="14" t="str">
        <x:v>city-sicyon</x:v>
      </x:c>
      <x:c r="C109" s="14" t="str">
        <x:v>Σικυών</x:v>
      </x:c>
      <x:c r="D109" s="14" t="str">
        <x:v>grc</x:v>
      </x:c>
      <x:c r="E109" s="14" t="str">
        <x:v>Grek</x:v>
      </x:c>
      <x:c r="F109" s="14" t="str">
        <x:v>ancient</x:v>
      </x:c>
      <x:c r="G109" s="20" t="b">
        <x:v>0</x:v>
      </x:c>
      <x:c r="H109" s="21"/>
      <x:c r="I109" s="21"/>
      <x:c r="J109" s="14" t="str">
        <x:v>src-pleiades-570668</x:v>
      </x:c>
      <x:c r="K109" s="14" t="str">
        <x:v>reviewed</x:v>
      </x:c>
    </x:row>
    <x:row r="110" ht="26" customHeight="1">
      <x:c r="A110" s="14" t="str">
        <x:v>name-city-smyrna-el-preferred</x:v>
      </x:c>
      <x:c r="B110" s="14" t="str">
        <x:v>city-smyrna</x:v>
      </x:c>
      <x:c r="C110" s="14" t="str">
        <x:v>Σμύρνη</x:v>
      </x:c>
      <x:c r="D110" s="14" t="str">
        <x:v>el</x:v>
      </x:c>
      <x:c r="E110" s="14" t="str">
        <x:v>Grek</x:v>
      </x:c>
      <x:c r="F110" s="14" t="str">
        <x:v>preferred</x:v>
      </x:c>
      <x:c r="G110" s="20" t="b">
        <x:v>1</x:v>
      </x:c>
      <x:c r="H110" s="21"/>
      <x:c r="I110" s="21"/>
      <x:c r="J110" s="14" t="str">
        <x:v>src-pleiades-550893</x:v>
      </x:c>
      <x:c r="K110" s="14" t="str">
        <x:v>reviewed</x:v>
      </x:c>
    </x:row>
    <x:row r="111" ht="26" customHeight="1">
      <x:c r="A111" s="14" t="str">
        <x:v>name-city-smyrna-en-preferred</x:v>
      </x:c>
      <x:c r="B111" s="14" t="str">
        <x:v>city-smyrna</x:v>
      </x:c>
      <x:c r="C111" s="14" t="str">
        <x:v>Smyrna</x:v>
      </x:c>
      <x:c r="D111" s="14" t="str">
        <x:v>en</x:v>
      </x:c>
      <x:c r="E111" s="14" t="str">
        <x:v>Latn</x:v>
      </x:c>
      <x:c r="F111" s="14" t="str">
        <x:v>preferred</x:v>
      </x:c>
      <x:c r="G111" s="20" t="b">
        <x:v>1</x:v>
      </x:c>
      <x:c r="H111" s="21"/>
      <x:c r="I111" s="21"/>
      <x:c r="J111" s="14" t="str">
        <x:v>src-pleiades-550893</x:v>
      </x:c>
      <x:c r="K111" s="14" t="str">
        <x:v>reviewed</x:v>
      </x:c>
    </x:row>
    <x:row r="112" ht="26" customHeight="1">
      <x:c r="A112" s="14" t="str">
        <x:v>name-city-smyrna-grc-ancient</x:v>
      </x:c>
      <x:c r="B112" s="14" t="str">
        <x:v>city-smyrna</x:v>
      </x:c>
      <x:c r="C112" s="14" t="str">
        <x:v>Σμύρνα</x:v>
      </x:c>
      <x:c r="D112" s="14" t="str">
        <x:v>grc</x:v>
      </x:c>
      <x:c r="E112" s="14" t="str">
        <x:v>Grek</x:v>
      </x:c>
      <x:c r="F112" s="14" t="str">
        <x:v>ancient</x:v>
      </x:c>
      <x:c r="G112" s="20" t="b">
        <x:v>0</x:v>
      </x:c>
      <x:c r="H112" s="21"/>
      <x:c r="I112" s="21"/>
      <x:c r="J112" s="14" t="str">
        <x:v>src-pleiades-550893</x:v>
      </x:c>
      <x:c r="K112" s="14" t="str">
        <x:v>reviewed</x:v>
      </x:c>
    </x:row>
    <x:row r="113" ht="26" customHeight="1">
      <x:c r="A113" s="14" t="str">
        <x:v>name-city-sparta-el-preferred</x:v>
      </x:c>
      <x:c r="B113" s="14" t="str">
        <x:v>city-sparta</x:v>
      </x:c>
      <x:c r="C113" s="14" t="str">
        <x:v>Σπάρτη</x:v>
      </x:c>
      <x:c r="D113" s="14" t="str">
        <x:v>el</x:v>
      </x:c>
      <x:c r="E113" s="14" t="str">
        <x:v>Grek</x:v>
      </x:c>
      <x:c r="F113" s="14" t="str">
        <x:v>preferred</x:v>
      </x:c>
      <x:c r="G113" s="20" t="b">
        <x:v>1</x:v>
      </x:c>
      <x:c r="H113" s="21"/>
      <x:c r="I113" s="21"/>
      <x:c r="J113" s="14" t="str">
        <x:v>src-pleiades-570685</x:v>
      </x:c>
      <x:c r="K113" s="14" t="str">
        <x:v>reviewed</x:v>
      </x:c>
    </x:row>
    <x:row r="114" ht="26" customHeight="1">
      <x:c r="A114" s="14" t="str">
        <x:v>name-city-sparta-en-preferred</x:v>
      </x:c>
      <x:c r="B114" s="14" t="str">
        <x:v>city-sparta</x:v>
      </x:c>
      <x:c r="C114" s="14" t="str">
        <x:v>Sparta</x:v>
      </x:c>
      <x:c r="D114" s="14" t="str">
        <x:v>en</x:v>
      </x:c>
      <x:c r="E114" s="14" t="str">
        <x:v>Latn</x:v>
      </x:c>
      <x:c r="F114" s="14" t="str">
        <x:v>preferred</x:v>
      </x:c>
      <x:c r="G114" s="20" t="b">
        <x:v>1</x:v>
      </x:c>
      <x:c r="H114" s="21"/>
      <x:c r="I114" s="21"/>
      <x:c r="J114" s="14" t="str">
        <x:v>src-pleiades-570685</x:v>
      </x:c>
      <x:c r="K114" s="14" t="str">
        <x:v>reviewed</x:v>
      </x:c>
    </x:row>
    <x:row r="115" ht="26" customHeight="1">
      <x:c r="A115" s="14" t="str">
        <x:v>name-city-sparta-grc-ancient</x:v>
      </x:c>
      <x:c r="B115" s="14" t="str">
        <x:v>city-sparta</x:v>
      </x:c>
      <x:c r="C115" s="14" t="str">
        <x:v>Σπάρτη</x:v>
      </x:c>
      <x:c r="D115" s="14" t="str">
        <x:v>grc</x:v>
      </x:c>
      <x:c r="E115" s="14" t="str">
        <x:v>Grek</x:v>
      </x:c>
      <x:c r="F115" s="14" t="str">
        <x:v>ancient</x:v>
      </x:c>
      <x:c r="G115" s="20" t="b">
        <x:v>0</x:v>
      </x:c>
      <x:c r="H115" s="21"/>
      <x:c r="I115" s="21"/>
      <x:c r="J115" s="14" t="str">
        <x:v>src-pleiades-570685</x:v>
      </x:c>
      <x:c r="K115" s="14" t="str">
        <x:v>reviewed</x:v>
      </x:c>
    </x:row>
    <x:row r="116" ht="26" customHeight="1">
      <x:c r="A116" s="14" t="str">
        <x:v>name-city-tegea-el-preferred</x:v>
      </x:c>
      <x:c r="B116" s="14" t="str">
        <x:v>city-tegea</x:v>
      </x:c>
      <x:c r="C116" s="14" t="str">
        <x:v>Τεγέα</x:v>
      </x:c>
      <x:c r="D116" s="14" t="str">
        <x:v>el</x:v>
      </x:c>
      <x:c r="E116" s="14" t="str">
        <x:v>Grek</x:v>
      </x:c>
      <x:c r="F116" s="14" t="str">
        <x:v>preferred</x:v>
      </x:c>
      <x:c r="G116" s="20" t="b">
        <x:v>1</x:v>
      </x:c>
      <x:c r="H116" s="21"/>
      <x:c r="I116" s="21"/>
      <x:c r="J116" s="14" t="str">
        <x:v>src-pleiades-570707</x:v>
      </x:c>
      <x:c r="K116" s="14" t="str">
        <x:v>reviewed</x:v>
      </x:c>
    </x:row>
    <x:row r="117" ht="26" customHeight="1">
      <x:c r="A117" s="14" t="str">
        <x:v>name-city-tegea-en-preferred</x:v>
      </x:c>
      <x:c r="B117" s="14" t="str">
        <x:v>city-tegea</x:v>
      </x:c>
      <x:c r="C117" s="14" t="str">
        <x:v>Tegea</x:v>
      </x:c>
      <x:c r="D117" s="14" t="str">
        <x:v>en</x:v>
      </x:c>
      <x:c r="E117" s="14" t="str">
        <x:v>Latn</x:v>
      </x:c>
      <x:c r="F117" s="14" t="str">
        <x:v>preferred</x:v>
      </x:c>
      <x:c r="G117" s="20" t="b">
        <x:v>1</x:v>
      </x:c>
      <x:c r="H117" s="21"/>
      <x:c r="I117" s="21"/>
      <x:c r="J117" s="14" t="str">
        <x:v>src-pleiades-570707</x:v>
      </x:c>
      <x:c r="K117" s="14" t="str">
        <x:v>reviewed</x:v>
      </x:c>
    </x:row>
    <x:row r="118" ht="26" customHeight="1">
      <x:c r="A118" s="14" t="str">
        <x:v>name-city-tegea-grc-ancient</x:v>
      </x:c>
      <x:c r="B118" s="14" t="str">
        <x:v>city-tegea</x:v>
      </x:c>
      <x:c r="C118" s="14" t="str">
        <x:v>Τεγέα</x:v>
      </x:c>
      <x:c r="D118" s="14" t="str">
        <x:v>grc</x:v>
      </x:c>
      <x:c r="E118" s="14" t="str">
        <x:v>Grek</x:v>
      </x:c>
      <x:c r="F118" s="14" t="str">
        <x:v>ancient</x:v>
      </x:c>
      <x:c r="G118" s="20" t="b">
        <x:v>0</x:v>
      </x:c>
      <x:c r="H118" s="21"/>
      <x:c r="I118" s="21"/>
      <x:c r="J118" s="14" t="str">
        <x:v>src-pleiades-570707</x:v>
      </x:c>
      <x:c r="K118" s="14" t="str">
        <x:v>reviewed</x:v>
      </x:c>
    </x:row>
    <x:row r="119" ht="26" customHeight="1">
      <x:c r="A119" s="14" t="str">
        <x:v>name-city-thebes-boeotia-el-preferred</x:v>
      </x:c>
      <x:c r="B119" s="14" t="str">
        <x:v>city-thebes-boeotia</x:v>
      </x:c>
      <x:c r="C119" s="14" t="str">
        <x:v>Θήβα</x:v>
      </x:c>
      <x:c r="D119" s="14" t="str">
        <x:v>el</x:v>
      </x:c>
      <x:c r="E119" s="14" t="str">
        <x:v>Grek</x:v>
      </x:c>
      <x:c r="F119" s="14" t="str">
        <x:v>preferred</x:v>
      </x:c>
      <x:c r="G119" s="20" t="b">
        <x:v>1</x:v>
      </x:c>
      <x:c r="H119" s="21"/>
      <x:c r="I119" s="21"/>
      <x:c r="J119" s="14" t="str">
        <x:v>src-pleiades-541138</x:v>
      </x:c>
      <x:c r="K119" s="14" t="str">
        <x:v>reviewed</x:v>
      </x:c>
    </x:row>
    <x:row r="120" ht="26" customHeight="1">
      <x:c r="A120" s="14" t="str">
        <x:v>name-city-thebes-boeotia-en-preferred</x:v>
      </x:c>
      <x:c r="B120" s="14" t="str">
        <x:v>city-thebes-boeotia</x:v>
      </x:c>
      <x:c r="C120" s="14" t="str">
        <x:v>Thebes</x:v>
      </x:c>
      <x:c r="D120" s="14" t="str">
        <x:v>en</x:v>
      </x:c>
      <x:c r="E120" s="14" t="str">
        <x:v>Latn</x:v>
      </x:c>
      <x:c r="F120" s="14" t="str">
        <x:v>preferred</x:v>
      </x:c>
      <x:c r="G120" s="20" t="b">
        <x:v>1</x:v>
      </x:c>
      <x:c r="H120" s="21"/>
      <x:c r="I120" s="21"/>
      <x:c r="J120" s="14" t="str">
        <x:v>src-pleiades-541138</x:v>
      </x:c>
      <x:c r="K120" s="14" t="str">
        <x:v>reviewed</x:v>
      </x:c>
    </x:row>
    <x:row r="121" ht="26" customHeight="1">
      <x:c r="A121" s="14" t="str">
        <x:v>name-city-thebes-boeotia-grc-ancient</x:v>
      </x:c>
      <x:c r="B121" s="14" t="str">
        <x:v>city-thebes-boeotia</x:v>
      </x:c>
      <x:c r="C121" s="14" t="str">
        <x:v>Θῆβαι</x:v>
      </x:c>
      <x:c r="D121" s="14" t="str">
        <x:v>grc</x:v>
      </x:c>
      <x:c r="E121" s="14" t="str">
        <x:v>Grek</x:v>
      </x:c>
      <x:c r="F121" s="14" t="str">
        <x:v>ancient</x:v>
      </x:c>
      <x:c r="G121" s="20" t="b">
        <x:v>0</x:v>
      </x:c>
      <x:c r="H121" s="21"/>
      <x:c r="I121" s="21"/>
      <x:c r="J121" s="14" t="str">
        <x:v>src-pleiades-541138</x:v>
      </x:c>
      <x:c r="K121" s="14" t="str">
        <x:v>reviewed</x:v>
      </x:c>
    </x:row>
    <x:row r="122" ht="26" customHeight="1">
      <x:c r="A122" s="14" t="str">
        <x:v>name-city-thera-city-el-preferred</x:v>
      </x:c>
      <x:c r="B122" s="14" t="str">
        <x:v>city-thera-city</x:v>
      </x:c>
      <x:c r="C122" s="14" t="str">
        <x:v>Θήρα</x:v>
      </x:c>
      <x:c r="D122" s="14" t="str">
        <x:v>el</x:v>
      </x:c>
      <x:c r="E122" s="14" t="str">
        <x:v>Grek</x:v>
      </x:c>
      <x:c r="F122" s="14" t="str">
        <x:v>preferred</x:v>
      </x:c>
      <x:c r="G122" s="20" t="b">
        <x:v>1</x:v>
      </x:c>
      <x:c r="H122" s="21"/>
      <x:c r="I122" s="21"/>
      <x:c r="J122" s="14" t="str">
        <x:v>src-pleiades-599971</x:v>
      </x:c>
      <x:c r="K122" s="14" t="str">
        <x:v>reviewed</x:v>
      </x:c>
    </x:row>
    <x:row r="123" ht="26" customHeight="1">
      <x:c r="A123" s="14" t="str">
        <x:v>name-city-thera-city-en-preferred</x:v>
      </x:c>
      <x:c r="B123" s="14" t="str">
        <x:v>city-thera-city</x:v>
      </x:c>
      <x:c r="C123" s="14" t="str">
        <x:v>Thera</x:v>
      </x:c>
      <x:c r="D123" s="14" t="str">
        <x:v>en</x:v>
      </x:c>
      <x:c r="E123" s="14" t="str">
        <x:v>Latn</x:v>
      </x:c>
      <x:c r="F123" s="14" t="str">
        <x:v>preferred</x:v>
      </x:c>
      <x:c r="G123" s="20" t="b">
        <x:v>1</x:v>
      </x:c>
      <x:c r="H123" s="21"/>
      <x:c r="I123" s="21"/>
      <x:c r="J123" s="14" t="str">
        <x:v>src-pleiades-599971</x:v>
      </x:c>
      <x:c r="K123" s="14" t="str">
        <x:v>reviewed</x:v>
      </x:c>
    </x:row>
    <x:row r="124" ht="26" customHeight="1">
      <x:c r="A124" s="14" t="str">
        <x:v>name-city-thera-city-grc-ancient</x:v>
      </x:c>
      <x:c r="B124" s="14" t="str">
        <x:v>city-thera-city</x:v>
      </x:c>
      <x:c r="C124" s="14" t="str">
        <x:v>Θήρα</x:v>
      </x:c>
      <x:c r="D124" s="14" t="str">
        <x:v>grc</x:v>
      </x:c>
      <x:c r="E124" s="14" t="str">
        <x:v>Grek</x:v>
      </x:c>
      <x:c r="F124" s="14" t="str">
        <x:v>ancient</x:v>
      </x:c>
      <x:c r="G124" s="20" t="b">
        <x:v>0</x:v>
      </x:c>
      <x:c r="H124" s="21"/>
      <x:c r="I124" s="21"/>
      <x:c r="J124" s="14" t="str">
        <x:v>src-pleiades-599971</x:v>
      </x:c>
      <x:c r="K124" s="14" t="str">
        <x:v>reviewed</x:v>
      </x:c>
    </x:row>
    <x:row r="125" ht="26" customHeight="1">
      <x:c r="A125" s="14" t="str">
        <x:v>name-city-thessalonica-el-preferred</x:v>
      </x:c>
      <x:c r="B125" s="14" t="str">
        <x:v>city-thessalonica</x:v>
      </x:c>
      <x:c r="C125" s="14" t="str">
        <x:v>Θεσσαλονίκη</x:v>
      </x:c>
      <x:c r="D125" s="14" t="str">
        <x:v>el</x:v>
      </x:c>
      <x:c r="E125" s="14" t="str">
        <x:v>Grek</x:v>
      </x:c>
      <x:c r="F125" s="14" t="str">
        <x:v>preferred</x:v>
      </x:c>
      <x:c r="G125" s="20" t="b">
        <x:v>1</x:v>
      </x:c>
      <x:c r="H125" s="21"/>
      <x:c r="I125" s="21"/>
      <x:c r="J125" s="14" t="str">
        <x:v>src-pleiades-491741</x:v>
      </x:c>
      <x:c r="K125" s="14" t="str">
        <x:v>reviewed</x:v>
      </x:c>
    </x:row>
    <x:row r="126" ht="26" customHeight="1">
      <x:c r="A126" s="14" t="str">
        <x:v>name-city-thessalonica-en-preferred</x:v>
      </x:c>
      <x:c r="B126" s="14" t="str">
        <x:v>city-thessalonica</x:v>
      </x:c>
      <x:c r="C126" s="14" t="str">
        <x:v>Thessalonica</x:v>
      </x:c>
      <x:c r="D126" s="14" t="str">
        <x:v>en</x:v>
      </x:c>
      <x:c r="E126" s="14" t="str">
        <x:v>Latn</x:v>
      </x:c>
      <x:c r="F126" s="14" t="str">
        <x:v>preferred</x:v>
      </x:c>
      <x:c r="G126" s="20" t="b">
        <x:v>1</x:v>
      </x:c>
      <x:c r="H126" s="21"/>
      <x:c r="I126" s="21"/>
      <x:c r="J126" s="14" t="str">
        <x:v>src-pleiades-491741</x:v>
      </x:c>
      <x:c r="K126" s="14" t="str">
        <x:v>reviewed</x:v>
      </x:c>
    </x:row>
    <x:row r="127" ht="26" customHeight="1">
      <x:c r="A127" s="14" t="str">
        <x:v>name-city-thessalonica-grc-ancient</x:v>
      </x:c>
      <x:c r="B127" s="14" t="str">
        <x:v>city-thessalonica</x:v>
      </x:c>
      <x:c r="C127" s="14" t="str">
        <x:v>Θεσσαλονίκη</x:v>
      </x:c>
      <x:c r="D127" s="14" t="str">
        <x:v>grc</x:v>
      </x:c>
      <x:c r="E127" s="14" t="str">
        <x:v>Grek</x:v>
      </x:c>
      <x:c r="F127" s="14" t="str">
        <x:v>ancient</x:v>
      </x:c>
      <x:c r="G127" s="20" t="b">
        <x:v>0</x:v>
      </x:c>
      <x:c r="H127" s="21"/>
      <x:c r="I127" s="21"/>
      <x:c r="J127" s="14" t="str">
        <x:v>src-pleiades-491741</x:v>
      </x:c>
      <x:c r="K127" s="14" t="str">
        <x:v>reviewed</x:v>
      </x:c>
    </x:row>
    <x:row r="128" ht="26" customHeight="1">
      <x:c r="A128" s="14" t="str">
        <x:v>name-colony-abydos-el-preferred</x:v>
      </x:c>
      <x:c r="B128" s="14" t="str">
        <x:v>colony-abydos</x:v>
      </x:c>
      <x:c r="C128" s="14" t="str">
        <x:v>Άβυδος</x:v>
      </x:c>
      <x:c r="D128" s="14" t="str">
        <x:v>el</x:v>
      </x:c>
      <x:c r="E128" s="14" t="str">
        <x:v>Grek</x:v>
      </x:c>
      <x:c r="F128" s="14" t="str">
        <x:v>preferred</x:v>
      </x:c>
      <x:c r="G128" s="20" t="b">
        <x:v>1</x:v>
      </x:c>
      <x:c r="H128" s="21"/>
      <x:c r="I128" s="21"/>
      <x:c r="J128" s="14" t="str">
        <x:v>src-pleiades-501325</x:v>
      </x:c>
      <x:c r="K128" s="14" t="str">
        <x:v>reviewed</x:v>
      </x:c>
    </x:row>
    <x:row r="129" ht="26" customHeight="1">
      <x:c r="A129" s="14" t="str">
        <x:v>name-colony-abydos-en-preferred</x:v>
      </x:c>
      <x:c r="B129" s="14" t="str">
        <x:v>colony-abydos</x:v>
      </x:c>
      <x:c r="C129" s="14" t="str">
        <x:v>Abydos</x:v>
      </x:c>
      <x:c r="D129" s="14" t="str">
        <x:v>en</x:v>
      </x:c>
      <x:c r="E129" s="14" t="str">
        <x:v>Latn</x:v>
      </x:c>
      <x:c r="F129" s="14" t="str">
        <x:v>preferred</x:v>
      </x:c>
      <x:c r="G129" s="20" t="b">
        <x:v>1</x:v>
      </x:c>
      <x:c r="H129" s="21"/>
      <x:c r="I129" s="21"/>
      <x:c r="J129" s="14" t="str">
        <x:v>src-pleiades-501325</x:v>
      </x:c>
      <x:c r="K129" s="14" t="str">
        <x:v>reviewed</x:v>
      </x:c>
    </x:row>
    <x:row r="130" ht="26" customHeight="1">
      <x:c r="A130" s="14" t="str">
        <x:v>name-colony-abydos-grc-ancient</x:v>
      </x:c>
      <x:c r="B130" s="14" t="str">
        <x:v>colony-abydos</x:v>
      </x:c>
      <x:c r="C130" s="14" t="str">
        <x:v>Ἄβυδος</x:v>
      </x:c>
      <x:c r="D130" s="14" t="str">
        <x:v>grc</x:v>
      </x:c>
      <x:c r="E130" s="14" t="str">
        <x:v>Grek</x:v>
      </x:c>
      <x:c r="F130" s="14" t="str">
        <x:v>ancient</x:v>
      </x:c>
      <x:c r="G130" s="20" t="b">
        <x:v>0</x:v>
      </x:c>
      <x:c r="H130" s="21"/>
      <x:c r="I130" s="21"/>
      <x:c r="J130" s="14" t="str">
        <x:v>src-pleiades-501325</x:v>
      </x:c>
      <x:c r="K130" s="14" t="str">
        <x:v>reviewed</x:v>
      </x:c>
    </x:row>
    <x:row r="131" ht="26" customHeight="1">
      <x:c r="A131" s="14" t="str">
        <x:v>name-colony-akragas-el-preferred</x:v>
      </x:c>
      <x:c r="B131" s="14" t="str">
        <x:v>colony-akragas</x:v>
      </x:c>
      <x:c r="C131" s="14" t="str">
        <x:v>Ακράγαντας</x:v>
      </x:c>
      <x:c r="D131" s="14" t="str">
        <x:v>el</x:v>
      </x:c>
      <x:c r="E131" s="14" t="str">
        <x:v>Grek</x:v>
      </x:c>
      <x:c r="F131" s="14" t="str">
        <x:v>preferred</x:v>
      </x:c>
      <x:c r="G131" s="20" t="b">
        <x:v>1</x:v>
      </x:c>
      <x:c r="H131" s="21"/>
      <x:c r="I131" s="21"/>
      <x:c r="J131" s="14" t="str">
        <x:v>src-pleiades-462086</x:v>
      </x:c>
      <x:c r="K131" s="14" t="str">
        <x:v>reviewed</x:v>
      </x:c>
    </x:row>
    <x:row r="132" ht="26" customHeight="1">
      <x:c r="A132" s="14" t="str">
        <x:v>name-colony-akragas-en-preferred</x:v>
      </x:c>
      <x:c r="B132" s="14" t="str">
        <x:v>colony-akragas</x:v>
      </x:c>
      <x:c r="C132" s="14" t="str">
        <x:v>Akragas</x:v>
      </x:c>
      <x:c r="D132" s="14" t="str">
        <x:v>en</x:v>
      </x:c>
      <x:c r="E132" s="14" t="str">
        <x:v>Latn</x:v>
      </x:c>
      <x:c r="F132" s="14" t="str">
        <x:v>preferred</x:v>
      </x:c>
      <x:c r="G132" s="20" t="b">
        <x:v>1</x:v>
      </x:c>
      <x:c r="H132" s="21"/>
      <x:c r="I132" s="21"/>
      <x:c r="J132" s="14" t="str">
        <x:v>src-pleiades-462086</x:v>
      </x:c>
      <x:c r="K132" s="14" t="str">
        <x:v>reviewed</x:v>
      </x:c>
    </x:row>
    <x:row r="133" ht="26" customHeight="1">
      <x:c r="A133" s="14" t="str">
        <x:v>name-colony-akragas-grc-ancient</x:v>
      </x:c>
      <x:c r="B133" s="14" t="str">
        <x:v>colony-akragas</x:v>
      </x:c>
      <x:c r="C133" s="14" t="str">
        <x:v>Ἀκράγας</x:v>
      </x:c>
      <x:c r="D133" s="14" t="str">
        <x:v>grc</x:v>
      </x:c>
      <x:c r="E133" s="14" t="str">
        <x:v>Grek</x:v>
      </x:c>
      <x:c r="F133" s="14" t="str">
        <x:v>ancient</x:v>
      </x:c>
      <x:c r="G133" s="20" t="b">
        <x:v>0</x:v>
      </x:c>
      <x:c r="H133" s="21"/>
      <x:c r="I133" s="21"/>
      <x:c r="J133" s="14" t="str">
        <x:v>src-pleiades-462086</x:v>
      </x:c>
      <x:c r="K133" s="14" t="str">
        <x:v>reviewed</x:v>
      </x:c>
    </x:row>
    <x:row r="134" ht="26" customHeight="1">
      <x:c r="A134" s="14" t="str">
        <x:v>name-colony-ambracia-el-preferred</x:v>
      </x:c>
      <x:c r="B134" s="14" t="str">
        <x:v>colony-ambracia</x:v>
      </x:c>
      <x:c r="C134" s="14" t="str">
        <x:v>Αμβρακία</x:v>
      </x:c>
      <x:c r="D134" s="14" t="str">
        <x:v>el</x:v>
      </x:c>
      <x:c r="E134" s="14" t="str">
        <x:v>Grek</x:v>
      </x:c>
      <x:c r="F134" s="14" t="str">
        <x:v>preferred</x:v>
      </x:c>
      <x:c r="G134" s="20" t="b">
        <x:v>1</x:v>
      </x:c>
      <x:c r="H134" s="21"/>
      <x:c r="I134" s="21"/>
      <x:c r="J134" s="14" t="str">
        <x:v>src-pleiades-530794</x:v>
      </x:c>
      <x:c r="K134" s="14" t="str">
        <x:v>reviewed</x:v>
      </x:c>
    </x:row>
    <x:row r="135" ht="26" customHeight="1">
      <x:c r="A135" s="14" t="str">
        <x:v>name-colony-ambracia-en-preferred</x:v>
      </x:c>
      <x:c r="B135" s="14" t="str">
        <x:v>colony-ambracia</x:v>
      </x:c>
      <x:c r="C135" s="14" t="str">
        <x:v>Ambracia</x:v>
      </x:c>
      <x:c r="D135" s="14" t="str">
        <x:v>en</x:v>
      </x:c>
      <x:c r="E135" s="14" t="str">
        <x:v>Latn</x:v>
      </x:c>
      <x:c r="F135" s="14" t="str">
        <x:v>preferred</x:v>
      </x:c>
      <x:c r="G135" s="20" t="b">
        <x:v>1</x:v>
      </x:c>
      <x:c r="H135" s="21"/>
      <x:c r="I135" s="21"/>
      <x:c r="J135" s="14" t="str">
        <x:v>src-pleiades-530794</x:v>
      </x:c>
      <x:c r="K135" s="14" t="str">
        <x:v>reviewed</x:v>
      </x:c>
    </x:row>
    <x:row r="136" ht="26" customHeight="1">
      <x:c r="A136" s="14" t="str">
        <x:v>name-colony-ambracia-grc-ancient</x:v>
      </x:c>
      <x:c r="B136" s="14" t="str">
        <x:v>colony-ambracia</x:v>
      </x:c>
      <x:c r="C136" s="14" t="str">
        <x:v>Ἀμβρακία</x:v>
      </x:c>
      <x:c r="D136" s="14" t="str">
        <x:v>grc</x:v>
      </x:c>
      <x:c r="E136" s="14" t="str">
        <x:v>Grek</x:v>
      </x:c>
      <x:c r="F136" s="14" t="str">
        <x:v>ancient</x:v>
      </x:c>
      <x:c r="G136" s="20" t="b">
        <x:v>0</x:v>
      </x:c>
      <x:c r="H136" s="21"/>
      <x:c r="I136" s="21"/>
      <x:c r="J136" s="14" t="str">
        <x:v>src-pleiades-530794</x:v>
      </x:c>
      <x:c r="K136" s="14" t="str">
        <x:v>reviewed</x:v>
      </x:c>
    </x:row>
    <x:row r="137" ht="26" customHeight="1">
      <x:c r="A137" s="14" t="str">
        <x:v>name-colony-amisus-el-preferred</x:v>
      </x:c>
      <x:c r="B137" s="14" t="str">
        <x:v>colony-amisus</x:v>
      </x:c>
      <x:c r="C137" s="14" t="str">
        <x:v>Αμισός</x:v>
      </x:c>
      <x:c r="D137" s="14" t="str">
        <x:v>el</x:v>
      </x:c>
      <x:c r="E137" s="14" t="str">
        <x:v>Grek</x:v>
      </x:c>
      <x:c r="F137" s="14" t="str">
        <x:v>preferred</x:v>
      </x:c>
      <x:c r="G137" s="20" t="b">
        <x:v>1</x:v>
      </x:c>
      <x:c r="H137" s="21"/>
      <x:c r="I137" s="21"/>
      <x:c r="J137" s="14" t="str">
        <x:v>src-pleiades-857024</x:v>
      </x:c>
      <x:c r="K137" s="14" t="str">
        <x:v>reviewed</x:v>
      </x:c>
    </x:row>
    <x:row r="138" ht="26" customHeight="1">
      <x:c r="A138" s="14" t="str">
        <x:v>name-colony-amisus-en-preferred</x:v>
      </x:c>
      <x:c r="B138" s="14" t="str">
        <x:v>colony-amisus</x:v>
      </x:c>
      <x:c r="C138" s="14" t="str">
        <x:v>Amisus</x:v>
      </x:c>
      <x:c r="D138" s="14" t="str">
        <x:v>en</x:v>
      </x:c>
      <x:c r="E138" s="14" t="str">
        <x:v>Latn</x:v>
      </x:c>
      <x:c r="F138" s="14" t="str">
        <x:v>preferred</x:v>
      </x:c>
      <x:c r="G138" s="20" t="b">
        <x:v>1</x:v>
      </x:c>
      <x:c r="H138" s="21"/>
      <x:c r="I138" s="21"/>
      <x:c r="J138" s="14" t="str">
        <x:v>src-pleiades-857024</x:v>
      </x:c>
      <x:c r="K138" s="14" t="str">
        <x:v>reviewed</x:v>
      </x:c>
    </x:row>
    <x:row r="139" ht="26" customHeight="1">
      <x:c r="A139" s="14" t="str">
        <x:v>name-colony-amisus-grc-ancient</x:v>
      </x:c>
      <x:c r="B139" s="14" t="str">
        <x:v>colony-amisus</x:v>
      </x:c>
      <x:c r="C139" s="14" t="str">
        <x:v>Ἀμισός</x:v>
      </x:c>
      <x:c r="D139" s="14" t="str">
        <x:v>grc</x:v>
      </x:c>
      <x:c r="E139" s="14" t="str">
        <x:v>Grek</x:v>
      </x:c>
      <x:c r="F139" s="14" t="str">
        <x:v>ancient</x:v>
      </x:c>
      <x:c r="G139" s="20" t="b">
        <x:v>0</x:v>
      </x:c>
      <x:c r="H139" s="21"/>
      <x:c r="I139" s="21"/>
      <x:c r="J139" s="14" t="str">
        <x:v>src-pleiades-857024</x:v>
      </x:c>
      <x:c r="K139" s="14" t="str">
        <x:v>reviewed</x:v>
      </x:c>
    </x:row>
    <x:row r="140" ht="26" customHeight="1">
      <x:c r="A140" s="14" t="str">
        <x:v>name-colony-amphipolis-el-preferred</x:v>
      </x:c>
      <x:c r="B140" s="14" t="str">
        <x:v>colony-amphipolis</x:v>
      </x:c>
      <x:c r="C140" s="14" t="str">
        <x:v>Αμφίπολη</x:v>
      </x:c>
      <x:c r="D140" s="14" t="str">
        <x:v>el</x:v>
      </x:c>
      <x:c r="E140" s="14" t="str">
        <x:v>Grek</x:v>
      </x:c>
      <x:c r="F140" s="14" t="str">
        <x:v>preferred</x:v>
      </x:c>
      <x:c r="G140" s="20" t="b">
        <x:v>1</x:v>
      </x:c>
      <x:c r="H140" s="21"/>
      <x:c r="I140" s="21"/>
      <x:c r="J140" s="14" t="str">
        <x:v>src-pleiades-501347</x:v>
      </x:c>
      <x:c r="K140" s="14" t="str">
        <x:v>reviewed</x:v>
      </x:c>
    </x:row>
    <x:row r="141" ht="26" customHeight="1">
      <x:c r="A141" s="14" t="str">
        <x:v>name-colony-amphipolis-en-preferred</x:v>
      </x:c>
      <x:c r="B141" s="14" t="str">
        <x:v>colony-amphipolis</x:v>
      </x:c>
      <x:c r="C141" s="14" t="str">
        <x:v>Amphipolis</x:v>
      </x:c>
      <x:c r="D141" s="14" t="str">
        <x:v>en</x:v>
      </x:c>
      <x:c r="E141" s="14" t="str">
        <x:v>Latn</x:v>
      </x:c>
      <x:c r="F141" s="14" t="str">
        <x:v>preferred</x:v>
      </x:c>
      <x:c r="G141" s="20" t="b">
        <x:v>1</x:v>
      </x:c>
      <x:c r="H141" s="21"/>
      <x:c r="I141" s="21"/>
      <x:c r="J141" s="14" t="str">
        <x:v>src-pleiades-501347</x:v>
      </x:c>
      <x:c r="K141" s="14" t="str">
        <x:v>reviewed</x:v>
      </x:c>
    </x:row>
    <x:row r="142" ht="26" customHeight="1">
      <x:c r="A142" s="14" t="str">
        <x:v>name-colony-amphipolis-grc-ancient</x:v>
      </x:c>
      <x:c r="B142" s="14" t="str">
        <x:v>colony-amphipolis</x:v>
      </x:c>
      <x:c r="C142" s="14" t="str">
        <x:v>Ἀμφίπολις</x:v>
      </x:c>
      <x:c r="D142" s="14" t="str">
        <x:v>grc</x:v>
      </x:c>
      <x:c r="E142" s="14" t="str">
        <x:v>Grek</x:v>
      </x:c>
      <x:c r="F142" s="14" t="str">
        <x:v>ancient</x:v>
      </x:c>
      <x:c r="G142" s="20" t="b">
        <x:v>0</x:v>
      </x:c>
      <x:c r="H142" s="21"/>
      <x:c r="I142" s="21"/>
      <x:c r="J142" s="14" t="str">
        <x:v>src-pleiades-501347</x:v>
      </x:c>
      <x:c r="K142" s="14" t="str">
        <x:v>reviewed</x:v>
      </x:c>
    </x:row>
    <x:row r="143" ht="26" customHeight="1">
      <x:c r="A143" s="14" t="str">
        <x:v>name-colony-ancona-el-preferred</x:v>
      </x:c>
      <x:c r="B143" s="14" t="str">
        <x:v>colony-ancona</x:v>
      </x:c>
      <x:c r="C143" s="14" t="str">
        <x:v>Αγκών</x:v>
      </x:c>
      <x:c r="D143" s="14" t="str">
        <x:v>el</x:v>
      </x:c>
      <x:c r="E143" s="14" t="str">
        <x:v>Grek</x:v>
      </x:c>
      <x:c r="F143" s="14" t="str">
        <x:v>preferred</x:v>
      </x:c>
      <x:c r="G143" s="20" t="b">
        <x:v>1</x:v>
      </x:c>
      <x:c r="H143" s="21"/>
      <x:c r="I143" s="21"/>
      <x:c r="J143" s="14" t="str">
        <x:v>src-pleiades-413014</x:v>
      </x:c>
      <x:c r="K143" s="14" t="str">
        <x:v>reviewed</x:v>
      </x:c>
    </x:row>
    <x:row r="144" ht="26" customHeight="1">
      <x:c r="A144" s="14" t="str">
        <x:v>name-colony-ancona-en-preferred</x:v>
      </x:c>
      <x:c r="B144" s="14" t="str">
        <x:v>colony-ancona</x:v>
      </x:c>
      <x:c r="C144" s="14" t="str">
        <x:v>Ancon</x:v>
      </x:c>
      <x:c r="D144" s="14" t="str">
        <x:v>en</x:v>
      </x:c>
      <x:c r="E144" s="14" t="str">
        <x:v>Latn</x:v>
      </x:c>
      <x:c r="F144" s="14" t="str">
        <x:v>preferred</x:v>
      </x:c>
      <x:c r="G144" s="20" t="b">
        <x:v>1</x:v>
      </x:c>
      <x:c r="H144" s="21"/>
      <x:c r="I144" s="21"/>
      <x:c r="J144" s="14" t="str">
        <x:v>src-pleiades-413014</x:v>
      </x:c>
      <x:c r="K144" s="14" t="str">
        <x:v>reviewed</x:v>
      </x:c>
    </x:row>
    <x:row r="145" ht="26" customHeight="1">
      <x:c r="A145" s="14" t="str">
        <x:v>name-colony-ancona-grc-ancient</x:v>
      </x:c>
      <x:c r="B145" s="14" t="str">
        <x:v>colony-ancona</x:v>
      </x:c>
      <x:c r="C145" s="14" t="str">
        <x:v>Ἀγκών</x:v>
      </x:c>
      <x:c r="D145" s="14" t="str">
        <x:v>grc</x:v>
      </x:c>
      <x:c r="E145" s="14" t="str">
        <x:v>Grek</x:v>
      </x:c>
      <x:c r="F145" s="14" t="str">
        <x:v>ancient</x:v>
      </x:c>
      <x:c r="G145" s="20" t="b">
        <x:v>0</x:v>
      </x:c>
      <x:c r="H145" s="21"/>
      <x:c r="I145" s="21"/>
      <x:c r="J145" s="14" t="str">
        <x:v>src-pleiades-413014</x:v>
      </x:c>
      <x:c r="K145" s="14" t="str">
        <x:v>reviewed</x:v>
      </x:c>
    </x:row>
    <x:row r="146" ht="26" customHeight="1">
      <x:c r="A146" s="14" t="str">
        <x:v>name-colony-apollonia-cyrenaica-el-preferred</x:v>
      </x:c>
      <x:c r="B146" s="14" t="str">
        <x:v>colony-apollonia-cyrenaica</x:v>
      </x:c>
      <x:c r="C146" s="14" t="str">
        <x:v>Απολλωνία Κυρηναϊκής</x:v>
      </x:c>
      <x:c r="D146" s="14" t="str">
        <x:v>el</x:v>
      </x:c>
      <x:c r="E146" s="14" t="str">
        <x:v>Grek</x:v>
      </x:c>
      <x:c r="F146" s="14" t="str">
        <x:v>preferred</x:v>
      </x:c>
      <x:c r="G146" s="20" t="b">
        <x:v>1</x:v>
      </x:c>
      <x:c r="H146" s="21"/>
      <x:c r="I146" s="21"/>
      <x:c r="J146" s="14" t="str">
        <x:v>src-pleiades-373732</x:v>
      </x:c>
      <x:c r="K146" s="14" t="str">
        <x:v>reviewed</x:v>
      </x:c>
    </x:row>
    <x:row r="147" ht="26" customHeight="1">
      <x:c r="A147" s="14" t="str">
        <x:v>name-colony-apollonia-cyrenaica-en-preferred</x:v>
      </x:c>
      <x:c r="B147" s="14" t="str">
        <x:v>colony-apollonia-cyrenaica</x:v>
      </x:c>
      <x:c r="C147" s="14" t="str">
        <x:v>Apollonia of Cyrenaica</x:v>
      </x:c>
      <x:c r="D147" s="14" t="str">
        <x:v>en</x:v>
      </x:c>
      <x:c r="E147" s="14" t="str">
        <x:v>Latn</x:v>
      </x:c>
      <x:c r="F147" s="14" t="str">
        <x:v>preferred</x:v>
      </x:c>
      <x:c r="G147" s="20" t="b">
        <x:v>1</x:v>
      </x:c>
      <x:c r="H147" s="21"/>
      <x:c r="I147" s="21"/>
      <x:c r="J147" s="14" t="str">
        <x:v>src-pleiades-373732</x:v>
      </x:c>
      <x:c r="K147" s="14" t="str">
        <x:v>reviewed</x:v>
      </x:c>
    </x:row>
    <x:row r="148" ht="26" customHeight="1">
      <x:c r="A148" s="14" t="str">
        <x:v>name-colony-apollonia-cyrenaica-grc-ancient</x:v>
      </x:c>
      <x:c r="B148" s="14" t="str">
        <x:v>colony-apollonia-cyrenaica</x:v>
      </x:c>
      <x:c r="C148" s="14" t="str">
        <x:v>Ἀπολλωνία</x:v>
      </x:c>
      <x:c r="D148" s="14" t="str">
        <x:v>grc</x:v>
      </x:c>
      <x:c r="E148" s="14" t="str">
        <x:v>Grek</x:v>
      </x:c>
      <x:c r="F148" s="14" t="str">
        <x:v>ancient</x:v>
      </x:c>
      <x:c r="G148" s="20" t="b">
        <x:v>0</x:v>
      </x:c>
      <x:c r="H148" s="21"/>
      <x:c r="I148" s="21"/>
      <x:c r="J148" s="14" t="str">
        <x:v>src-pleiades-373732</x:v>
      </x:c>
      <x:c r="K148" s="14" t="str">
        <x:v>reviewed</x:v>
      </x:c>
    </x:row>
    <x:row r="149" ht="26" customHeight="1">
      <x:c r="A149" s="14" t="str">
        <x:v>name-colony-apollonia-illyria-el-preferred</x:v>
      </x:c>
      <x:c r="B149" s="14" t="str">
        <x:v>colony-apollonia-illyria</x:v>
      </x:c>
      <x:c r="C149" s="14" t="str">
        <x:v>Απολλωνία Ιλλυρίας</x:v>
      </x:c>
      <x:c r="D149" s="14" t="str">
        <x:v>el</x:v>
      </x:c>
      <x:c r="E149" s="14" t="str">
        <x:v>Grek</x:v>
      </x:c>
      <x:c r="F149" s="14" t="str">
        <x:v>preferred</x:v>
      </x:c>
      <x:c r="G149" s="20" t="b">
        <x:v>1</x:v>
      </x:c>
      <x:c r="H149" s="21"/>
      <x:c r="I149" s="21"/>
      <x:c r="J149" s="14" t="str">
        <x:v>src-pleiades-481728</x:v>
      </x:c>
      <x:c r="K149" s="14" t="str">
        <x:v>reviewed</x:v>
      </x:c>
    </x:row>
    <x:row r="150" ht="26" customHeight="1">
      <x:c r="A150" s="14" t="str">
        <x:v>name-colony-apollonia-illyria-en-preferred</x:v>
      </x:c>
      <x:c r="B150" s="14" t="str">
        <x:v>colony-apollonia-illyria</x:v>
      </x:c>
      <x:c r="C150" s="14" t="str">
        <x:v>Apollonia</x:v>
      </x:c>
      <x:c r="D150" s="14" t="str">
        <x:v>en</x:v>
      </x:c>
      <x:c r="E150" s="14" t="str">
        <x:v>Latn</x:v>
      </x:c>
      <x:c r="F150" s="14" t="str">
        <x:v>preferred</x:v>
      </x:c>
      <x:c r="G150" s="20" t="b">
        <x:v>1</x:v>
      </x:c>
      <x:c r="H150" s="21"/>
      <x:c r="I150" s="21"/>
      <x:c r="J150" s="14" t="str">
        <x:v>src-pleiades-481728</x:v>
      </x:c>
      <x:c r="K150" s="14" t="str">
        <x:v>reviewed</x:v>
      </x:c>
    </x:row>
    <x:row r="151" ht="26" customHeight="1">
      <x:c r="A151" s="14" t="str">
        <x:v>name-colony-apollonia-illyria-grc-ancient</x:v>
      </x:c>
      <x:c r="B151" s="14" t="str">
        <x:v>colony-apollonia-illyria</x:v>
      </x:c>
      <x:c r="C151" s="14" t="str">
        <x:v>Ἀπολλωνία</x:v>
      </x:c>
      <x:c r="D151" s="14" t="str">
        <x:v>grc</x:v>
      </x:c>
      <x:c r="E151" s="14" t="str">
        <x:v>Grek</x:v>
      </x:c>
      <x:c r="F151" s="14" t="str">
        <x:v>ancient</x:v>
      </x:c>
      <x:c r="G151" s="20" t="b">
        <x:v>0</x:v>
      </x:c>
      <x:c r="H151" s="21"/>
      <x:c r="I151" s="21"/>
      <x:c r="J151" s="14" t="str">
        <x:v>src-pleiades-481728</x:v>
      </x:c>
      <x:c r="K151" s="14" t="str">
        <x:v>reviewed</x:v>
      </x:c>
    </x:row>
    <x:row r="152" ht="26" customHeight="1">
      <x:c r="A152" s="14" t="str">
        <x:v>name-colony-apollonia-pontica-el-preferred</x:v>
      </x:c>
      <x:c r="B152" s="14" t="str">
        <x:v>colony-apollonia-pontica</x:v>
      </x:c>
      <x:c r="C152" s="14" t="str">
        <x:v>Απολλωνία Ποντική</x:v>
      </x:c>
      <x:c r="D152" s="14" t="str">
        <x:v>el</x:v>
      </x:c>
      <x:c r="E152" s="14" t="str">
        <x:v>Grek</x:v>
      </x:c>
      <x:c r="F152" s="14" t="str">
        <x:v>preferred</x:v>
      </x:c>
      <x:c r="G152" s="20" t="b">
        <x:v>1</x:v>
      </x:c>
      <x:c r="H152" s="21"/>
      <x:c r="I152" s="21"/>
      <x:c r="J152" s="14" t="str">
        <x:v>src-pleiades-216706</x:v>
      </x:c>
      <x:c r="K152" s="14" t="str">
        <x:v>reviewed</x:v>
      </x:c>
    </x:row>
    <x:row r="153" ht="26" customHeight="1">
      <x:c r="A153" s="14" t="str">
        <x:v>name-colony-apollonia-pontica-en-preferred</x:v>
      </x:c>
      <x:c r="B153" s="14" t="str">
        <x:v>colony-apollonia-pontica</x:v>
      </x:c>
      <x:c r="C153" s="14" t="str">
        <x:v>Apollonia Pontica</x:v>
      </x:c>
      <x:c r="D153" s="14" t="str">
        <x:v>en</x:v>
      </x:c>
      <x:c r="E153" s="14" t="str">
        <x:v>Latn</x:v>
      </x:c>
      <x:c r="F153" s="14" t="str">
        <x:v>preferred</x:v>
      </x:c>
      <x:c r="G153" s="20" t="b">
        <x:v>1</x:v>
      </x:c>
      <x:c r="H153" s="21"/>
      <x:c r="I153" s="21"/>
      <x:c r="J153" s="14" t="str">
        <x:v>src-pleiades-216706</x:v>
      </x:c>
      <x:c r="K153" s="14" t="str">
        <x:v>reviewed</x:v>
      </x:c>
    </x:row>
    <x:row r="154" ht="26" customHeight="1">
      <x:c r="A154" s="14" t="str">
        <x:v>name-colony-apollonia-pontica-grc-ancient</x:v>
      </x:c>
      <x:c r="B154" s="14" t="str">
        <x:v>colony-apollonia-pontica</x:v>
      </x:c>
      <x:c r="C154" s="14" t="str">
        <x:v>Ἀπολλωνία Ποντική</x:v>
      </x:c>
      <x:c r="D154" s="14" t="str">
        <x:v>grc</x:v>
      </x:c>
      <x:c r="E154" s="14" t="str">
        <x:v>Grek</x:v>
      </x:c>
      <x:c r="F154" s="14" t="str">
        <x:v>ancient</x:v>
      </x:c>
      <x:c r="G154" s="20" t="b">
        <x:v>0</x:v>
      </x:c>
      <x:c r="H154" s="21"/>
      <x:c r="I154" s="21"/>
      <x:c r="J154" s="14" t="str">
        <x:v>src-pleiades-216706</x:v>
      </x:c>
      <x:c r="K154" s="14" t="str">
        <x:v>reviewed</x:v>
      </x:c>
    </x:row>
    <x:row r="155" ht="26" customHeight="1">
      <x:c r="A155" s="14" t="str">
        <x:v>name-colony-assos-el-preferred</x:v>
      </x:c>
      <x:c r="B155" s="14" t="str">
        <x:v>colony-assos</x:v>
      </x:c>
      <x:c r="C155" s="14" t="str">
        <x:v>Άσσος</x:v>
      </x:c>
      <x:c r="D155" s="14" t="str">
        <x:v>el</x:v>
      </x:c>
      <x:c r="E155" s="14" t="str">
        <x:v>Grek</x:v>
      </x:c>
      <x:c r="F155" s="14" t="str">
        <x:v>preferred</x:v>
      </x:c>
      <x:c r="G155" s="20" t="b">
        <x:v>1</x:v>
      </x:c>
      <x:c r="H155" s="21"/>
      <x:c r="I155" s="21"/>
      <x:c r="J155" s="14" t="str">
        <x:v>src-pleiades-550463</x:v>
      </x:c>
      <x:c r="K155" s="14" t="str">
        <x:v>reviewed</x:v>
      </x:c>
    </x:row>
    <x:row r="156" ht="26" customHeight="1">
      <x:c r="A156" s="14" t="str">
        <x:v>name-colony-assos-en-preferred</x:v>
      </x:c>
      <x:c r="B156" s="14" t="str">
        <x:v>colony-assos</x:v>
      </x:c>
      <x:c r="C156" s="14" t="str">
        <x:v>Assos</x:v>
      </x:c>
      <x:c r="D156" s="14" t="str">
        <x:v>en</x:v>
      </x:c>
      <x:c r="E156" s="14" t="str">
        <x:v>Latn</x:v>
      </x:c>
      <x:c r="F156" s="14" t="str">
        <x:v>preferred</x:v>
      </x:c>
      <x:c r="G156" s="20" t="b">
        <x:v>1</x:v>
      </x:c>
      <x:c r="H156" s="21"/>
      <x:c r="I156" s="21"/>
      <x:c r="J156" s="14" t="str">
        <x:v>src-pleiades-550463</x:v>
      </x:c>
      <x:c r="K156" s="14" t="str">
        <x:v>reviewed</x:v>
      </x:c>
    </x:row>
    <x:row r="157" ht="26" customHeight="1">
      <x:c r="A157" s="14" t="str">
        <x:v>name-colony-assos-grc-ancient</x:v>
      </x:c>
      <x:c r="B157" s="14" t="str">
        <x:v>colony-assos</x:v>
      </x:c>
      <x:c r="C157" s="14" t="str">
        <x:v>Ἄσσος</x:v>
      </x:c>
      <x:c r="D157" s="14" t="str">
        <x:v>grc</x:v>
      </x:c>
      <x:c r="E157" s="14" t="str">
        <x:v>Grek</x:v>
      </x:c>
      <x:c r="F157" s="14" t="str">
        <x:v>ancient</x:v>
      </x:c>
      <x:c r="G157" s="20" t="b">
        <x:v>0</x:v>
      </x:c>
      <x:c r="H157" s="21"/>
      <x:c r="I157" s="21"/>
      <x:c r="J157" s="14" t="str">
        <x:v>src-pleiades-550463</x:v>
      </x:c>
      <x:c r="K157" s="14" t="str">
        <x:v>reviewed</x:v>
      </x:c>
    </x:row>
    <x:row r="158" ht="26" customHeight="1">
      <x:c r="A158" s="14" t="str">
        <x:v>name-colony-barca-cyrenaica-el-preferred</x:v>
      </x:c>
      <x:c r="B158" s="14" t="str">
        <x:v>colony-barca-cyrenaica</x:v>
      </x:c>
      <x:c r="C158" s="14" t="str">
        <x:v>Βάρκη</x:v>
      </x:c>
      <x:c r="D158" s="14" t="str">
        <x:v>el</x:v>
      </x:c>
      <x:c r="E158" s="14" t="str">
        <x:v>Grek</x:v>
      </x:c>
      <x:c r="F158" s="14" t="str">
        <x:v>preferred</x:v>
      </x:c>
      <x:c r="G158" s="20" t="b">
        <x:v>1</x:v>
      </x:c>
      <x:c r="H158" s="21"/>
      <x:c r="I158" s="21"/>
      <x:c r="J158" s="14" t="str">
        <x:v>src-pleiades-373750</x:v>
      </x:c>
      <x:c r="K158" s="14" t="str">
        <x:v>reviewed</x:v>
      </x:c>
    </x:row>
    <x:row r="159" ht="26" customHeight="1">
      <x:c r="A159" s="14" t="str">
        <x:v>name-colony-barca-cyrenaica-en-preferred</x:v>
      </x:c>
      <x:c r="B159" s="14" t="str">
        <x:v>colony-barca-cyrenaica</x:v>
      </x:c>
      <x:c r="C159" s="14" t="str">
        <x:v>Barca</x:v>
      </x:c>
      <x:c r="D159" s="14" t="str">
        <x:v>en</x:v>
      </x:c>
      <x:c r="E159" s="14" t="str">
        <x:v>Latn</x:v>
      </x:c>
      <x:c r="F159" s="14" t="str">
        <x:v>preferred</x:v>
      </x:c>
      <x:c r="G159" s="20" t="b">
        <x:v>1</x:v>
      </x:c>
      <x:c r="H159" s="21"/>
      <x:c r="I159" s="21"/>
      <x:c r="J159" s="14" t="str">
        <x:v>src-pleiades-373750</x:v>
      </x:c>
      <x:c r="K159" s="14" t="str">
        <x:v>reviewed</x:v>
      </x:c>
    </x:row>
    <x:row r="160" ht="26" customHeight="1">
      <x:c r="A160" s="14" t="str">
        <x:v>name-colony-barca-cyrenaica-grc-ancient</x:v>
      </x:c>
      <x:c r="B160" s="14" t="str">
        <x:v>colony-barca-cyrenaica</x:v>
      </x:c>
      <x:c r="C160" s="14" t="str">
        <x:v>Βάρκη</x:v>
      </x:c>
      <x:c r="D160" s="14" t="str">
        <x:v>grc</x:v>
      </x:c>
      <x:c r="E160" s="14" t="str">
        <x:v>Grek</x:v>
      </x:c>
      <x:c r="F160" s="14" t="str">
        <x:v>ancient</x:v>
      </x:c>
      <x:c r="G160" s="20" t="b">
        <x:v>0</x:v>
      </x:c>
      <x:c r="H160" s="21"/>
      <x:c r="I160" s="21"/>
      <x:c r="J160" s="14" t="str">
        <x:v>src-pleiades-373750</x:v>
      </x:c>
      <x:c r="K160" s="14" t="str">
        <x:v>reviewed</x:v>
      </x:c>
    </x:row>
    <x:row r="161" ht="26" customHeight="1">
      <x:c r="A161" s="14" t="str">
        <x:v>name-colony-byzantium-el-preferred</x:v>
      </x:c>
      <x:c r="B161" s="14" t="str">
        <x:v>colony-byzantium</x:v>
      </x:c>
      <x:c r="C161" s="14" t="str">
        <x:v>Βυζάντιο</x:v>
      </x:c>
      <x:c r="D161" s="14" t="str">
        <x:v>el</x:v>
      </x:c>
      <x:c r="E161" s="14" t="str">
        <x:v>Grek</x:v>
      </x:c>
      <x:c r="F161" s="14" t="str">
        <x:v>preferred</x:v>
      </x:c>
      <x:c r="G161" s="20" t="b">
        <x:v>1</x:v>
      </x:c>
      <x:c r="H161" s="21"/>
      <x:c r="I161" s="21"/>
      <x:c r="J161" s="14" t="str">
        <x:v>src-pleiades-520985</x:v>
      </x:c>
      <x:c r="K161" s="14" t="str">
        <x:v>reviewed</x:v>
      </x:c>
    </x:row>
    <x:row r="162" ht="26" customHeight="1">
      <x:c r="A162" s="14" t="str">
        <x:v>name-colony-byzantium-en-preferred</x:v>
      </x:c>
      <x:c r="B162" s="14" t="str">
        <x:v>colony-byzantium</x:v>
      </x:c>
      <x:c r="C162" s="14" t="str">
        <x:v>Byzantium</x:v>
      </x:c>
      <x:c r="D162" s="14" t="str">
        <x:v>en</x:v>
      </x:c>
      <x:c r="E162" s="14" t="str">
        <x:v>Latn</x:v>
      </x:c>
      <x:c r="F162" s="14" t="str">
        <x:v>preferred</x:v>
      </x:c>
      <x:c r="G162" s="20" t="b">
        <x:v>1</x:v>
      </x:c>
      <x:c r="H162" s="21"/>
      <x:c r="I162" s="21"/>
      <x:c r="J162" s="14" t="str">
        <x:v>src-pleiades-520985</x:v>
      </x:c>
      <x:c r="K162" s="14" t="str">
        <x:v>reviewed</x:v>
      </x:c>
    </x:row>
    <x:row r="163" ht="26" customHeight="1">
      <x:c r="A163" s="14" t="str">
        <x:v>name-colony-byzantium-grc-ancient</x:v>
      </x:c>
      <x:c r="B163" s="14" t="str">
        <x:v>colony-byzantium</x:v>
      </x:c>
      <x:c r="C163" s="14" t="str">
        <x:v>Βυζάντιον</x:v>
      </x:c>
      <x:c r="D163" s="14" t="str">
        <x:v>grc</x:v>
      </x:c>
      <x:c r="E163" s="14" t="str">
        <x:v>Grek</x:v>
      </x:c>
      <x:c r="F163" s="14" t="str">
        <x:v>ancient</x:v>
      </x:c>
      <x:c r="G163" s="20" t="b">
        <x:v>0</x:v>
      </x:c>
      <x:c r="H163" s="21"/>
      <x:c r="I163" s="21"/>
      <x:c r="J163" s="14" t="str">
        <x:v>src-pleiades-520985</x:v>
      </x:c>
      <x:c r="K163" s="14" t="str">
        <x:v>reviewed</x:v>
      </x:c>
    </x:row>
    <x:row r="164" ht="26" customHeight="1">
      <x:c r="A164" s="14" t="str">
        <x:v>name-colony-callatis-el-preferred</x:v>
      </x:c>
      <x:c r="B164" s="14" t="str">
        <x:v>colony-callatis</x:v>
      </x:c>
      <x:c r="C164" s="14" t="str">
        <x:v>Κάλλατις</x:v>
      </x:c>
      <x:c r="D164" s="14" t="str">
        <x:v>el</x:v>
      </x:c>
      <x:c r="E164" s="14" t="str">
        <x:v>Grek</x:v>
      </x:c>
      <x:c r="F164" s="14" t="str">
        <x:v>preferred</x:v>
      </x:c>
      <x:c r="G164" s="20" t="b">
        <x:v>1</x:v>
      </x:c>
      <x:c r="H164" s="21"/>
      <x:c r="I164" s="21"/>
      <x:c r="J164" s="14" t="str">
        <x:v>src-pleiades-216744</x:v>
      </x:c>
      <x:c r="K164" s="14" t="str">
        <x:v>reviewed</x:v>
      </x:c>
    </x:row>
    <x:row r="165" ht="26" customHeight="1">
      <x:c r="A165" s="14" t="str">
        <x:v>name-colony-callatis-en-preferred</x:v>
      </x:c>
      <x:c r="B165" s="14" t="str">
        <x:v>colony-callatis</x:v>
      </x:c>
      <x:c r="C165" s="14" t="str">
        <x:v>Callatis</x:v>
      </x:c>
      <x:c r="D165" s="14" t="str">
        <x:v>en</x:v>
      </x:c>
      <x:c r="E165" s="14" t="str">
        <x:v>Latn</x:v>
      </x:c>
      <x:c r="F165" s="14" t="str">
        <x:v>preferred</x:v>
      </x:c>
      <x:c r="G165" s="20" t="b">
        <x:v>1</x:v>
      </x:c>
      <x:c r="H165" s="21"/>
      <x:c r="I165" s="21"/>
      <x:c r="J165" s="14" t="str">
        <x:v>src-pleiades-216744</x:v>
      </x:c>
      <x:c r="K165" s="14" t="str">
        <x:v>reviewed</x:v>
      </x:c>
    </x:row>
    <x:row r="166" ht="26" customHeight="1">
      <x:c r="A166" s="14" t="str">
        <x:v>name-colony-callatis-grc-ancient</x:v>
      </x:c>
      <x:c r="B166" s="14" t="str">
        <x:v>colony-callatis</x:v>
      </x:c>
      <x:c r="C166" s="14" t="str">
        <x:v>Κάλλατις</x:v>
      </x:c>
      <x:c r="D166" s="14" t="str">
        <x:v>grc</x:v>
      </x:c>
      <x:c r="E166" s="14" t="str">
        <x:v>Grek</x:v>
      </x:c>
      <x:c r="F166" s="14" t="str">
        <x:v>ancient</x:v>
      </x:c>
      <x:c r="G166" s="20" t="b">
        <x:v>0</x:v>
      </x:c>
      <x:c r="H166" s="21"/>
      <x:c r="I166" s="21"/>
      <x:c r="J166" s="14" t="str">
        <x:v>src-pleiades-216744</x:v>
      </x:c>
      <x:c r="K166" s="14" t="str">
        <x:v>reviewed</x:v>
      </x:c>
    </x:row>
    <x:row r="167" ht="26" customHeight="1">
      <x:c r="A167" s="14" t="str">
        <x:v>name-colony-catana-el-preferred</x:v>
      </x:c>
      <x:c r="B167" s="14" t="str">
        <x:v>colony-catana</x:v>
      </x:c>
      <x:c r="C167" s="14" t="str">
        <x:v>Κατάνη</x:v>
      </x:c>
      <x:c r="D167" s="14" t="str">
        <x:v>el</x:v>
      </x:c>
      <x:c r="E167" s="14" t="str">
        <x:v>Grek</x:v>
      </x:c>
      <x:c r="F167" s="14" t="str">
        <x:v>preferred</x:v>
      </x:c>
      <x:c r="G167" s="20" t="b">
        <x:v>1</x:v>
      </x:c>
      <x:c r="H167" s="21"/>
      <x:c r="I167" s="21"/>
      <x:c r="J167" s="14" t="str">
        <x:v>src-pleiades-462270</x:v>
      </x:c>
      <x:c r="K167" s="14" t="str">
        <x:v>reviewed</x:v>
      </x:c>
    </x:row>
    <x:row r="168" ht="26" customHeight="1">
      <x:c r="A168" s="14" t="str">
        <x:v>name-colony-catana-en-preferred</x:v>
      </x:c>
      <x:c r="B168" s="14" t="str">
        <x:v>colony-catana</x:v>
      </x:c>
      <x:c r="C168" s="14" t="str">
        <x:v>Catana</x:v>
      </x:c>
      <x:c r="D168" s="14" t="str">
        <x:v>en</x:v>
      </x:c>
      <x:c r="E168" s="14" t="str">
        <x:v>Latn</x:v>
      </x:c>
      <x:c r="F168" s="14" t="str">
        <x:v>preferred</x:v>
      </x:c>
      <x:c r="G168" s="20" t="b">
        <x:v>1</x:v>
      </x:c>
      <x:c r="H168" s="21"/>
      <x:c r="I168" s="21"/>
      <x:c r="J168" s="14" t="str">
        <x:v>src-pleiades-462270</x:v>
      </x:c>
      <x:c r="K168" s="14" t="str">
        <x:v>reviewed</x:v>
      </x:c>
    </x:row>
    <x:row r="169" ht="26" customHeight="1">
      <x:c r="A169" s="14" t="str">
        <x:v>name-colony-catana-grc-ancient</x:v>
      </x:c>
      <x:c r="B169" s="14" t="str">
        <x:v>colony-catana</x:v>
      </x:c>
      <x:c r="C169" s="14" t="str">
        <x:v>Κατάνη</x:v>
      </x:c>
      <x:c r="D169" s="14" t="str">
        <x:v>grc</x:v>
      </x:c>
      <x:c r="E169" s="14" t="str">
        <x:v>Grek</x:v>
      </x:c>
      <x:c r="F169" s="14" t="str">
        <x:v>ancient</x:v>
      </x:c>
      <x:c r="G169" s="20" t="b">
        <x:v>0</x:v>
      </x:c>
      <x:c r="H169" s="21"/>
      <x:c r="I169" s="21"/>
      <x:c r="J169" s="14" t="str">
        <x:v>src-pleiades-462270</x:v>
      </x:c>
      <x:c r="K169" s="14" t="str">
        <x:v>reviewed</x:v>
      </x:c>
    </x:row>
    <x:row r="170" ht="26" customHeight="1">
      <x:c r="A170" s="14" t="str">
        <x:v>name-colony-chalcedon-el-preferred</x:v>
      </x:c>
      <x:c r="B170" s="14" t="str">
        <x:v>colony-chalcedon</x:v>
      </x:c>
      <x:c r="C170" s="14" t="str">
        <x:v>Χαλκηδόνα</x:v>
      </x:c>
      <x:c r="D170" s="14" t="str">
        <x:v>el</x:v>
      </x:c>
      <x:c r="E170" s="14" t="str">
        <x:v>Grek</x:v>
      </x:c>
      <x:c r="F170" s="14" t="str">
        <x:v>preferred</x:v>
      </x:c>
      <x:c r="G170" s="20" t="b">
        <x:v>1</x:v>
      </x:c>
      <x:c r="H170" s="21"/>
      <x:c r="I170" s="21"/>
      <x:c r="J170" s="14" t="str">
        <x:v>src-pleiades-520988</x:v>
      </x:c>
      <x:c r="K170" s="14" t="str">
        <x:v>reviewed</x:v>
      </x:c>
    </x:row>
    <x:row r="171" ht="26" customHeight="1">
      <x:c r="A171" s="14" t="str">
        <x:v>name-colony-chalcedon-en-preferred</x:v>
      </x:c>
      <x:c r="B171" s="14" t="str">
        <x:v>colony-chalcedon</x:v>
      </x:c>
      <x:c r="C171" s="14" t="str">
        <x:v>Chalcedon</x:v>
      </x:c>
      <x:c r="D171" s="14" t="str">
        <x:v>en</x:v>
      </x:c>
      <x:c r="E171" s="14" t="str">
        <x:v>Latn</x:v>
      </x:c>
      <x:c r="F171" s="14" t="str">
        <x:v>preferred</x:v>
      </x:c>
      <x:c r="G171" s="20" t="b">
        <x:v>1</x:v>
      </x:c>
      <x:c r="H171" s="21"/>
      <x:c r="I171" s="21"/>
      <x:c r="J171" s="14" t="str">
        <x:v>src-pleiades-520988</x:v>
      </x:c>
      <x:c r="K171" s="14" t="str">
        <x:v>reviewed</x:v>
      </x:c>
    </x:row>
    <x:row r="172" ht="26" customHeight="1">
      <x:c r="A172" s="14" t="str">
        <x:v>name-colony-chalcedon-grc-ancient</x:v>
      </x:c>
      <x:c r="B172" s="14" t="str">
        <x:v>colony-chalcedon</x:v>
      </x:c>
      <x:c r="C172" s="14" t="str">
        <x:v>Χαλκηδών</x:v>
      </x:c>
      <x:c r="D172" s="14" t="str">
        <x:v>grc</x:v>
      </x:c>
      <x:c r="E172" s="14" t="str">
        <x:v>Grek</x:v>
      </x:c>
      <x:c r="F172" s="14" t="str">
        <x:v>ancient</x:v>
      </x:c>
      <x:c r="G172" s="20" t="b">
        <x:v>0</x:v>
      </x:c>
      <x:c r="H172" s="21"/>
      <x:c r="I172" s="21"/>
      <x:c r="J172" s="14" t="str">
        <x:v>src-pleiades-520988</x:v>
      </x:c>
      <x:c r="K172" s="14" t="str">
        <x:v>reviewed</x:v>
      </x:c>
    </x:row>
    <x:row r="173" ht="26" customHeight="1">
      <x:c r="A173" s="14" t="str">
        <x:v>name-colony-chersonesus-taurica-el-preferred</x:v>
      </x:c>
      <x:c r="B173" s="14" t="str">
        <x:v>colony-chersonesus-taurica</x:v>
      </x:c>
      <x:c r="C173" s="14" t="str">
        <x:v>Χερσόνησος Ταυρική</x:v>
      </x:c>
      <x:c r="D173" s="14" t="str">
        <x:v>el</x:v>
      </x:c>
      <x:c r="E173" s="14" t="str">
        <x:v>Grek</x:v>
      </x:c>
      <x:c r="F173" s="14" t="str">
        <x:v>preferred</x:v>
      </x:c>
      <x:c r="G173" s="20" t="b">
        <x:v>1</x:v>
      </x:c>
      <x:c r="H173" s="21"/>
      <x:c r="I173" s="21"/>
      <x:c r="J173" s="14" t="str">
        <x:v>src-pleiades-226564</x:v>
      </x:c>
      <x:c r="K173" s="14" t="str">
        <x:v>reviewed</x:v>
      </x:c>
    </x:row>
    <x:row r="174" ht="26" customHeight="1">
      <x:c r="A174" s="14" t="str">
        <x:v>name-colony-chersonesus-taurica-en-preferred</x:v>
      </x:c>
      <x:c r="B174" s="14" t="str">
        <x:v>colony-chersonesus-taurica</x:v>
      </x:c>
      <x:c r="C174" s="14" t="str">
        <x:v>Chersonesus Taurica</x:v>
      </x:c>
      <x:c r="D174" s="14" t="str">
        <x:v>en</x:v>
      </x:c>
      <x:c r="E174" s="14" t="str">
        <x:v>Latn</x:v>
      </x:c>
      <x:c r="F174" s="14" t="str">
        <x:v>preferred</x:v>
      </x:c>
      <x:c r="G174" s="20" t="b">
        <x:v>1</x:v>
      </x:c>
      <x:c r="H174" s="21"/>
      <x:c r="I174" s="21"/>
      <x:c r="J174" s="14" t="str">
        <x:v>src-pleiades-226564</x:v>
      </x:c>
      <x:c r="K174" s="14" t="str">
        <x:v>reviewed</x:v>
      </x:c>
    </x:row>
    <x:row r="175" ht="26" customHeight="1">
      <x:c r="A175" s="14" t="str">
        <x:v>name-colony-chersonesus-taurica-grc-ancient</x:v>
      </x:c>
      <x:c r="B175" s="14" t="str">
        <x:v>colony-chersonesus-taurica</x:v>
      </x:c>
      <x:c r="C175" s="14" t="str">
        <x:v>Χερσόνησος</x:v>
      </x:c>
      <x:c r="D175" s="14" t="str">
        <x:v>grc</x:v>
      </x:c>
      <x:c r="E175" s="14" t="str">
        <x:v>Grek</x:v>
      </x:c>
      <x:c r="F175" s="14" t="str">
        <x:v>ancient</x:v>
      </x:c>
      <x:c r="G175" s="20" t="b">
        <x:v>0</x:v>
      </x:c>
      <x:c r="H175" s="21"/>
      <x:c r="I175" s="21"/>
      <x:c r="J175" s="14" t="str">
        <x:v>src-pleiades-226564</x:v>
      </x:c>
      <x:c r="K175" s="14" t="str">
        <x:v>reviewed</x:v>
      </x:c>
    </x:row>
    <x:row r="176" ht="26" customHeight="1">
      <x:c r="A176" s="14" t="str">
        <x:v>name-colony-clazomenae-el-preferred</x:v>
      </x:c>
      <x:c r="B176" s="14" t="str">
        <x:v>colony-clazomenae</x:v>
      </x:c>
      <x:c r="C176" s="14" t="str">
        <x:v>Κλαζομενές</x:v>
      </x:c>
      <x:c r="D176" s="14" t="str">
        <x:v>el</x:v>
      </x:c>
      <x:c r="E176" s="14" t="str">
        <x:v>Grek</x:v>
      </x:c>
      <x:c r="F176" s="14" t="str">
        <x:v>preferred</x:v>
      </x:c>
      <x:c r="G176" s="20" t="b">
        <x:v>1</x:v>
      </x:c>
      <x:c r="H176" s="21"/>
      <x:c r="I176" s="21"/>
      <x:c r="J176" s="14" t="str">
        <x:v>src-pleiades-550651</x:v>
      </x:c>
      <x:c r="K176" s="14" t="str">
        <x:v>reviewed</x:v>
      </x:c>
    </x:row>
    <x:row r="177" ht="26" customHeight="1">
      <x:c r="A177" s="14" t="str">
        <x:v>name-colony-clazomenae-en-preferred</x:v>
      </x:c>
      <x:c r="B177" s="14" t="str">
        <x:v>colony-clazomenae</x:v>
      </x:c>
      <x:c r="C177" s="14" t="str">
        <x:v>Clazomenae</x:v>
      </x:c>
      <x:c r="D177" s="14" t="str">
        <x:v>en</x:v>
      </x:c>
      <x:c r="E177" s="14" t="str">
        <x:v>Latn</x:v>
      </x:c>
      <x:c r="F177" s="14" t="str">
        <x:v>preferred</x:v>
      </x:c>
      <x:c r="G177" s="20" t="b">
        <x:v>1</x:v>
      </x:c>
      <x:c r="H177" s="21"/>
      <x:c r="I177" s="21"/>
      <x:c r="J177" s="14" t="str">
        <x:v>src-pleiades-550651</x:v>
      </x:c>
      <x:c r="K177" s="14" t="str">
        <x:v>reviewed</x:v>
      </x:c>
    </x:row>
    <x:row r="178" ht="26" customHeight="1">
      <x:c r="A178" s="14" t="str">
        <x:v>name-colony-clazomenae-grc-ancient</x:v>
      </x:c>
      <x:c r="B178" s="14" t="str">
        <x:v>colony-clazomenae</x:v>
      </x:c>
      <x:c r="C178" s="14" t="str">
        <x:v>Κλαζομεναί</x:v>
      </x:c>
      <x:c r="D178" s="14" t="str">
        <x:v>grc</x:v>
      </x:c>
      <x:c r="E178" s="14" t="str">
        <x:v>Grek</x:v>
      </x:c>
      <x:c r="F178" s="14" t="str">
        <x:v>ancient</x:v>
      </x:c>
      <x:c r="G178" s="20" t="b">
        <x:v>0</x:v>
      </x:c>
      <x:c r="H178" s="21"/>
      <x:c r="I178" s="21"/>
      <x:c r="J178" s="14" t="str">
        <x:v>src-pleiades-550651</x:v>
      </x:c>
      <x:c r="K178" s="14" t="str">
        <x:v>reviewed</x:v>
      </x:c>
    </x:row>
    <x:row r="179" ht="26" customHeight="1">
      <x:c r="A179" s="14" t="str">
        <x:v>name-colony-cnidus-el-preferred</x:v>
      </x:c>
      <x:c r="B179" s="14" t="str">
        <x:v>colony-cnidus</x:v>
      </x:c>
      <x:c r="C179" s="14" t="str">
        <x:v>Κνίδος</x:v>
      </x:c>
      <x:c r="D179" s="14" t="str">
        <x:v>el</x:v>
      </x:c>
      <x:c r="E179" s="14" t="str">
        <x:v>Grek</x:v>
      </x:c>
      <x:c r="F179" s="14" t="str">
        <x:v>preferred</x:v>
      </x:c>
      <x:c r="G179" s="20" t="b">
        <x:v>1</x:v>
      </x:c>
      <x:c r="H179" s="21"/>
      <x:c r="I179" s="21"/>
      <x:c r="J179" s="14" t="str">
        <x:v>src-pleiades-599575</x:v>
      </x:c>
      <x:c r="K179" s="14" t="str">
        <x:v>reviewed</x:v>
      </x:c>
    </x:row>
    <x:row r="180" ht="26" customHeight="1">
      <x:c r="A180" s="14" t="str">
        <x:v>name-colony-cnidus-en-preferred</x:v>
      </x:c>
      <x:c r="B180" s="14" t="str">
        <x:v>colony-cnidus</x:v>
      </x:c>
      <x:c r="C180" s="14" t="str">
        <x:v>Cnidus</x:v>
      </x:c>
      <x:c r="D180" s="14" t="str">
        <x:v>en</x:v>
      </x:c>
      <x:c r="E180" s="14" t="str">
        <x:v>Latn</x:v>
      </x:c>
      <x:c r="F180" s="14" t="str">
        <x:v>preferred</x:v>
      </x:c>
      <x:c r="G180" s="20" t="b">
        <x:v>1</x:v>
      </x:c>
      <x:c r="H180" s="21"/>
      <x:c r="I180" s="21"/>
      <x:c r="J180" s="14" t="str">
        <x:v>src-pleiades-599575</x:v>
      </x:c>
      <x:c r="K180" s="14" t="str">
        <x:v>reviewed</x:v>
      </x:c>
    </x:row>
    <x:row r="181" ht="26" customHeight="1">
      <x:c r="A181" s="14" t="str">
        <x:v>name-colony-cnidus-grc-ancient</x:v>
      </x:c>
      <x:c r="B181" s="14" t="str">
        <x:v>colony-cnidus</x:v>
      </x:c>
      <x:c r="C181" s="14" t="str">
        <x:v>Κνίδος</x:v>
      </x:c>
      <x:c r="D181" s="14" t="str">
        <x:v>grc</x:v>
      </x:c>
      <x:c r="E181" s="14" t="str">
        <x:v>Grek</x:v>
      </x:c>
      <x:c r="F181" s="14" t="str">
        <x:v>ancient</x:v>
      </x:c>
      <x:c r="G181" s="20" t="b">
        <x:v>0</x:v>
      </x:c>
      <x:c r="H181" s="21"/>
      <x:c r="I181" s="21"/>
      <x:c r="J181" s="14" t="str">
        <x:v>src-pleiades-599575</x:v>
      </x:c>
      <x:c r="K181" s="14" t="str">
        <x:v>reviewed</x:v>
      </x:c>
    </x:row>
    <x:row r="182" ht="26" customHeight="1">
      <x:c r="A182" s="14" t="str">
        <x:v>name-colony-colophon-el-preferred</x:v>
      </x:c>
      <x:c r="B182" s="14" t="str">
        <x:v>colony-colophon</x:v>
      </x:c>
      <x:c r="C182" s="14" t="str">
        <x:v>Κολοφώνα</x:v>
      </x:c>
      <x:c r="D182" s="14" t="str">
        <x:v>el</x:v>
      </x:c>
      <x:c r="E182" s="14" t="str">
        <x:v>Grek</x:v>
      </x:c>
      <x:c r="F182" s="14" t="str">
        <x:v>preferred</x:v>
      </x:c>
      <x:c r="G182" s="20" t="b">
        <x:v>1</x:v>
      </x:c>
      <x:c r="H182" s="21"/>
      <x:c r="I182" s="21"/>
      <x:c r="J182" s="14" t="str">
        <x:v>src-pleiades-599577</x:v>
      </x:c>
      <x:c r="K182" s="14" t="str">
        <x:v>reviewed</x:v>
      </x:c>
    </x:row>
    <x:row r="183" ht="26" customHeight="1">
      <x:c r="A183" s="14" t="str">
        <x:v>name-colony-colophon-en-preferred</x:v>
      </x:c>
      <x:c r="B183" s="14" t="str">
        <x:v>colony-colophon</x:v>
      </x:c>
      <x:c r="C183" s="14" t="str">
        <x:v>Colophon</x:v>
      </x:c>
      <x:c r="D183" s="14" t="str">
        <x:v>en</x:v>
      </x:c>
      <x:c r="E183" s="14" t="str">
        <x:v>Latn</x:v>
      </x:c>
      <x:c r="F183" s="14" t="str">
        <x:v>preferred</x:v>
      </x:c>
      <x:c r="G183" s="20" t="b">
        <x:v>1</x:v>
      </x:c>
      <x:c r="H183" s="21"/>
      <x:c r="I183" s="21"/>
      <x:c r="J183" s="14" t="str">
        <x:v>src-pleiades-599577</x:v>
      </x:c>
      <x:c r="K183" s="14" t="str">
        <x:v>reviewed</x:v>
      </x:c>
    </x:row>
    <x:row r="184" ht="26" customHeight="1">
      <x:c r="A184" s="14" t="str">
        <x:v>name-colony-colophon-grc-ancient</x:v>
      </x:c>
      <x:c r="B184" s="14" t="str">
        <x:v>colony-colophon</x:v>
      </x:c>
      <x:c r="C184" s="14" t="str">
        <x:v>Κολοφών</x:v>
      </x:c>
      <x:c r="D184" s="14" t="str">
        <x:v>grc</x:v>
      </x:c>
      <x:c r="E184" s="14" t="str">
        <x:v>Grek</x:v>
      </x:c>
      <x:c r="F184" s="14" t="str">
        <x:v>ancient</x:v>
      </x:c>
      <x:c r="G184" s="20" t="b">
        <x:v>0</x:v>
      </x:c>
      <x:c r="H184" s="21"/>
      <x:c r="I184" s="21"/>
      <x:c r="J184" s="14" t="str">
        <x:v>src-pleiades-599577</x:v>
      </x:c>
      <x:c r="K184" s="14" t="str">
        <x:v>reviewed</x:v>
      </x:c>
    </x:row>
    <x:row r="185" ht="26" customHeight="1">
      <x:c r="A185" s="14" t="str">
        <x:v>name-colony-corcyra-el-preferred</x:v>
      </x:c>
      <x:c r="B185" s="14" t="str">
        <x:v>colony-corcyra</x:v>
      </x:c>
      <x:c r="C185" s="14" t="str">
        <x:v>Κέρκυρα</x:v>
      </x:c>
      <x:c r="D185" s="14" t="str">
        <x:v>el</x:v>
      </x:c>
      <x:c r="E185" s="14" t="str">
        <x:v>Grek</x:v>
      </x:c>
      <x:c r="F185" s="14" t="str">
        <x:v>preferred</x:v>
      </x:c>
      <x:c r="G185" s="20" t="b">
        <x:v>1</x:v>
      </x:c>
      <x:c r="H185" s="21"/>
      <x:c r="I185" s="21"/>
      <x:c r="J185" s="14" t="str">
        <x:v>src-pleiades-530834</x:v>
      </x:c>
      <x:c r="K185" s="14" t="str">
        <x:v>reviewed</x:v>
      </x:c>
    </x:row>
    <x:row r="186" ht="26" customHeight="1">
      <x:c r="A186" s="14" t="str">
        <x:v>name-colony-corcyra-en-preferred</x:v>
      </x:c>
      <x:c r="B186" s="14" t="str">
        <x:v>colony-corcyra</x:v>
      </x:c>
      <x:c r="C186" s="14" t="str">
        <x:v>Corcyra</x:v>
      </x:c>
      <x:c r="D186" s="14" t="str">
        <x:v>en</x:v>
      </x:c>
      <x:c r="E186" s="14" t="str">
        <x:v>Latn</x:v>
      </x:c>
      <x:c r="F186" s="14" t="str">
        <x:v>preferred</x:v>
      </x:c>
      <x:c r="G186" s="20" t="b">
        <x:v>1</x:v>
      </x:c>
      <x:c r="H186" s="21"/>
      <x:c r="I186" s="21"/>
      <x:c r="J186" s="14" t="str">
        <x:v>src-pleiades-530834</x:v>
      </x:c>
      <x:c r="K186" s="14" t="str">
        <x:v>reviewed</x:v>
      </x:c>
    </x:row>
    <x:row r="187" ht="26" customHeight="1">
      <x:c r="A187" s="14" t="str">
        <x:v>name-colony-corcyra-grc-ancient</x:v>
      </x:c>
      <x:c r="B187" s="14" t="str">
        <x:v>colony-corcyra</x:v>
      </x:c>
      <x:c r="C187" s="14" t="str">
        <x:v>Κόρκυρα</x:v>
      </x:c>
      <x:c r="D187" s="14" t="str">
        <x:v>grc</x:v>
      </x:c>
      <x:c r="E187" s="14" t="str">
        <x:v>Grek</x:v>
      </x:c>
      <x:c r="F187" s="14" t="str">
        <x:v>ancient</x:v>
      </x:c>
      <x:c r="G187" s="20" t="b">
        <x:v>0</x:v>
      </x:c>
      <x:c r="H187" s="21"/>
      <x:c r="I187" s="21"/>
      <x:c r="J187" s="14" t="str">
        <x:v>src-pleiades-530834</x:v>
      </x:c>
      <x:c r="K187" s="14" t="str">
        <x:v>reviewed</x:v>
      </x:c>
    </x:row>
    <x:row r="188" ht="26" customHeight="1">
      <x:c r="A188" s="14" t="str">
        <x:v>name-colony-croton-el-preferred</x:v>
      </x:c>
      <x:c r="B188" s="14" t="str">
        <x:v>colony-croton</x:v>
      </x:c>
      <x:c r="C188" s="14" t="str">
        <x:v>Κρότων</x:v>
      </x:c>
      <x:c r="D188" s="14" t="str">
        <x:v>el</x:v>
      </x:c>
      <x:c r="E188" s="14" t="str">
        <x:v>Grek</x:v>
      </x:c>
      <x:c r="F188" s="14" t="str">
        <x:v>preferred</x:v>
      </x:c>
      <x:c r="G188" s="20" t="b">
        <x:v>1</x:v>
      </x:c>
      <x:c r="H188" s="21"/>
      <x:c r="I188" s="21"/>
      <x:c r="J188" s="14" t="str">
        <x:v>src-pleiades-452317</x:v>
      </x:c>
      <x:c r="K188" s="14" t="str">
        <x:v>reviewed</x:v>
      </x:c>
    </x:row>
    <x:row r="189" ht="26" customHeight="1">
      <x:c r="A189" s="14" t="str">
        <x:v>name-colony-croton-en-preferred</x:v>
      </x:c>
      <x:c r="B189" s="14" t="str">
        <x:v>colony-croton</x:v>
      </x:c>
      <x:c r="C189" s="14" t="str">
        <x:v>Croton</x:v>
      </x:c>
      <x:c r="D189" s="14" t="str">
        <x:v>en</x:v>
      </x:c>
      <x:c r="E189" s="14" t="str">
        <x:v>Latn</x:v>
      </x:c>
      <x:c r="F189" s="14" t="str">
        <x:v>preferred</x:v>
      </x:c>
      <x:c r="G189" s="20" t="b">
        <x:v>1</x:v>
      </x:c>
      <x:c r="H189" s="21"/>
      <x:c r="I189" s="21"/>
      <x:c r="J189" s="14" t="str">
        <x:v>src-pleiades-452317</x:v>
      </x:c>
      <x:c r="K189" s="14" t="str">
        <x:v>reviewed</x:v>
      </x:c>
    </x:row>
    <x:row r="190" ht="26" customHeight="1">
      <x:c r="A190" s="14" t="str">
        <x:v>name-colony-croton-grc-ancient</x:v>
      </x:c>
      <x:c r="B190" s="14" t="str">
        <x:v>colony-croton</x:v>
      </x:c>
      <x:c r="C190" s="14" t="str">
        <x:v>Κρότων</x:v>
      </x:c>
      <x:c r="D190" s="14" t="str">
        <x:v>grc</x:v>
      </x:c>
      <x:c r="E190" s="14" t="str">
        <x:v>Grek</x:v>
      </x:c>
      <x:c r="F190" s="14" t="str">
        <x:v>ancient</x:v>
      </x:c>
      <x:c r="G190" s="20" t="b">
        <x:v>0</x:v>
      </x:c>
      <x:c r="H190" s="21"/>
      <x:c r="I190" s="21"/>
      <x:c r="J190" s="14" t="str">
        <x:v>src-pleiades-452317</x:v>
      </x:c>
      <x:c r="K190" s="14" t="str">
        <x:v>reviewed</x:v>
      </x:c>
    </x:row>
    <x:row r="191" ht="26" customHeight="1">
      <x:c r="A191" s="14" t="str">
        <x:v>name-colony-cumae-campania-el-preferred</x:v>
      </x:c>
      <x:c r="B191" s="14" t="str">
        <x:v>colony-cumae-campania</x:v>
      </x:c>
      <x:c r="C191" s="14" t="str">
        <x:v>Κύμη Καμπανίας</x:v>
      </x:c>
      <x:c r="D191" s="14" t="str">
        <x:v>el</x:v>
      </x:c>
      <x:c r="E191" s="14" t="str">
        <x:v>Grek</x:v>
      </x:c>
      <x:c r="F191" s="14" t="str">
        <x:v>preferred</x:v>
      </x:c>
      <x:c r="G191" s="20" t="b">
        <x:v>1</x:v>
      </x:c>
      <x:c r="H191" s="21"/>
      <x:c r="I191" s="21"/>
      <x:c r="J191" s="14" t="str">
        <x:v>src-pleiades-432808</x:v>
      </x:c>
      <x:c r="K191" s="14" t="str">
        <x:v>reviewed</x:v>
      </x:c>
    </x:row>
    <x:row r="192" ht="26" customHeight="1">
      <x:c r="A192" s="14" t="str">
        <x:v>name-colony-cumae-campania-en-preferred</x:v>
      </x:c>
      <x:c r="B192" s="14" t="str">
        <x:v>colony-cumae-campania</x:v>
      </x:c>
      <x:c r="C192" s="14" t="str">
        <x:v>Cumae</x:v>
      </x:c>
      <x:c r="D192" s="14" t="str">
        <x:v>en</x:v>
      </x:c>
      <x:c r="E192" s="14" t="str">
        <x:v>Latn</x:v>
      </x:c>
      <x:c r="F192" s="14" t="str">
        <x:v>preferred</x:v>
      </x:c>
      <x:c r="G192" s="20" t="b">
        <x:v>1</x:v>
      </x:c>
      <x:c r="H192" s="21"/>
      <x:c r="I192" s="21"/>
      <x:c r="J192" s="14" t="str">
        <x:v>src-pleiades-432808</x:v>
      </x:c>
      <x:c r="K192" s="14" t="str">
        <x:v>reviewed</x:v>
      </x:c>
    </x:row>
    <x:row r="193" ht="26" customHeight="1">
      <x:c r="A193" s="14" t="str">
        <x:v>name-colony-cumae-campania-grc-ancient</x:v>
      </x:c>
      <x:c r="B193" s="14" t="str">
        <x:v>colony-cumae-campania</x:v>
      </x:c>
      <x:c r="C193" s="14" t="str">
        <x:v>Κύμη</x:v>
      </x:c>
      <x:c r="D193" s="14" t="str">
        <x:v>grc</x:v>
      </x:c>
      <x:c r="E193" s="14" t="str">
        <x:v>Grek</x:v>
      </x:c>
      <x:c r="F193" s="14" t="str">
        <x:v>ancient</x:v>
      </x:c>
      <x:c r="G193" s="20" t="b">
        <x:v>0</x:v>
      </x:c>
      <x:c r="H193" s="21"/>
      <x:c r="I193" s="21"/>
      <x:c r="J193" s="14" t="str">
        <x:v>src-pleiades-432808</x:v>
      </x:c>
      <x:c r="K193" s="14" t="str">
        <x:v>reviewed</x:v>
      </x:c>
    </x:row>
    <x:row r="194" ht="26" customHeight="1">
      <x:c r="A194" s="14" t="str">
        <x:v>name-colony-cyme-aeolis-el-preferred</x:v>
      </x:c>
      <x:c r="B194" s="14" t="str">
        <x:v>colony-cyme-aeolis</x:v>
      </x:c>
      <x:c r="C194" s="14" t="str">
        <x:v>Κύμη Αιολίδας</x:v>
      </x:c>
      <x:c r="D194" s="14" t="str">
        <x:v>el</x:v>
      </x:c>
      <x:c r="E194" s="14" t="str">
        <x:v>Grek</x:v>
      </x:c>
      <x:c r="F194" s="14" t="str">
        <x:v>preferred</x:v>
      </x:c>
      <x:c r="G194" s="20" t="b">
        <x:v>1</x:v>
      </x:c>
      <x:c r="H194" s="21"/>
      <x:c r="I194" s="21"/>
      <x:c r="J194" s="14" t="str">
        <x:v>src-pleiades-550506</x:v>
      </x:c>
      <x:c r="K194" s="14" t="str">
        <x:v>reviewed</x:v>
      </x:c>
    </x:row>
    <x:row r="195" ht="26" customHeight="1">
      <x:c r="A195" s="14" t="str">
        <x:v>name-colony-cyme-aeolis-en-preferred</x:v>
      </x:c>
      <x:c r="B195" s="14" t="str">
        <x:v>colony-cyme-aeolis</x:v>
      </x:c>
      <x:c r="C195" s="14" t="str">
        <x:v>Cyme</x:v>
      </x:c>
      <x:c r="D195" s="14" t="str">
        <x:v>en</x:v>
      </x:c>
      <x:c r="E195" s="14" t="str">
        <x:v>Latn</x:v>
      </x:c>
      <x:c r="F195" s="14" t="str">
        <x:v>preferred</x:v>
      </x:c>
      <x:c r="G195" s="20" t="b">
        <x:v>1</x:v>
      </x:c>
      <x:c r="H195" s="21"/>
      <x:c r="I195" s="21"/>
      <x:c r="J195" s="14" t="str">
        <x:v>src-pleiades-550506</x:v>
      </x:c>
      <x:c r="K195" s="14" t="str">
        <x:v>reviewed</x:v>
      </x:c>
    </x:row>
    <x:row r="196" ht="26" customHeight="1">
      <x:c r="A196" s="14" t="str">
        <x:v>name-colony-cyme-aeolis-grc-ancient</x:v>
      </x:c>
      <x:c r="B196" s="14" t="str">
        <x:v>colony-cyme-aeolis</x:v>
      </x:c>
      <x:c r="C196" s="14" t="str">
        <x:v>Κύμη</x:v>
      </x:c>
      <x:c r="D196" s="14" t="str">
        <x:v>grc</x:v>
      </x:c>
      <x:c r="E196" s="14" t="str">
        <x:v>Grek</x:v>
      </x:c>
      <x:c r="F196" s="14" t="str">
        <x:v>ancient</x:v>
      </x:c>
      <x:c r="G196" s="20" t="b">
        <x:v>0</x:v>
      </x:c>
      <x:c r="H196" s="21"/>
      <x:c r="I196" s="21"/>
      <x:c r="J196" s="14" t="str">
        <x:v>src-pleiades-550506</x:v>
      </x:c>
      <x:c r="K196" s="14" t="str">
        <x:v>reviewed</x:v>
      </x:c>
    </x:row>
    <x:row r="197" ht="26" customHeight="1">
      <x:c r="A197" s="14" t="str">
        <x:v>name-colony-cyrene-el-preferred</x:v>
      </x:c>
      <x:c r="B197" s="14" t="str">
        <x:v>colony-cyrene</x:v>
      </x:c>
      <x:c r="C197" s="14" t="str">
        <x:v>Κυρήνη</x:v>
      </x:c>
      <x:c r="D197" s="14" t="str">
        <x:v>el</x:v>
      </x:c>
      <x:c r="E197" s="14" t="str">
        <x:v>Grek</x:v>
      </x:c>
      <x:c r="F197" s="14" t="str">
        <x:v>preferred</x:v>
      </x:c>
      <x:c r="G197" s="20" t="b">
        <x:v>1</x:v>
      </x:c>
      <x:c r="H197" s="21"/>
      <x:c r="I197" s="21"/>
      <x:c r="J197" s="14" t="str">
        <x:v>src-pleiades-373778</x:v>
      </x:c>
      <x:c r="K197" s="14" t="str">
        <x:v>reviewed</x:v>
      </x:c>
    </x:row>
    <x:row r="198" ht="26" customHeight="1">
      <x:c r="A198" s="14" t="str">
        <x:v>name-colony-cyrene-en-preferred</x:v>
      </x:c>
      <x:c r="B198" s="14" t="str">
        <x:v>colony-cyrene</x:v>
      </x:c>
      <x:c r="C198" s="14" t="str">
        <x:v>Cyrene</x:v>
      </x:c>
      <x:c r="D198" s="14" t="str">
        <x:v>en</x:v>
      </x:c>
      <x:c r="E198" s="14" t="str">
        <x:v>Latn</x:v>
      </x:c>
      <x:c r="F198" s="14" t="str">
        <x:v>preferred</x:v>
      </x:c>
      <x:c r="G198" s="20" t="b">
        <x:v>1</x:v>
      </x:c>
      <x:c r="H198" s="21"/>
      <x:c r="I198" s="21"/>
      <x:c r="J198" s="14" t="str">
        <x:v>src-pleiades-373778</x:v>
      </x:c>
      <x:c r="K198" s="14" t="str">
        <x:v>reviewed</x:v>
      </x:c>
    </x:row>
    <x:row r="199" ht="26" customHeight="1">
      <x:c r="A199" s="14" t="str">
        <x:v>name-colony-cyrene-grc-ancient</x:v>
      </x:c>
      <x:c r="B199" s="14" t="str">
        <x:v>colony-cyrene</x:v>
      </x:c>
      <x:c r="C199" s="14" t="str">
        <x:v>Κυρήνη</x:v>
      </x:c>
      <x:c r="D199" s="14" t="str">
        <x:v>grc</x:v>
      </x:c>
      <x:c r="E199" s="14" t="str">
        <x:v>Grek</x:v>
      </x:c>
      <x:c r="F199" s="14" t="str">
        <x:v>ancient</x:v>
      </x:c>
      <x:c r="G199" s="20" t="b">
        <x:v>0</x:v>
      </x:c>
      <x:c r="H199" s="21"/>
      <x:c r="I199" s="21"/>
      <x:c r="J199" s="14" t="str">
        <x:v>src-pleiades-373778</x:v>
      </x:c>
      <x:c r="K199" s="14" t="str">
        <x:v>reviewed</x:v>
      </x:c>
    </x:row>
    <x:row r="200" ht="26" customHeight="1">
      <x:c r="A200" s="14" t="str">
        <x:v>name-colony-cyzicus-el-preferred</x:v>
      </x:c>
      <x:c r="B200" s="14" t="str">
        <x:v>colony-cyzicus</x:v>
      </x:c>
      <x:c r="C200" s="14" t="str">
        <x:v>Κύζικος</x:v>
      </x:c>
      <x:c r="D200" s="14" t="str">
        <x:v>el</x:v>
      </x:c>
      <x:c r="E200" s="14" t="str">
        <x:v>Grek</x:v>
      </x:c>
      <x:c r="F200" s="14" t="str">
        <x:v>preferred</x:v>
      </x:c>
      <x:c r="G200" s="20" t="b">
        <x:v>1</x:v>
      </x:c>
      <x:c r="H200" s="21"/>
      <x:c r="I200" s="21"/>
      <x:c r="J200" s="14" t="str">
        <x:v>src-pleiades-511218</x:v>
      </x:c>
      <x:c r="K200" s="14" t="str">
        <x:v>reviewed</x:v>
      </x:c>
    </x:row>
    <x:row r="201" ht="26" customHeight="1">
      <x:c r="A201" s="14" t="str">
        <x:v>name-colony-cyzicus-en-preferred</x:v>
      </x:c>
      <x:c r="B201" s="14" t="str">
        <x:v>colony-cyzicus</x:v>
      </x:c>
      <x:c r="C201" s="14" t="str">
        <x:v>Cyzicus</x:v>
      </x:c>
      <x:c r="D201" s="14" t="str">
        <x:v>en</x:v>
      </x:c>
      <x:c r="E201" s="14" t="str">
        <x:v>Latn</x:v>
      </x:c>
      <x:c r="F201" s="14" t="str">
        <x:v>preferred</x:v>
      </x:c>
      <x:c r="G201" s="20" t="b">
        <x:v>1</x:v>
      </x:c>
      <x:c r="H201" s="21"/>
      <x:c r="I201" s="21"/>
      <x:c r="J201" s="14" t="str">
        <x:v>src-pleiades-511218</x:v>
      </x:c>
      <x:c r="K201" s="14" t="str">
        <x:v>reviewed</x:v>
      </x:c>
    </x:row>
    <x:row r="202" ht="26" customHeight="1">
      <x:c r="A202" s="14" t="str">
        <x:v>name-colony-cyzicus-grc-ancient</x:v>
      </x:c>
      <x:c r="B202" s="14" t="str">
        <x:v>colony-cyzicus</x:v>
      </x:c>
      <x:c r="C202" s="14" t="str">
        <x:v>Κύζικος</x:v>
      </x:c>
      <x:c r="D202" s="14" t="str">
        <x:v>grc</x:v>
      </x:c>
      <x:c r="E202" s="14" t="str">
        <x:v>Grek</x:v>
      </x:c>
      <x:c r="F202" s="14" t="str">
        <x:v>ancient</x:v>
      </x:c>
      <x:c r="G202" s="20" t="b">
        <x:v>0</x:v>
      </x:c>
      <x:c r="H202" s="21"/>
      <x:c r="I202" s="21"/>
      <x:c r="J202" s="14" t="str">
        <x:v>src-pleiades-511218</x:v>
      </x:c>
      <x:c r="K202" s="14" t="str">
        <x:v>reviewed</x:v>
      </x:c>
    </x:row>
    <x:row r="203" ht="26" customHeight="1">
      <x:c r="A203" s="14" t="str">
        <x:v>name-colony-dioscurias-el-preferred</x:v>
      </x:c>
      <x:c r="B203" s="14" t="str">
        <x:v>colony-dioscurias</x:v>
      </x:c>
      <x:c r="C203" s="14" t="str">
        <x:v>Διοσκουριάς</x:v>
      </x:c>
      <x:c r="D203" s="14" t="str">
        <x:v>el</x:v>
      </x:c>
      <x:c r="E203" s="14" t="str">
        <x:v>Grek</x:v>
      </x:c>
      <x:c r="F203" s="14" t="str">
        <x:v>preferred</x:v>
      </x:c>
      <x:c r="G203" s="20" t="b">
        <x:v>1</x:v>
      </x:c>
      <x:c r="H203" s="21"/>
      <x:c r="I203" s="21"/>
      <x:c r="J203" s="14" t="str">
        <x:v>src-pleiades-857107</x:v>
      </x:c>
      <x:c r="K203" s="14" t="str">
        <x:v>reviewed</x:v>
      </x:c>
    </x:row>
    <x:row r="204" ht="26" customHeight="1">
      <x:c r="A204" s="14" t="str">
        <x:v>name-colony-dioscurias-en-preferred</x:v>
      </x:c>
      <x:c r="B204" s="14" t="str">
        <x:v>colony-dioscurias</x:v>
      </x:c>
      <x:c r="C204" s="14" t="str">
        <x:v>Dioscurias</x:v>
      </x:c>
      <x:c r="D204" s="14" t="str">
        <x:v>en</x:v>
      </x:c>
      <x:c r="E204" s="14" t="str">
        <x:v>Latn</x:v>
      </x:c>
      <x:c r="F204" s="14" t="str">
        <x:v>preferred</x:v>
      </x:c>
      <x:c r="G204" s="20" t="b">
        <x:v>1</x:v>
      </x:c>
      <x:c r="H204" s="21"/>
      <x:c r="I204" s="21"/>
      <x:c r="J204" s="14" t="str">
        <x:v>src-pleiades-857107</x:v>
      </x:c>
      <x:c r="K204" s="14" t="str">
        <x:v>reviewed</x:v>
      </x:c>
    </x:row>
    <x:row r="205" ht="26" customHeight="1">
      <x:c r="A205" s="14" t="str">
        <x:v>name-colony-dioscurias-grc-ancient</x:v>
      </x:c>
      <x:c r="B205" s="14" t="str">
        <x:v>colony-dioscurias</x:v>
      </x:c>
      <x:c r="C205" s="14" t="str">
        <x:v>Διοσκουριάς</x:v>
      </x:c>
      <x:c r="D205" s="14" t="str">
        <x:v>grc</x:v>
      </x:c>
      <x:c r="E205" s="14" t="str">
        <x:v>Grek</x:v>
      </x:c>
      <x:c r="F205" s="14" t="str">
        <x:v>ancient</x:v>
      </x:c>
      <x:c r="G205" s="20" t="b">
        <x:v>0</x:v>
      </x:c>
      <x:c r="H205" s="21"/>
      <x:c r="I205" s="21"/>
      <x:c r="J205" s="14" t="str">
        <x:v>src-pleiades-857107</x:v>
      </x:c>
      <x:c r="K205" s="14" t="str">
        <x:v>reviewed</x:v>
      </x:c>
    </x:row>
    <x:row r="206" ht="26" customHeight="1">
      <x:c r="A206" s="14" t="str">
        <x:v>name-colony-elea-velia-el-preferred</x:v>
      </x:c>
      <x:c r="B206" s="14" t="str">
        <x:v>colony-elea-velia</x:v>
      </x:c>
      <x:c r="C206" s="14" t="str">
        <x:v>Ελέα</x:v>
      </x:c>
      <x:c r="D206" s="14" t="str">
        <x:v>el</x:v>
      </x:c>
      <x:c r="E206" s="14" t="str">
        <x:v>Grek</x:v>
      </x:c>
      <x:c r="F206" s="14" t="str">
        <x:v>preferred</x:v>
      </x:c>
      <x:c r="G206" s="20" t="b">
        <x:v>1</x:v>
      </x:c>
      <x:c r="H206" s="21"/>
      <x:c r="I206" s="21"/>
      <x:c r="J206" s="14" t="str">
        <x:v>src-pleiades-452488</x:v>
      </x:c>
      <x:c r="K206" s="14" t="str">
        <x:v>reviewed</x:v>
      </x:c>
    </x:row>
    <x:row r="207" ht="26" customHeight="1">
      <x:c r="A207" s="14" t="str">
        <x:v>name-colony-elea-velia-en-preferred</x:v>
      </x:c>
      <x:c r="B207" s="14" t="str">
        <x:v>colony-elea-velia</x:v>
      </x:c>
      <x:c r="C207" s="14" t="str">
        <x:v>Elea</x:v>
      </x:c>
      <x:c r="D207" s="14" t="str">
        <x:v>en</x:v>
      </x:c>
      <x:c r="E207" s="14" t="str">
        <x:v>Latn</x:v>
      </x:c>
      <x:c r="F207" s="14" t="str">
        <x:v>preferred</x:v>
      </x:c>
      <x:c r="G207" s="20" t="b">
        <x:v>1</x:v>
      </x:c>
      <x:c r="H207" s="21"/>
      <x:c r="I207" s="21"/>
      <x:c r="J207" s="14" t="str">
        <x:v>src-pleiades-452488</x:v>
      </x:c>
      <x:c r="K207" s="14" t="str">
        <x:v>reviewed</x:v>
      </x:c>
    </x:row>
    <x:row r="208" ht="26" customHeight="1">
      <x:c r="A208" s="14" t="str">
        <x:v>name-colony-elea-velia-grc-ancient</x:v>
      </x:c>
      <x:c r="B208" s="14" t="str">
        <x:v>colony-elea-velia</x:v>
      </x:c>
      <x:c r="C208" s="14" t="str">
        <x:v>Ἐλέα</x:v>
      </x:c>
      <x:c r="D208" s="14" t="str">
        <x:v>grc</x:v>
      </x:c>
      <x:c r="E208" s="14" t="str">
        <x:v>Grek</x:v>
      </x:c>
      <x:c r="F208" s="14" t="str">
        <x:v>ancient</x:v>
      </x:c>
      <x:c r="G208" s="20" t="b">
        <x:v>0</x:v>
      </x:c>
      <x:c r="H208" s="21"/>
      <x:c r="I208" s="21"/>
      <x:c r="J208" s="14" t="str">
        <x:v>src-pleiades-452488</x:v>
      </x:c>
      <x:c r="K208" s="14" t="str">
        <x:v>reviewed</x:v>
      </x:c>
    </x:row>
    <x:row r="209" ht="26" customHeight="1">
      <x:c r="A209" s="14" t="str">
        <x:v>name-colony-emporion-iberia-el-preferred</x:v>
      </x:c>
      <x:c r="B209" s="14" t="str">
        <x:v>colony-emporion-iberia</x:v>
      </x:c>
      <x:c r="C209" s="14" t="str">
        <x:v>Εμπόριον</x:v>
      </x:c>
      <x:c r="D209" s="14" t="str">
        <x:v>el</x:v>
      </x:c>
      <x:c r="E209" s="14" t="str">
        <x:v>Grek</x:v>
      </x:c>
      <x:c r="F209" s="14" t="str">
        <x:v>preferred</x:v>
      </x:c>
      <x:c r="G209" s="20" t="b">
        <x:v>1</x:v>
      </x:c>
      <x:c r="H209" s="21"/>
      <x:c r="I209" s="21"/>
      <x:c r="J209" s="14" t="str">
        <x:v>src-pleiades-246382</x:v>
      </x:c>
      <x:c r="K209" s="14" t="str">
        <x:v>reviewed</x:v>
      </x:c>
    </x:row>
    <x:row r="210" ht="26" customHeight="1">
      <x:c r="A210" s="14" t="str">
        <x:v>name-colony-emporion-iberia-en-preferred</x:v>
      </x:c>
      <x:c r="B210" s="14" t="str">
        <x:v>colony-emporion-iberia</x:v>
      </x:c>
      <x:c r="C210" s="14" t="str">
        <x:v>Emporion</x:v>
      </x:c>
      <x:c r="D210" s="14" t="str">
        <x:v>en</x:v>
      </x:c>
      <x:c r="E210" s="14" t="str">
        <x:v>Latn</x:v>
      </x:c>
      <x:c r="F210" s="14" t="str">
        <x:v>preferred</x:v>
      </x:c>
      <x:c r="G210" s="20" t="b">
        <x:v>1</x:v>
      </x:c>
      <x:c r="H210" s="21"/>
      <x:c r="I210" s="21"/>
      <x:c r="J210" s="14" t="str">
        <x:v>src-pleiades-246382</x:v>
      </x:c>
      <x:c r="K210" s="14" t="str">
        <x:v>reviewed</x:v>
      </x:c>
    </x:row>
    <x:row r="211" ht="26" customHeight="1">
      <x:c r="A211" s="14" t="str">
        <x:v>name-colony-emporion-iberia-grc-ancient</x:v>
      </x:c>
      <x:c r="B211" s="14" t="str">
        <x:v>colony-emporion-iberia</x:v>
      </x:c>
      <x:c r="C211" s="14" t="str">
        <x:v>Ἐμπόριον</x:v>
      </x:c>
      <x:c r="D211" s="14" t="str">
        <x:v>grc</x:v>
      </x:c>
      <x:c r="E211" s="14" t="str">
        <x:v>Grek</x:v>
      </x:c>
      <x:c r="F211" s="14" t="str">
        <x:v>ancient</x:v>
      </x:c>
      <x:c r="G211" s="20" t="b">
        <x:v>0</x:v>
      </x:c>
      <x:c r="H211" s="21"/>
      <x:c r="I211" s="21"/>
      <x:c r="J211" s="14" t="str">
        <x:v>src-pleiades-246382</x:v>
      </x:c>
      <x:c r="K211" s="14" t="str">
        <x:v>reviewed</x:v>
      </x:c>
    </x:row>
    <x:row r="212" ht="26" customHeight="1">
      <x:c r="A212" s="14" t="str">
        <x:v>name-colony-ephesus-el-preferred</x:v>
      </x:c>
      <x:c r="B212" s="14" t="str">
        <x:v>colony-ephesus</x:v>
      </x:c>
      <x:c r="C212" s="14" t="str">
        <x:v>Έφεσος</x:v>
      </x:c>
      <x:c r="D212" s="14" t="str">
        <x:v>el</x:v>
      </x:c>
      <x:c r="E212" s="14" t="str">
        <x:v>Grek</x:v>
      </x:c>
      <x:c r="F212" s="14" t="str">
        <x:v>preferred</x:v>
      </x:c>
      <x:c r="G212" s="20" t="b">
        <x:v>1</x:v>
      </x:c>
      <x:c r="H212" s="21"/>
      <x:c r="I212" s="21"/>
      <x:c r="J212" s="14" t="str">
        <x:v>src-pleiades-599612</x:v>
      </x:c>
      <x:c r="K212" s="14" t="str">
        <x:v>reviewed</x:v>
      </x:c>
    </x:row>
    <x:row r="213" ht="26" customHeight="1">
      <x:c r="A213" s="14" t="str">
        <x:v>name-colony-ephesus-en-preferred</x:v>
      </x:c>
      <x:c r="B213" s="14" t="str">
        <x:v>colony-ephesus</x:v>
      </x:c>
      <x:c r="C213" s="14" t="str">
        <x:v>Ephesus</x:v>
      </x:c>
      <x:c r="D213" s="14" t="str">
        <x:v>en</x:v>
      </x:c>
      <x:c r="E213" s="14" t="str">
        <x:v>Latn</x:v>
      </x:c>
      <x:c r="F213" s="14" t="str">
        <x:v>preferred</x:v>
      </x:c>
      <x:c r="G213" s="20" t="b">
        <x:v>1</x:v>
      </x:c>
      <x:c r="H213" s="21"/>
      <x:c r="I213" s="21"/>
      <x:c r="J213" s="14" t="str">
        <x:v>src-pleiades-599612</x:v>
      </x:c>
      <x:c r="K213" s="14" t="str">
        <x:v>reviewed</x:v>
      </x:c>
    </x:row>
    <x:row r="214" ht="26" customHeight="1">
      <x:c r="A214" s="14" t="str">
        <x:v>name-colony-ephesus-grc-ancient</x:v>
      </x:c>
      <x:c r="B214" s="14" t="str">
        <x:v>colony-ephesus</x:v>
      </x:c>
      <x:c r="C214" s="14" t="str">
        <x:v>Ἔφεσος</x:v>
      </x:c>
      <x:c r="D214" s="14" t="str">
        <x:v>grc</x:v>
      </x:c>
      <x:c r="E214" s="14" t="str">
        <x:v>Grek</x:v>
      </x:c>
      <x:c r="F214" s="14" t="str">
        <x:v>ancient</x:v>
      </x:c>
      <x:c r="G214" s="20" t="b">
        <x:v>0</x:v>
      </x:c>
      <x:c r="H214" s="21"/>
      <x:c r="I214" s="21"/>
      <x:c r="J214" s="14" t="str">
        <x:v>src-pleiades-599612</x:v>
      </x:c>
      <x:c r="K214" s="14" t="str">
        <x:v>reviewed</x:v>
      </x:c>
    </x:row>
    <x:row r="215" ht="26" customHeight="1">
      <x:c r="A215" s="14" t="str">
        <x:v>name-colony-epidamnos-el-preferred</x:v>
      </x:c>
      <x:c r="B215" s="14" t="str">
        <x:v>colony-epidamnos</x:v>
      </x:c>
      <x:c r="C215" s="14" t="str">
        <x:v>Επίδαμνος</x:v>
      </x:c>
      <x:c r="D215" s="14" t="str">
        <x:v>el</x:v>
      </x:c>
      <x:c r="E215" s="14" t="str">
        <x:v>Grek</x:v>
      </x:c>
      <x:c r="F215" s="14" t="str">
        <x:v>preferred</x:v>
      </x:c>
      <x:c r="G215" s="20" t="b">
        <x:v>1</x:v>
      </x:c>
      <x:c r="H215" s="21"/>
      <x:c r="I215" s="21"/>
      <x:c r="J215" s="14" t="str">
        <x:v>src-pleiades-481818</x:v>
      </x:c>
      <x:c r="K215" s="14" t="str">
        <x:v>reviewed</x:v>
      </x:c>
    </x:row>
    <x:row r="216" ht="26" customHeight="1">
      <x:c r="A216" s="14" t="str">
        <x:v>name-colony-epidamnos-en-preferred</x:v>
      </x:c>
      <x:c r="B216" s="14" t="str">
        <x:v>colony-epidamnos</x:v>
      </x:c>
      <x:c r="C216" s="14" t="str">
        <x:v>Epidamnos</x:v>
      </x:c>
      <x:c r="D216" s="14" t="str">
        <x:v>en</x:v>
      </x:c>
      <x:c r="E216" s="14" t="str">
        <x:v>Latn</x:v>
      </x:c>
      <x:c r="F216" s="14" t="str">
        <x:v>preferred</x:v>
      </x:c>
      <x:c r="G216" s="20" t="b">
        <x:v>1</x:v>
      </x:c>
      <x:c r="H216" s="21"/>
      <x:c r="I216" s="21"/>
      <x:c r="J216" s="14" t="str">
        <x:v>src-pleiades-481818</x:v>
      </x:c>
      <x:c r="K216" s="14" t="str">
        <x:v>reviewed</x:v>
      </x:c>
    </x:row>
    <x:row r="217" ht="26" customHeight="1">
      <x:c r="A217" s="14" t="str">
        <x:v>name-colony-epidamnos-grc-ancient</x:v>
      </x:c>
      <x:c r="B217" s="14" t="str">
        <x:v>colony-epidamnos</x:v>
      </x:c>
      <x:c r="C217" s="14" t="str">
        <x:v>Ἐπίδαμνος</x:v>
      </x:c>
      <x:c r="D217" s="14" t="str">
        <x:v>grc</x:v>
      </x:c>
      <x:c r="E217" s="14" t="str">
        <x:v>Grek</x:v>
      </x:c>
      <x:c r="F217" s="14" t="str">
        <x:v>ancient</x:v>
      </x:c>
      <x:c r="G217" s="20" t="b">
        <x:v>0</x:v>
      </x:c>
      <x:c r="H217" s="21"/>
      <x:c r="I217" s="21"/>
      <x:c r="J217" s="14" t="str">
        <x:v>src-pleiades-481818</x:v>
      </x:c>
      <x:c r="K217" s="14" t="str">
        <x:v>reviewed</x:v>
      </x:c>
    </x:row>
    <x:row r="218" ht="26" customHeight="1">
      <x:c r="A218" s="14" t="str">
        <x:v>name-colony-erythrae-ionia-el-preferred</x:v>
      </x:c>
      <x:c r="B218" s="14" t="str">
        <x:v>colony-erythrae-ionia</x:v>
      </x:c>
      <x:c r="C218" s="14" t="str">
        <x:v>Ερυθρές</x:v>
      </x:c>
      <x:c r="D218" s="14" t="str">
        <x:v>el</x:v>
      </x:c>
      <x:c r="E218" s="14" t="str">
        <x:v>Grek</x:v>
      </x:c>
      <x:c r="F218" s="14" t="str">
        <x:v>preferred</x:v>
      </x:c>
      <x:c r="G218" s="20" t="b">
        <x:v>1</x:v>
      </x:c>
      <x:c r="H218" s="21"/>
      <x:c r="I218" s="21"/>
      <x:c r="J218" s="14" t="str">
        <x:v>src-pleiades-550535</x:v>
      </x:c>
      <x:c r="K218" s="14" t="str">
        <x:v>reviewed</x:v>
      </x:c>
    </x:row>
    <x:row r="219" ht="26" customHeight="1">
      <x:c r="A219" s="14" t="str">
        <x:v>name-colony-erythrae-ionia-en-preferred</x:v>
      </x:c>
      <x:c r="B219" s="14" t="str">
        <x:v>colony-erythrae-ionia</x:v>
      </x:c>
      <x:c r="C219" s="14" t="str">
        <x:v>Erythrae</x:v>
      </x:c>
      <x:c r="D219" s="14" t="str">
        <x:v>en</x:v>
      </x:c>
      <x:c r="E219" s="14" t="str">
        <x:v>Latn</x:v>
      </x:c>
      <x:c r="F219" s="14" t="str">
        <x:v>preferred</x:v>
      </x:c>
      <x:c r="G219" s="20" t="b">
        <x:v>1</x:v>
      </x:c>
      <x:c r="H219" s="21"/>
      <x:c r="I219" s="21"/>
      <x:c r="J219" s="14" t="str">
        <x:v>src-pleiades-550535</x:v>
      </x:c>
      <x:c r="K219" s="14" t="str">
        <x:v>reviewed</x:v>
      </x:c>
    </x:row>
    <x:row r="220" ht="26" customHeight="1">
      <x:c r="A220" s="14" t="str">
        <x:v>name-colony-erythrae-ionia-grc-ancient</x:v>
      </x:c>
      <x:c r="B220" s="14" t="str">
        <x:v>colony-erythrae-ionia</x:v>
      </x:c>
      <x:c r="C220" s="14" t="str">
        <x:v>Ἐρυθραί</x:v>
      </x:c>
      <x:c r="D220" s="14" t="str">
        <x:v>grc</x:v>
      </x:c>
      <x:c r="E220" s="14" t="str">
        <x:v>Grek</x:v>
      </x:c>
      <x:c r="F220" s="14" t="str">
        <x:v>ancient</x:v>
      </x:c>
      <x:c r="G220" s="20" t="b">
        <x:v>0</x:v>
      </x:c>
      <x:c r="H220" s="21"/>
      <x:c r="I220" s="21"/>
      <x:c r="J220" s="14" t="str">
        <x:v>src-pleiades-550535</x:v>
      </x:c>
      <x:c r="K220" s="14" t="str">
        <x:v>reviewed</x:v>
      </x:c>
    </x:row>
    <x:row r="221" ht="26" customHeight="1">
      <x:c r="A221" s="14" t="str">
        <x:v>name-colony-euesperides-el-preferred</x:v>
      </x:c>
      <x:c r="B221" s="14" t="str">
        <x:v>colony-euesperides</x:v>
      </x:c>
      <x:c r="C221" s="14" t="str">
        <x:v>Ευεσπερίδες</x:v>
      </x:c>
      <x:c r="D221" s="14" t="str">
        <x:v>el</x:v>
      </x:c>
      <x:c r="E221" s="14" t="str">
        <x:v>Grek</x:v>
      </x:c>
      <x:c r="F221" s="14" t="str">
        <x:v>preferred</x:v>
      </x:c>
      <x:c r="G221" s="20" t="b">
        <x:v>1</x:v>
      </x:c>
      <x:c r="H221" s="21"/>
      <x:c r="I221" s="21"/>
      <x:c r="J221" s="14" t="str">
        <x:v>src-pleiades-373786</x:v>
      </x:c>
      <x:c r="K221" s="14" t="str">
        <x:v>reviewed</x:v>
      </x:c>
    </x:row>
    <x:row r="222" ht="26" customHeight="1">
      <x:c r="A222" s="14" t="str">
        <x:v>name-colony-euesperides-en-preferred</x:v>
      </x:c>
      <x:c r="B222" s="14" t="str">
        <x:v>colony-euesperides</x:v>
      </x:c>
      <x:c r="C222" s="14" t="str">
        <x:v>Euesperides</x:v>
      </x:c>
      <x:c r="D222" s="14" t="str">
        <x:v>en</x:v>
      </x:c>
      <x:c r="E222" s="14" t="str">
        <x:v>Latn</x:v>
      </x:c>
      <x:c r="F222" s="14" t="str">
        <x:v>preferred</x:v>
      </x:c>
      <x:c r="G222" s="20" t="b">
        <x:v>1</x:v>
      </x:c>
      <x:c r="H222" s="21"/>
      <x:c r="I222" s="21"/>
      <x:c r="J222" s="14" t="str">
        <x:v>src-pleiades-373786</x:v>
      </x:c>
      <x:c r="K222" s="14" t="str">
        <x:v>reviewed</x:v>
      </x:c>
    </x:row>
    <x:row r="223" ht="26" customHeight="1">
      <x:c r="A223" s="14" t="str">
        <x:v>name-colony-euesperides-grc-ancient</x:v>
      </x:c>
      <x:c r="B223" s="14" t="str">
        <x:v>colony-euesperides</x:v>
      </x:c>
      <x:c r="C223" s="14" t="str">
        <x:v>Εὐεσπερίδες</x:v>
      </x:c>
      <x:c r="D223" s="14" t="str">
        <x:v>grc</x:v>
      </x:c>
      <x:c r="E223" s="14" t="str">
        <x:v>Grek</x:v>
      </x:c>
      <x:c r="F223" s="14" t="str">
        <x:v>ancient</x:v>
      </x:c>
      <x:c r="G223" s="20" t="b">
        <x:v>0</x:v>
      </x:c>
      <x:c r="H223" s="21"/>
      <x:c r="I223" s="21"/>
      <x:c r="J223" s="14" t="str">
        <x:v>src-pleiades-373786</x:v>
      </x:c>
      <x:c r="K223" s="14" t="str">
        <x:v>reviewed</x:v>
      </x:c>
    </x:row>
    <x:row r="224" ht="26" customHeight="1">
      <x:c r="A224" s="14" t="str">
        <x:v>name-colony-gela-el-preferred</x:v>
      </x:c>
      <x:c r="B224" s="14" t="str">
        <x:v>colony-gela</x:v>
      </x:c>
      <x:c r="C224" s="14" t="str">
        <x:v>Γέλα</x:v>
      </x:c>
      <x:c r="D224" s="14" t="str">
        <x:v>el</x:v>
      </x:c>
      <x:c r="E224" s="14" t="str">
        <x:v>Grek</x:v>
      </x:c>
      <x:c r="F224" s="14" t="str">
        <x:v>preferred</x:v>
      </x:c>
      <x:c r="G224" s="20" t="b">
        <x:v>1</x:v>
      </x:c>
      <x:c r="H224" s="21"/>
      <x:c r="I224" s="21"/>
      <x:c r="J224" s="14" t="str">
        <x:v>src-pleiades-462214</x:v>
      </x:c>
      <x:c r="K224" s="14" t="str">
        <x:v>reviewed</x:v>
      </x:c>
    </x:row>
    <x:row r="225" ht="26" customHeight="1">
      <x:c r="A225" s="14" t="str">
        <x:v>name-colony-gela-en-preferred</x:v>
      </x:c>
      <x:c r="B225" s="14" t="str">
        <x:v>colony-gela</x:v>
      </x:c>
      <x:c r="C225" s="14" t="str">
        <x:v>Gela</x:v>
      </x:c>
      <x:c r="D225" s="14" t="str">
        <x:v>en</x:v>
      </x:c>
      <x:c r="E225" s="14" t="str">
        <x:v>Latn</x:v>
      </x:c>
      <x:c r="F225" s="14" t="str">
        <x:v>preferred</x:v>
      </x:c>
      <x:c r="G225" s="20" t="b">
        <x:v>1</x:v>
      </x:c>
      <x:c r="H225" s="21"/>
      <x:c r="I225" s="21"/>
      <x:c r="J225" s="14" t="str">
        <x:v>src-pleiades-462214</x:v>
      </x:c>
      <x:c r="K225" s="14" t="str">
        <x:v>reviewed</x:v>
      </x:c>
    </x:row>
    <x:row r="226" ht="26" customHeight="1">
      <x:c r="A226" s="14" t="str">
        <x:v>name-colony-gela-grc-ancient</x:v>
      </x:c>
      <x:c r="B226" s="14" t="str">
        <x:v>colony-gela</x:v>
      </x:c>
      <x:c r="C226" s="14" t="str">
        <x:v>Γέλα</x:v>
      </x:c>
      <x:c r="D226" s="14" t="str">
        <x:v>grc</x:v>
      </x:c>
      <x:c r="E226" s="14" t="str">
        <x:v>Grek</x:v>
      </x:c>
      <x:c r="F226" s="14" t="str">
        <x:v>ancient</x:v>
      </x:c>
      <x:c r="G226" s="20" t="b">
        <x:v>0</x:v>
      </x:c>
      <x:c r="H226" s="21"/>
      <x:c r="I226" s="21"/>
      <x:c r="J226" s="14" t="str">
        <x:v>src-pleiades-462214</x:v>
      </x:c>
      <x:c r="K226" s="14" t="str">
        <x:v>reviewed</x:v>
      </x:c>
    </x:row>
    <x:row r="227" ht="26" customHeight="1">
      <x:c r="A227" s="14" t="str">
        <x:v>name-colony-halicarnassus-el-preferred</x:v>
      </x:c>
      <x:c r="B227" s="14" t="str">
        <x:v>colony-halicarnassus</x:v>
      </x:c>
      <x:c r="C227" s="14" t="str">
        <x:v>Αλικαρνασσός</x:v>
      </x:c>
      <x:c r="D227" s="14" t="str">
        <x:v>el</x:v>
      </x:c>
      <x:c r="E227" s="14" t="str">
        <x:v>Grek</x:v>
      </x:c>
      <x:c r="F227" s="14" t="str">
        <x:v>preferred</x:v>
      </x:c>
      <x:c r="G227" s="20" t="b">
        <x:v>1</x:v>
      </x:c>
      <x:c r="H227" s="21"/>
      <x:c r="I227" s="21"/>
      <x:c r="J227" s="14" t="str">
        <x:v>src-pleiades-599636</x:v>
      </x:c>
      <x:c r="K227" s="14" t="str">
        <x:v>reviewed</x:v>
      </x:c>
    </x:row>
    <x:row r="228" ht="26" customHeight="1">
      <x:c r="A228" s="14" t="str">
        <x:v>name-colony-halicarnassus-en-preferred</x:v>
      </x:c>
      <x:c r="B228" s="14" t="str">
        <x:v>colony-halicarnassus</x:v>
      </x:c>
      <x:c r="C228" s="14" t="str">
        <x:v>Halicarnassus</x:v>
      </x:c>
      <x:c r="D228" s="14" t="str">
        <x:v>en</x:v>
      </x:c>
      <x:c r="E228" s="14" t="str">
        <x:v>Latn</x:v>
      </x:c>
      <x:c r="F228" s="14" t="str">
        <x:v>preferred</x:v>
      </x:c>
      <x:c r="G228" s="20" t="b">
        <x:v>1</x:v>
      </x:c>
      <x:c r="H228" s="21"/>
      <x:c r="I228" s="21"/>
      <x:c r="J228" s="14" t="str">
        <x:v>src-pleiades-599636</x:v>
      </x:c>
      <x:c r="K228" s="14" t="str">
        <x:v>reviewed</x:v>
      </x:c>
    </x:row>
    <x:row r="229" ht="26" customHeight="1">
      <x:c r="A229" s="14" t="str">
        <x:v>name-colony-halicarnassus-grc-ancient</x:v>
      </x:c>
      <x:c r="B229" s="14" t="str">
        <x:v>colony-halicarnassus</x:v>
      </x:c>
      <x:c r="C229" s="14" t="str">
        <x:v>Ἁλικαρνασσός</x:v>
      </x:c>
      <x:c r="D229" s="14" t="str">
        <x:v>grc</x:v>
      </x:c>
      <x:c r="E229" s="14" t="str">
        <x:v>Grek</x:v>
      </x:c>
      <x:c r="F229" s="14" t="str">
        <x:v>ancient</x:v>
      </x:c>
      <x:c r="G229" s="20" t="b">
        <x:v>0</x:v>
      </x:c>
      <x:c r="H229" s="21"/>
      <x:c r="I229" s="21"/>
      <x:c r="J229" s="14" t="str">
        <x:v>src-pleiades-599636</x:v>
      </x:c>
      <x:c r="K229" s="14" t="str">
        <x:v>reviewed</x:v>
      </x:c>
    </x:row>
    <x:row r="230" ht="26" customHeight="1">
      <x:c r="A230" s="14" t="str">
        <x:v>name-colony-heraclea-pontica-el-preferred</x:v>
      </x:c>
      <x:c r="B230" s="14" t="str">
        <x:v>colony-heraclea-pontica</x:v>
      </x:c>
      <x:c r="C230" s="14" t="str">
        <x:v>Ηράκλεια Ποντική</x:v>
      </x:c>
      <x:c r="D230" s="14" t="str">
        <x:v>el</x:v>
      </x:c>
      <x:c r="E230" s="14" t="str">
        <x:v>Grek</x:v>
      </x:c>
      <x:c r="F230" s="14" t="str">
        <x:v>preferred</x:v>
      </x:c>
      <x:c r="G230" s="20" t="b">
        <x:v>1</x:v>
      </x:c>
      <x:c r="H230" s="21"/>
      <x:c r="I230" s="21"/>
      <x:c r="J230" s="14" t="str">
        <x:v>src-pleiades-844944</x:v>
      </x:c>
      <x:c r="K230" s="14" t="str">
        <x:v>reviewed</x:v>
      </x:c>
    </x:row>
    <x:row r="231" ht="26" customHeight="1">
      <x:c r="A231" s="14" t="str">
        <x:v>name-colony-heraclea-pontica-en-preferred</x:v>
      </x:c>
      <x:c r="B231" s="14" t="str">
        <x:v>colony-heraclea-pontica</x:v>
      </x:c>
      <x:c r="C231" s="14" t="str">
        <x:v>Heraclea Pontica</x:v>
      </x:c>
      <x:c r="D231" s="14" t="str">
        <x:v>en</x:v>
      </x:c>
      <x:c r="E231" s="14" t="str">
        <x:v>Latn</x:v>
      </x:c>
      <x:c r="F231" s="14" t="str">
        <x:v>preferred</x:v>
      </x:c>
      <x:c r="G231" s="20" t="b">
        <x:v>1</x:v>
      </x:c>
      <x:c r="H231" s="21"/>
      <x:c r="I231" s="21"/>
      <x:c r="J231" s="14" t="str">
        <x:v>src-pleiades-844944</x:v>
      </x:c>
      <x:c r="K231" s="14" t="str">
        <x:v>reviewed</x:v>
      </x:c>
    </x:row>
    <x:row r="232" ht="26" customHeight="1">
      <x:c r="A232" s="14" t="str">
        <x:v>name-colony-heraclea-pontica-grc-ancient</x:v>
      </x:c>
      <x:c r="B232" s="14" t="str">
        <x:v>colony-heraclea-pontica</x:v>
      </x:c>
      <x:c r="C232" s="14" t="str">
        <x:v>Ἡράκλεια ἡ Ποντική</x:v>
      </x:c>
      <x:c r="D232" s="14" t="str">
        <x:v>grc</x:v>
      </x:c>
      <x:c r="E232" s="14" t="str">
        <x:v>Grek</x:v>
      </x:c>
      <x:c r="F232" s="14" t="str">
        <x:v>ancient</x:v>
      </x:c>
      <x:c r="G232" s="20" t="b">
        <x:v>0</x:v>
      </x:c>
      <x:c r="H232" s="21"/>
      <x:c r="I232" s="21"/>
      <x:c r="J232" s="14" t="str">
        <x:v>src-pleiades-844944</x:v>
      </x:c>
      <x:c r="K232" s="14" t="str">
        <x:v>reviewed</x:v>
      </x:c>
    </x:row>
    <x:row r="233" ht="26" customHeight="1">
      <x:c r="A233" s="14" t="str">
        <x:v>name-colony-himera-el-preferred</x:v>
      </x:c>
      <x:c r="B233" s="14" t="str">
        <x:v>colony-himera</x:v>
      </x:c>
      <x:c r="C233" s="14" t="str">
        <x:v>Ιμέρα</x:v>
      </x:c>
      <x:c r="D233" s="14" t="str">
        <x:v>el</x:v>
      </x:c>
      <x:c r="E233" s="14" t="str">
        <x:v>Grek</x:v>
      </x:c>
      <x:c r="F233" s="14" t="str">
        <x:v>preferred</x:v>
      </x:c>
      <x:c r="G233" s="20" t="b">
        <x:v>1</x:v>
      </x:c>
      <x:c r="H233" s="21"/>
      <x:c r="I233" s="21"/>
      <x:c r="J233" s="14" t="str">
        <x:v>src-pleiades-462244</x:v>
      </x:c>
      <x:c r="K233" s="14" t="str">
        <x:v>reviewed</x:v>
      </x:c>
    </x:row>
    <x:row r="234" ht="26" customHeight="1">
      <x:c r="A234" s="14" t="str">
        <x:v>name-colony-himera-en-preferred</x:v>
      </x:c>
      <x:c r="B234" s="14" t="str">
        <x:v>colony-himera</x:v>
      </x:c>
      <x:c r="C234" s="14" t="str">
        <x:v>Himera</x:v>
      </x:c>
      <x:c r="D234" s="14" t="str">
        <x:v>en</x:v>
      </x:c>
      <x:c r="E234" s="14" t="str">
        <x:v>Latn</x:v>
      </x:c>
      <x:c r="F234" s="14" t="str">
        <x:v>preferred</x:v>
      </x:c>
      <x:c r="G234" s="20" t="b">
        <x:v>1</x:v>
      </x:c>
      <x:c r="H234" s="21"/>
      <x:c r="I234" s="21"/>
      <x:c r="J234" s="14" t="str">
        <x:v>src-pleiades-462244</x:v>
      </x:c>
      <x:c r="K234" s="14" t="str">
        <x:v>reviewed</x:v>
      </x:c>
    </x:row>
    <x:row r="235" ht="26" customHeight="1">
      <x:c r="A235" s="14" t="str">
        <x:v>name-colony-himera-grc-ancient</x:v>
      </x:c>
      <x:c r="B235" s="14" t="str">
        <x:v>colony-himera</x:v>
      </x:c>
      <x:c r="C235" s="14" t="str">
        <x:v>Ἱμέρα</x:v>
      </x:c>
      <x:c r="D235" s="14" t="str">
        <x:v>grc</x:v>
      </x:c>
      <x:c r="E235" s="14" t="str">
        <x:v>Grek</x:v>
      </x:c>
      <x:c r="F235" s="14" t="str">
        <x:v>ancient</x:v>
      </x:c>
      <x:c r="G235" s="20" t="b">
        <x:v>0</x:v>
      </x:c>
      <x:c r="H235" s="21"/>
      <x:c r="I235" s="21"/>
      <x:c r="J235" s="14" t="str">
        <x:v>src-pleiades-462244</x:v>
      </x:c>
      <x:c r="K235" s="14" t="str">
        <x:v>reviewed</x:v>
      </x:c>
    </x:row>
    <x:row r="236" ht="26" customHeight="1">
      <x:c r="A236" s="14" t="str">
        <x:v>name-colony-histria-pontica-el-preferred</x:v>
      </x:c>
      <x:c r="B236" s="14" t="str">
        <x:v>colony-histria-pontica</x:v>
      </x:c>
      <x:c r="C236" s="14" t="str">
        <x:v>Ίστρια</x:v>
      </x:c>
      <x:c r="D236" s="14" t="str">
        <x:v>el</x:v>
      </x:c>
      <x:c r="E236" s="14" t="str">
        <x:v>Grek</x:v>
      </x:c>
      <x:c r="F236" s="14" t="str">
        <x:v>preferred</x:v>
      </x:c>
      <x:c r="G236" s="20" t="b">
        <x:v>1</x:v>
      </x:c>
      <x:c r="H236" s="21"/>
      <x:c r="I236" s="21"/>
      <x:c r="J236" s="14" t="str">
        <x:v>src-pleiades-216839</x:v>
      </x:c>
      <x:c r="K236" s="14" t="str">
        <x:v>reviewed</x:v>
      </x:c>
    </x:row>
    <x:row r="237" ht="26" customHeight="1">
      <x:c r="A237" s="14" t="str">
        <x:v>name-colony-histria-pontica-en-preferred</x:v>
      </x:c>
      <x:c r="B237" s="14" t="str">
        <x:v>colony-histria-pontica</x:v>
      </x:c>
      <x:c r="C237" s="14" t="str">
        <x:v>Histria</x:v>
      </x:c>
      <x:c r="D237" s="14" t="str">
        <x:v>en</x:v>
      </x:c>
      <x:c r="E237" s="14" t="str">
        <x:v>Latn</x:v>
      </x:c>
      <x:c r="F237" s="14" t="str">
        <x:v>preferred</x:v>
      </x:c>
      <x:c r="G237" s="20" t="b">
        <x:v>1</x:v>
      </x:c>
      <x:c r="H237" s="21"/>
      <x:c r="I237" s="21"/>
      <x:c r="J237" s="14" t="str">
        <x:v>src-pleiades-216839</x:v>
      </x:c>
      <x:c r="K237" s="14" t="str">
        <x:v>reviewed</x:v>
      </x:c>
    </x:row>
    <x:row r="238" ht="26" customHeight="1">
      <x:c r="A238" s="14" t="str">
        <x:v>name-colony-histria-pontica-grc-ancient</x:v>
      </x:c>
      <x:c r="B238" s="14" t="str">
        <x:v>colony-histria-pontica</x:v>
      </x:c>
      <x:c r="C238" s="14" t="str">
        <x:v>Ἰστρίη</x:v>
      </x:c>
      <x:c r="D238" s="14" t="str">
        <x:v>grc</x:v>
      </x:c>
      <x:c r="E238" s="14" t="str">
        <x:v>Grek</x:v>
      </x:c>
      <x:c r="F238" s="14" t="str">
        <x:v>ancient</x:v>
      </x:c>
      <x:c r="G238" s="20" t="b">
        <x:v>0</x:v>
      </x:c>
      <x:c r="H238" s="21"/>
      <x:c r="I238" s="21"/>
      <x:c r="J238" s="14" t="str">
        <x:v>src-pleiades-216839</x:v>
      </x:c>
      <x:c r="K238" s="14" t="str">
        <x:v>reviewed</x:v>
      </x:c>
    </x:row>
    <x:row r="239" ht="26" customHeight="1">
      <x:c r="A239" s="14" t="str">
        <x:v>name-colony-iasos-el-preferred</x:v>
      </x:c>
      <x:c r="B239" s="14" t="str">
        <x:v>colony-iasos</x:v>
      </x:c>
      <x:c r="C239" s="14" t="str">
        <x:v>Ιασός</x:v>
      </x:c>
      <x:c r="D239" s="14" t="str">
        <x:v>el</x:v>
      </x:c>
      <x:c r="E239" s="14" t="str">
        <x:v>Grek</x:v>
      </x:c>
      <x:c r="F239" s="14" t="str">
        <x:v>preferred</x:v>
      </x:c>
      <x:c r="G239" s="20" t="b">
        <x:v>1</x:v>
      </x:c>
      <x:c r="H239" s="21"/>
      <x:c r="I239" s="21"/>
      <x:c r="J239" s="14" t="str">
        <x:v>src-pleiades-599664</x:v>
      </x:c>
      <x:c r="K239" s="14" t="str">
        <x:v>reviewed</x:v>
      </x:c>
    </x:row>
    <x:row r="240" ht="26" customHeight="1">
      <x:c r="A240" s="14" t="str">
        <x:v>name-colony-iasos-en-preferred</x:v>
      </x:c>
      <x:c r="B240" s="14" t="str">
        <x:v>colony-iasos</x:v>
      </x:c>
      <x:c r="C240" s="14" t="str">
        <x:v>Iasos</x:v>
      </x:c>
      <x:c r="D240" s="14" t="str">
        <x:v>en</x:v>
      </x:c>
      <x:c r="E240" s="14" t="str">
        <x:v>Latn</x:v>
      </x:c>
      <x:c r="F240" s="14" t="str">
        <x:v>preferred</x:v>
      </x:c>
      <x:c r="G240" s="20" t="b">
        <x:v>1</x:v>
      </x:c>
      <x:c r="H240" s="21"/>
      <x:c r="I240" s="21"/>
      <x:c r="J240" s="14" t="str">
        <x:v>src-pleiades-599664</x:v>
      </x:c>
      <x:c r="K240" s="14" t="str">
        <x:v>reviewed</x:v>
      </x:c>
    </x:row>
    <x:row r="241" ht="26" customHeight="1">
      <x:c r="A241" s="14" t="str">
        <x:v>name-colony-iasos-grc-ancient</x:v>
      </x:c>
      <x:c r="B241" s="14" t="str">
        <x:v>colony-iasos</x:v>
      </x:c>
      <x:c r="C241" s="14" t="str">
        <x:v>Ἰασός</x:v>
      </x:c>
      <x:c r="D241" s="14" t="str">
        <x:v>grc</x:v>
      </x:c>
      <x:c r="E241" s="14" t="str">
        <x:v>Grek</x:v>
      </x:c>
      <x:c r="F241" s="14" t="str">
        <x:v>ancient</x:v>
      </x:c>
      <x:c r="G241" s="20" t="b">
        <x:v>0</x:v>
      </x:c>
      <x:c r="H241" s="21"/>
      <x:c r="I241" s="21"/>
      <x:c r="J241" s="14" t="str">
        <x:v>src-pleiades-599664</x:v>
      </x:c>
      <x:c r="K241" s="14" t="str">
        <x:v>reviewed</x:v>
      </x:c>
    </x:row>
    <x:row r="242" ht="26" customHeight="1">
      <x:c r="A242" s="14" t="str">
        <x:v>name-colony-issa-vis-el-preferred</x:v>
      </x:c>
      <x:c r="B242" s="14" t="str">
        <x:v>colony-issa-vis</x:v>
      </x:c>
      <x:c r="C242" s="14" t="str">
        <x:v>Ίσσα</x:v>
      </x:c>
      <x:c r="D242" s="14" t="str">
        <x:v>el</x:v>
      </x:c>
      <x:c r="E242" s="14" t="str">
        <x:v>Grek</x:v>
      </x:c>
      <x:c r="F242" s="14" t="str">
        <x:v>preferred</x:v>
      </x:c>
      <x:c r="G242" s="20" t="b">
        <x:v>1</x:v>
      </x:c>
      <x:c r="H242" s="21"/>
      <x:c r="I242" s="21"/>
      <x:c r="J242" s="14" t="str">
        <x:v>src-armus-4dde844bac8f</x:v>
      </x:c>
      <x:c r="K242" s="14" t="str">
        <x:v>reviewed</x:v>
      </x:c>
    </x:row>
    <x:row r="243" ht="26" customHeight="1">
      <x:c r="A243" s="14" t="str">
        <x:v>name-colony-issa-vis-en-preferred</x:v>
      </x:c>
      <x:c r="B243" s="14" t="str">
        <x:v>colony-issa-vis</x:v>
      </x:c>
      <x:c r="C243" s="14" t="str">
        <x:v>Issa</x:v>
      </x:c>
      <x:c r="D243" s="14" t="str">
        <x:v>en</x:v>
      </x:c>
      <x:c r="E243" s="14" t="str">
        <x:v>Latn</x:v>
      </x:c>
      <x:c r="F243" s="14" t="str">
        <x:v>preferred</x:v>
      </x:c>
      <x:c r="G243" s="20" t="b">
        <x:v>1</x:v>
      </x:c>
      <x:c r="H243" s="21"/>
      <x:c r="I243" s="21"/>
      <x:c r="J243" s="14" t="str">
        <x:v>src-armus-4dde844bac8f</x:v>
      </x:c>
      <x:c r="K243" s="14" t="str">
        <x:v>reviewed</x:v>
      </x:c>
    </x:row>
    <x:row r="244" ht="26" customHeight="1">
      <x:c r="A244" s="14" t="str">
        <x:v>name-colony-issa-vis-grc-ancient</x:v>
      </x:c>
      <x:c r="B244" s="14" t="str">
        <x:v>colony-issa-vis</x:v>
      </x:c>
      <x:c r="C244" s="14" t="str">
        <x:v>Ἴσσα</x:v>
      </x:c>
      <x:c r="D244" s="14" t="str">
        <x:v>grc</x:v>
      </x:c>
      <x:c r="E244" s="14" t="str">
        <x:v>Grek</x:v>
      </x:c>
      <x:c r="F244" s="14" t="str">
        <x:v>ancient</x:v>
      </x:c>
      <x:c r="G244" s="20" t="b">
        <x:v>0</x:v>
      </x:c>
      <x:c r="H244" s="21"/>
      <x:c r="I244" s="21"/>
      <x:c r="J244" s="14" t="str">
        <x:v>src-armus-4dde844bac8f</x:v>
      </x:c>
      <x:c r="K244" s="14" t="str">
        <x:v>reviewed</x:v>
      </x:c>
    </x:row>
    <x:row r="245" ht="26" customHeight="1">
      <x:c r="A245" s="14" t="str">
        <x:v>name-colony-lampsacus-el-preferred</x:v>
      </x:c>
      <x:c r="B245" s="14" t="str">
        <x:v>colony-lampsacus</x:v>
      </x:c>
      <x:c r="C245" s="14" t="str">
        <x:v>Λάμψακος</x:v>
      </x:c>
      <x:c r="D245" s="14" t="str">
        <x:v>el</x:v>
      </x:c>
      <x:c r="E245" s="14" t="str">
        <x:v>Grek</x:v>
      </x:c>
      <x:c r="F245" s="14" t="str">
        <x:v>preferred</x:v>
      </x:c>
      <x:c r="G245" s="20" t="b">
        <x:v>1</x:v>
      </x:c>
      <x:c r="H245" s="21"/>
      <x:c r="I245" s="21"/>
      <x:c r="J245" s="14" t="str">
        <x:v>src-pleiades-501570</x:v>
      </x:c>
      <x:c r="K245" s="14" t="str">
        <x:v>reviewed</x:v>
      </x:c>
    </x:row>
    <x:row r="246" ht="26" customHeight="1">
      <x:c r="A246" s="14" t="str">
        <x:v>name-colony-lampsacus-en-preferred</x:v>
      </x:c>
      <x:c r="B246" s="14" t="str">
        <x:v>colony-lampsacus</x:v>
      </x:c>
      <x:c r="C246" s="14" t="str">
        <x:v>Lampsacus</x:v>
      </x:c>
      <x:c r="D246" s="14" t="str">
        <x:v>en</x:v>
      </x:c>
      <x:c r="E246" s="14" t="str">
        <x:v>Latn</x:v>
      </x:c>
      <x:c r="F246" s="14" t="str">
        <x:v>preferred</x:v>
      </x:c>
      <x:c r="G246" s="20" t="b">
        <x:v>1</x:v>
      </x:c>
      <x:c r="H246" s="21"/>
      <x:c r="I246" s="21"/>
      <x:c r="J246" s="14" t="str">
        <x:v>src-pleiades-501570</x:v>
      </x:c>
      <x:c r="K246" s="14" t="str">
        <x:v>reviewed</x:v>
      </x:c>
    </x:row>
    <x:row r="247" ht="26" customHeight="1">
      <x:c r="A247" s="14" t="str">
        <x:v>name-colony-lampsacus-grc-ancient</x:v>
      </x:c>
      <x:c r="B247" s="14" t="str">
        <x:v>colony-lampsacus</x:v>
      </x:c>
      <x:c r="C247" s="14" t="str">
        <x:v>Λάμψακος</x:v>
      </x:c>
      <x:c r="D247" s="14" t="str">
        <x:v>grc</x:v>
      </x:c>
      <x:c r="E247" s="14" t="str">
        <x:v>Grek</x:v>
      </x:c>
      <x:c r="F247" s="14" t="str">
        <x:v>ancient</x:v>
      </x:c>
      <x:c r="G247" s="20" t="b">
        <x:v>0</x:v>
      </x:c>
      <x:c r="H247" s="21"/>
      <x:c r="I247" s="21"/>
      <x:c r="J247" s="14" t="str">
        <x:v>src-pleiades-501570</x:v>
      </x:c>
      <x:c r="K247" s="14" t="str">
        <x:v>reviewed</x:v>
      </x:c>
    </x:row>
    <x:row r="248" ht="26" customHeight="1">
      <x:c r="A248" s="14" t="str">
        <x:v>name-colony-leontinoi-el-preferred</x:v>
      </x:c>
      <x:c r="B248" s="14" t="str">
        <x:v>colony-leontinoi</x:v>
      </x:c>
      <x:c r="C248" s="14" t="str">
        <x:v>Λεοντίνοι</x:v>
      </x:c>
      <x:c r="D248" s="14" t="str">
        <x:v>el</x:v>
      </x:c>
      <x:c r="E248" s="14" t="str">
        <x:v>Grek</x:v>
      </x:c>
      <x:c r="F248" s="14" t="str">
        <x:v>preferred</x:v>
      </x:c>
      <x:c r="G248" s="20" t="b">
        <x:v>1</x:v>
      </x:c>
      <x:c r="H248" s="21"/>
      <x:c r="I248" s="21"/>
      <x:c r="J248" s="14" t="str">
        <x:v>src-pleiades-462279</x:v>
      </x:c>
      <x:c r="K248" s="14" t="str">
        <x:v>reviewed</x:v>
      </x:c>
    </x:row>
    <x:row r="249" ht="26" customHeight="1">
      <x:c r="A249" s="14" t="str">
        <x:v>name-colony-leontinoi-en-preferred</x:v>
      </x:c>
      <x:c r="B249" s="14" t="str">
        <x:v>colony-leontinoi</x:v>
      </x:c>
      <x:c r="C249" s="14" t="str">
        <x:v>Leontinoi</x:v>
      </x:c>
      <x:c r="D249" s="14" t="str">
        <x:v>en</x:v>
      </x:c>
      <x:c r="E249" s="14" t="str">
        <x:v>Latn</x:v>
      </x:c>
      <x:c r="F249" s="14" t="str">
        <x:v>preferred</x:v>
      </x:c>
      <x:c r="G249" s="20" t="b">
        <x:v>1</x:v>
      </x:c>
      <x:c r="H249" s="21"/>
      <x:c r="I249" s="21"/>
      <x:c r="J249" s="14" t="str">
        <x:v>src-pleiades-462279</x:v>
      </x:c>
      <x:c r="K249" s="14" t="str">
        <x:v>reviewed</x:v>
      </x:c>
    </x:row>
    <x:row r="250" ht="26" customHeight="1">
      <x:c r="A250" s="14" t="str">
        <x:v>name-colony-leontinoi-grc-ancient</x:v>
      </x:c>
      <x:c r="B250" s="14" t="str">
        <x:v>colony-leontinoi</x:v>
      </x:c>
      <x:c r="C250" s="14" t="str">
        <x:v>Λεοντῖνοι</x:v>
      </x:c>
      <x:c r="D250" s="14" t="str">
        <x:v>grc</x:v>
      </x:c>
      <x:c r="E250" s="14" t="str">
        <x:v>Grek</x:v>
      </x:c>
      <x:c r="F250" s="14" t="str">
        <x:v>ancient</x:v>
      </x:c>
      <x:c r="G250" s="20" t="b">
        <x:v>0</x:v>
      </x:c>
      <x:c r="H250" s="21"/>
      <x:c r="I250" s="21"/>
      <x:c r="J250" s="14" t="str">
        <x:v>src-pleiades-462279</x:v>
      </x:c>
      <x:c r="K250" s="14" t="str">
        <x:v>reviewed</x:v>
      </x:c>
    </x:row>
    <x:row r="251" ht="26" customHeight="1">
      <x:c r="A251" s="14" t="str">
        <x:v>name-colony-locri-epizephyrii-el-preferred</x:v>
      </x:c>
      <x:c r="B251" s="14" t="str">
        <x:v>colony-locri-epizephyrii</x:v>
      </x:c>
      <x:c r="C251" s="14" t="str">
        <x:v>Λοκροί Επιζεφύριοι</x:v>
      </x:c>
      <x:c r="D251" s="14" t="str">
        <x:v>el</x:v>
      </x:c>
      <x:c r="E251" s="14" t="str">
        <x:v>Grek</x:v>
      </x:c>
      <x:c r="F251" s="14" t="str">
        <x:v>preferred</x:v>
      </x:c>
      <x:c r="G251" s="20" t="b">
        <x:v>1</x:v>
      </x:c>
      <x:c r="H251" s="21"/>
      <x:c r="I251" s="21"/>
      <x:c r="J251" s="14" t="str">
        <x:v>src-pleiades-452369</x:v>
      </x:c>
      <x:c r="K251" s="14" t="str">
        <x:v>reviewed</x:v>
      </x:c>
    </x:row>
    <x:row r="252" ht="26" customHeight="1">
      <x:c r="A252" s="14" t="str">
        <x:v>name-colony-locri-epizephyrii-en-preferred</x:v>
      </x:c>
      <x:c r="B252" s="14" t="str">
        <x:v>colony-locri-epizephyrii</x:v>
      </x:c>
      <x:c r="C252" s="14" t="str">
        <x:v>Locri Epizephyrii</x:v>
      </x:c>
      <x:c r="D252" s="14" t="str">
        <x:v>en</x:v>
      </x:c>
      <x:c r="E252" s="14" t="str">
        <x:v>Latn</x:v>
      </x:c>
      <x:c r="F252" s="14" t="str">
        <x:v>preferred</x:v>
      </x:c>
      <x:c r="G252" s="20" t="b">
        <x:v>1</x:v>
      </x:c>
      <x:c r="H252" s="21"/>
      <x:c r="I252" s="21"/>
      <x:c r="J252" s="14" t="str">
        <x:v>src-pleiades-452369</x:v>
      </x:c>
      <x:c r="K252" s="14" t="str">
        <x:v>reviewed</x:v>
      </x:c>
    </x:row>
    <x:row r="253" ht="26" customHeight="1">
      <x:c r="A253" s="14" t="str">
        <x:v>name-colony-locri-epizephyrii-grc-ancient</x:v>
      </x:c>
      <x:c r="B253" s="14" t="str">
        <x:v>colony-locri-epizephyrii</x:v>
      </x:c>
      <x:c r="C253" s="14" t="str">
        <x:v>Λοκροὶ Ἐπιζεφύριοι</x:v>
      </x:c>
      <x:c r="D253" s="14" t="str">
        <x:v>grc</x:v>
      </x:c>
      <x:c r="E253" s="14" t="str">
        <x:v>Grek</x:v>
      </x:c>
      <x:c r="F253" s="14" t="str">
        <x:v>ancient</x:v>
      </x:c>
      <x:c r="G253" s="20" t="b">
        <x:v>0</x:v>
      </x:c>
      <x:c r="H253" s="21"/>
      <x:c r="I253" s="21"/>
      <x:c r="J253" s="14" t="str">
        <x:v>src-pleiades-452369</x:v>
      </x:c>
      <x:c r="K253" s="14" t="str">
        <x:v>reviewed</x:v>
      </x:c>
    </x:row>
    <x:row r="254" ht="26" customHeight="1">
      <x:c r="A254" s="14" t="str">
        <x:v>name-colony-magnesia-maeander-el-preferred</x:v>
      </x:c>
      <x:c r="B254" s="14" t="str">
        <x:v>colony-magnesia-maeander</x:v>
      </x:c>
      <x:c r="C254" s="14" t="str">
        <x:v>Μαγνησία του Μαιάνδρου</x:v>
      </x:c>
      <x:c r="D254" s="14" t="str">
        <x:v>el</x:v>
      </x:c>
      <x:c r="E254" s="14" t="str">
        <x:v>Grek</x:v>
      </x:c>
      <x:c r="F254" s="14" t="str">
        <x:v>preferred</x:v>
      </x:c>
      <x:c r="G254" s="20" t="b">
        <x:v>1</x:v>
      </x:c>
      <x:c r="H254" s="21"/>
      <x:c r="I254" s="21"/>
      <x:c r="J254" s="14" t="str">
        <x:v>src-pleiades-599778</x:v>
      </x:c>
      <x:c r="K254" s="14" t="str">
        <x:v>reviewed</x:v>
      </x:c>
    </x:row>
    <x:row r="255" ht="26" customHeight="1">
      <x:c r="A255" s="14" t="str">
        <x:v>name-colony-magnesia-maeander-en-preferred</x:v>
      </x:c>
      <x:c r="B255" s="14" t="str">
        <x:v>colony-magnesia-maeander</x:v>
      </x:c>
      <x:c r="C255" s="14" t="str">
        <x:v>Magnesia on the Maeander</x:v>
      </x:c>
      <x:c r="D255" s="14" t="str">
        <x:v>en</x:v>
      </x:c>
      <x:c r="E255" s="14" t="str">
        <x:v>Latn</x:v>
      </x:c>
      <x:c r="F255" s="14" t="str">
        <x:v>preferred</x:v>
      </x:c>
      <x:c r="G255" s="20" t="b">
        <x:v>1</x:v>
      </x:c>
      <x:c r="H255" s="21"/>
      <x:c r="I255" s="21"/>
      <x:c r="J255" s="14" t="str">
        <x:v>src-pleiades-599778</x:v>
      </x:c>
      <x:c r="K255" s="14" t="str">
        <x:v>reviewed</x:v>
      </x:c>
    </x:row>
    <x:row r="256" ht="26" customHeight="1">
      <x:c r="A256" s="14" t="str">
        <x:v>name-colony-magnesia-maeander-grc-ancient</x:v>
      </x:c>
      <x:c r="B256" s="14" t="str">
        <x:v>colony-magnesia-maeander</x:v>
      </x:c>
      <x:c r="C256" s="14" t="str">
        <x:v>Μαγνησία ἡ πρὸς Μαιάνδρῳ</x:v>
      </x:c>
      <x:c r="D256" s="14" t="str">
        <x:v>grc</x:v>
      </x:c>
      <x:c r="E256" s="14" t="str">
        <x:v>Grek</x:v>
      </x:c>
      <x:c r="F256" s="14" t="str">
        <x:v>ancient</x:v>
      </x:c>
      <x:c r="G256" s="20" t="b">
        <x:v>0</x:v>
      </x:c>
      <x:c r="H256" s="21"/>
      <x:c r="I256" s="21"/>
      <x:c r="J256" s="14" t="str">
        <x:v>src-pleiades-599778</x:v>
      </x:c>
      <x:c r="K256" s="14" t="str">
        <x:v>reviewed</x:v>
      </x:c>
    </x:row>
    <x:row r="257" ht="26" customHeight="1">
      <x:c r="A257" s="14" t="str">
        <x:v>name-colony-massalia-el-preferred</x:v>
      </x:c>
      <x:c r="B257" s="14" t="str">
        <x:v>colony-massalia</x:v>
      </x:c>
      <x:c r="C257" s="14" t="str">
        <x:v>Μασσαλία</x:v>
      </x:c>
      <x:c r="D257" s="14" t="str">
        <x:v>el</x:v>
      </x:c>
      <x:c r="E257" s="14" t="str">
        <x:v>Grek</x:v>
      </x:c>
      <x:c r="F257" s="14" t="str">
        <x:v>preferred</x:v>
      </x:c>
      <x:c r="G257" s="20" t="b">
        <x:v>1</x:v>
      </x:c>
      <x:c r="H257" s="21"/>
      <x:c r="I257" s="21"/>
      <x:c r="J257" s="14" t="str">
        <x:v>src-pleiades-148127</x:v>
      </x:c>
      <x:c r="K257" s="14" t="str">
        <x:v>reviewed</x:v>
      </x:c>
    </x:row>
    <x:row r="258" ht="26" customHeight="1">
      <x:c r="A258" s="14" t="str">
        <x:v>name-colony-massalia-en-preferred</x:v>
      </x:c>
      <x:c r="B258" s="14" t="str">
        <x:v>colony-massalia</x:v>
      </x:c>
      <x:c r="C258" s="14" t="str">
        <x:v>Massalia</x:v>
      </x:c>
      <x:c r="D258" s="14" t="str">
        <x:v>en</x:v>
      </x:c>
      <x:c r="E258" s="14" t="str">
        <x:v>Latn</x:v>
      </x:c>
      <x:c r="F258" s="14" t="str">
        <x:v>preferred</x:v>
      </x:c>
      <x:c r="G258" s="20" t="b">
        <x:v>1</x:v>
      </x:c>
      <x:c r="H258" s="21"/>
      <x:c r="I258" s="21"/>
      <x:c r="J258" s="14" t="str">
        <x:v>src-pleiades-148127</x:v>
      </x:c>
      <x:c r="K258" s="14" t="str">
        <x:v>reviewed</x:v>
      </x:c>
    </x:row>
    <x:row r="259" ht="26" customHeight="1">
      <x:c r="A259" s="14" t="str">
        <x:v>name-colony-massalia-grc-ancient</x:v>
      </x:c>
      <x:c r="B259" s="14" t="str">
        <x:v>colony-massalia</x:v>
      </x:c>
      <x:c r="C259" s="14" t="str">
        <x:v>Μασσαλία</x:v>
      </x:c>
      <x:c r="D259" s="14" t="str">
        <x:v>grc</x:v>
      </x:c>
      <x:c r="E259" s="14" t="str">
        <x:v>Grek</x:v>
      </x:c>
      <x:c r="F259" s="14" t="str">
        <x:v>ancient</x:v>
      </x:c>
      <x:c r="G259" s="20" t="b">
        <x:v>0</x:v>
      </x:c>
      <x:c r="H259" s="21"/>
      <x:c r="I259" s="21"/>
      <x:c r="J259" s="14" t="str">
        <x:v>src-pleiades-148127</x:v>
      </x:c>
      <x:c r="K259" s="14" t="str">
        <x:v>reviewed</x:v>
      </x:c>
    </x:row>
    <x:row r="260" ht="26" customHeight="1">
      <x:c r="A260" s="14" t="str">
        <x:v>name-colony-megara-hyblaea-el-preferred</x:v>
      </x:c>
      <x:c r="B260" s="14" t="str">
        <x:v>colony-megara-hyblaea</x:v>
      </x:c>
      <x:c r="C260" s="14" t="str">
        <x:v>Μέγαρα Υβλαία</x:v>
      </x:c>
      <x:c r="D260" s="14" t="str">
        <x:v>el</x:v>
      </x:c>
      <x:c r="E260" s="14" t="str">
        <x:v>Grek</x:v>
      </x:c>
      <x:c r="F260" s="14" t="str">
        <x:v>preferred</x:v>
      </x:c>
      <x:c r="G260" s="20" t="b">
        <x:v>1</x:v>
      </x:c>
      <x:c r="H260" s="21"/>
      <x:c r="I260" s="21"/>
      <x:c r="J260" s="14" t="str">
        <x:v>src-pleiades-462307</x:v>
      </x:c>
      <x:c r="K260" s="14" t="str">
        <x:v>reviewed</x:v>
      </x:c>
    </x:row>
    <x:row r="261" ht="26" customHeight="1">
      <x:c r="A261" s="14" t="str">
        <x:v>name-colony-megara-hyblaea-en-preferred</x:v>
      </x:c>
      <x:c r="B261" s="14" t="str">
        <x:v>colony-megara-hyblaea</x:v>
      </x:c>
      <x:c r="C261" s="14" t="str">
        <x:v>Megara Hyblaea</x:v>
      </x:c>
      <x:c r="D261" s="14" t="str">
        <x:v>en</x:v>
      </x:c>
      <x:c r="E261" s="14" t="str">
        <x:v>Latn</x:v>
      </x:c>
      <x:c r="F261" s="14" t="str">
        <x:v>preferred</x:v>
      </x:c>
      <x:c r="G261" s="20" t="b">
        <x:v>1</x:v>
      </x:c>
      <x:c r="H261" s="21"/>
      <x:c r="I261" s="21"/>
      <x:c r="J261" s="14" t="str">
        <x:v>src-pleiades-462307</x:v>
      </x:c>
      <x:c r="K261" s="14" t="str">
        <x:v>reviewed</x:v>
      </x:c>
    </x:row>
    <x:row r="262" ht="26" customHeight="1">
      <x:c r="A262" s="14" t="str">
        <x:v>name-colony-megara-hyblaea-grc-ancient</x:v>
      </x:c>
      <x:c r="B262" s="14" t="str">
        <x:v>colony-megara-hyblaea</x:v>
      </x:c>
      <x:c r="C262" s="14" t="str">
        <x:v>Μέγαρα Ὑβλαία</x:v>
      </x:c>
      <x:c r="D262" s="14" t="str">
        <x:v>grc</x:v>
      </x:c>
      <x:c r="E262" s="14" t="str">
        <x:v>Grek</x:v>
      </x:c>
      <x:c r="F262" s="14" t="str">
        <x:v>ancient</x:v>
      </x:c>
      <x:c r="G262" s="20" t="b">
        <x:v>0</x:v>
      </x:c>
      <x:c r="H262" s="21"/>
      <x:c r="I262" s="21"/>
      <x:c r="J262" s="14" t="str">
        <x:v>src-pleiades-462307</x:v>
      </x:c>
      <x:c r="K262" s="14" t="str">
        <x:v>reviewed</x:v>
      </x:c>
    </x:row>
    <x:row r="263" ht="26" customHeight="1">
      <x:c r="A263" s="14" t="str">
        <x:v>name-colony-mesembria-el-preferred</x:v>
      </x:c>
      <x:c r="B263" s="14" t="str">
        <x:v>colony-mesembria</x:v>
      </x:c>
      <x:c r="C263" s="14" t="str">
        <x:v>Μεσημβρία</x:v>
      </x:c>
      <x:c r="D263" s="14" t="str">
        <x:v>el</x:v>
      </x:c>
      <x:c r="E263" s="14" t="str">
        <x:v>Grek</x:v>
      </x:c>
      <x:c r="F263" s="14" t="str">
        <x:v>preferred</x:v>
      </x:c>
      <x:c r="G263" s="20" t="b">
        <x:v>1</x:v>
      </x:c>
      <x:c r="H263" s="21"/>
      <x:c r="I263" s="21"/>
      <x:c r="J263" s="14" t="str">
        <x:v>src-pleiades-216882</x:v>
      </x:c>
      <x:c r="K263" s="14" t="str">
        <x:v>reviewed</x:v>
      </x:c>
    </x:row>
    <x:row r="264" ht="26" customHeight="1">
      <x:c r="A264" s="14" t="str">
        <x:v>name-colony-mesembria-en-preferred</x:v>
      </x:c>
      <x:c r="B264" s="14" t="str">
        <x:v>colony-mesembria</x:v>
      </x:c>
      <x:c r="C264" s="14" t="str">
        <x:v>Mesembria</x:v>
      </x:c>
      <x:c r="D264" s="14" t="str">
        <x:v>en</x:v>
      </x:c>
      <x:c r="E264" s="14" t="str">
        <x:v>Latn</x:v>
      </x:c>
      <x:c r="F264" s="14" t="str">
        <x:v>preferred</x:v>
      </x:c>
      <x:c r="G264" s="20" t="b">
        <x:v>1</x:v>
      </x:c>
      <x:c r="H264" s="21"/>
      <x:c r="I264" s="21"/>
      <x:c r="J264" s="14" t="str">
        <x:v>src-pleiades-216882</x:v>
      </x:c>
      <x:c r="K264" s="14" t="str">
        <x:v>reviewed</x:v>
      </x:c>
    </x:row>
    <x:row r="265" ht="26" customHeight="1">
      <x:c r="A265" s="14" t="str">
        <x:v>name-colony-mesembria-grc-ancient</x:v>
      </x:c>
      <x:c r="B265" s="14" t="str">
        <x:v>colony-mesembria</x:v>
      </x:c>
      <x:c r="C265" s="14" t="str">
        <x:v>Μεσημβρία</x:v>
      </x:c>
      <x:c r="D265" s="14" t="str">
        <x:v>grc</x:v>
      </x:c>
      <x:c r="E265" s="14" t="str">
        <x:v>Grek</x:v>
      </x:c>
      <x:c r="F265" s="14" t="str">
        <x:v>ancient</x:v>
      </x:c>
      <x:c r="G265" s="20" t="b">
        <x:v>0</x:v>
      </x:c>
      <x:c r="H265" s="21"/>
      <x:c r="I265" s="21"/>
      <x:c r="J265" s="14" t="str">
        <x:v>src-pleiades-216882</x:v>
      </x:c>
      <x:c r="K265" s="14" t="str">
        <x:v>reviewed</x:v>
      </x:c>
    </x:row>
    <x:row r="266" ht="26" customHeight="1">
      <x:c r="A266" s="14" t="str">
        <x:v>name-colony-metapontum-el-preferred</x:v>
      </x:c>
      <x:c r="B266" s="14" t="str">
        <x:v>colony-metapontum</x:v>
      </x:c>
      <x:c r="C266" s="14" t="str">
        <x:v>Μεταπόντιο</x:v>
      </x:c>
      <x:c r="D266" s="14" t="str">
        <x:v>el</x:v>
      </x:c>
      <x:c r="E266" s="14" t="str">
        <x:v>Grek</x:v>
      </x:c>
      <x:c r="F266" s="14" t="str">
        <x:v>preferred</x:v>
      </x:c>
      <x:c r="G266" s="20" t="b">
        <x:v>1</x:v>
      </x:c>
      <x:c r="H266" s="21"/>
      <x:c r="I266" s="21"/>
      <x:c r="J266" s="14" t="str">
        <x:v>src-pleiades-442658</x:v>
      </x:c>
      <x:c r="K266" s="14" t="str">
        <x:v>reviewed</x:v>
      </x:c>
    </x:row>
    <x:row r="267" ht="26" customHeight="1">
      <x:c r="A267" s="14" t="str">
        <x:v>name-colony-metapontum-en-preferred</x:v>
      </x:c>
      <x:c r="B267" s="14" t="str">
        <x:v>colony-metapontum</x:v>
      </x:c>
      <x:c r="C267" s="14" t="str">
        <x:v>Metapontum</x:v>
      </x:c>
      <x:c r="D267" s="14" t="str">
        <x:v>en</x:v>
      </x:c>
      <x:c r="E267" s="14" t="str">
        <x:v>Latn</x:v>
      </x:c>
      <x:c r="F267" s="14" t="str">
        <x:v>preferred</x:v>
      </x:c>
      <x:c r="G267" s="20" t="b">
        <x:v>1</x:v>
      </x:c>
      <x:c r="H267" s="21"/>
      <x:c r="I267" s="21"/>
      <x:c r="J267" s="14" t="str">
        <x:v>src-pleiades-442658</x:v>
      </x:c>
      <x:c r="K267" s="14" t="str">
        <x:v>reviewed</x:v>
      </x:c>
    </x:row>
    <x:row r="268" ht="26" customHeight="1">
      <x:c r="A268" s="14" t="str">
        <x:v>name-colony-metapontum-grc-ancient</x:v>
      </x:c>
      <x:c r="B268" s="14" t="str">
        <x:v>colony-metapontum</x:v>
      </x:c>
      <x:c r="C268" s="14" t="str">
        <x:v>Μεταπόντιον</x:v>
      </x:c>
      <x:c r="D268" s="14" t="str">
        <x:v>grc</x:v>
      </x:c>
      <x:c r="E268" s="14" t="str">
        <x:v>Grek</x:v>
      </x:c>
      <x:c r="F268" s="14" t="str">
        <x:v>ancient</x:v>
      </x:c>
      <x:c r="G268" s="20" t="b">
        <x:v>0</x:v>
      </x:c>
      <x:c r="H268" s="21"/>
      <x:c r="I268" s="21"/>
      <x:c r="J268" s="14" t="str">
        <x:v>src-pleiades-442658</x:v>
      </x:c>
      <x:c r="K268" s="14" t="str">
        <x:v>reviewed</x:v>
      </x:c>
    </x:row>
    <x:row r="269" ht="26" customHeight="1">
      <x:c r="A269" s="14" t="str">
        <x:v>name-colony-miletus-el-preferred</x:v>
      </x:c>
      <x:c r="B269" s="14" t="str">
        <x:v>colony-miletus</x:v>
      </x:c>
      <x:c r="C269" s="14" t="str">
        <x:v>Μίλητος</x:v>
      </x:c>
      <x:c r="D269" s="14" t="str">
        <x:v>el</x:v>
      </x:c>
      <x:c r="E269" s="14" t="str">
        <x:v>Grek</x:v>
      </x:c>
      <x:c r="F269" s="14" t="str">
        <x:v>preferred</x:v>
      </x:c>
      <x:c r="G269" s="20" t="b">
        <x:v>1</x:v>
      </x:c>
      <x:c r="H269" s="21"/>
      <x:c r="I269" s="21"/>
      <x:c r="J269" s="14" t="str">
        <x:v>src-pleiades-599799</x:v>
      </x:c>
      <x:c r="K269" s="14" t="str">
        <x:v>reviewed</x:v>
      </x:c>
    </x:row>
    <x:row r="270" ht="26" customHeight="1">
      <x:c r="A270" s="14" t="str">
        <x:v>name-colony-miletus-en-preferred</x:v>
      </x:c>
      <x:c r="B270" s="14" t="str">
        <x:v>colony-miletus</x:v>
      </x:c>
      <x:c r="C270" s="14" t="str">
        <x:v>Miletus</x:v>
      </x:c>
      <x:c r="D270" s="14" t="str">
        <x:v>en</x:v>
      </x:c>
      <x:c r="E270" s="14" t="str">
        <x:v>Latn</x:v>
      </x:c>
      <x:c r="F270" s="14" t="str">
        <x:v>preferred</x:v>
      </x:c>
      <x:c r="G270" s="20" t="b">
        <x:v>1</x:v>
      </x:c>
      <x:c r="H270" s="21"/>
      <x:c r="I270" s="21"/>
      <x:c r="J270" s="14" t="str">
        <x:v>src-pleiades-599799</x:v>
      </x:c>
      <x:c r="K270" s="14" t="str">
        <x:v>reviewed</x:v>
      </x:c>
    </x:row>
    <x:row r="271" ht="26" customHeight="1">
      <x:c r="A271" s="14" t="str">
        <x:v>name-colony-miletus-grc-ancient</x:v>
      </x:c>
      <x:c r="B271" s="14" t="str">
        <x:v>colony-miletus</x:v>
      </x:c>
      <x:c r="C271" s="14" t="str">
        <x:v>Μίλητος</x:v>
      </x:c>
      <x:c r="D271" s="14" t="str">
        <x:v>grc</x:v>
      </x:c>
      <x:c r="E271" s="14" t="str">
        <x:v>Grek</x:v>
      </x:c>
      <x:c r="F271" s="14" t="str">
        <x:v>ancient</x:v>
      </x:c>
      <x:c r="G271" s="20" t="b">
        <x:v>0</x:v>
      </x:c>
      <x:c r="H271" s="21"/>
      <x:c r="I271" s="21"/>
      <x:c r="J271" s="14" t="str">
        <x:v>src-pleiades-599799</x:v>
      </x:c>
      <x:c r="K271" s="14" t="str">
        <x:v>reviewed</x:v>
      </x:c>
    </x:row>
    <x:row r="272" ht="26" customHeight="1">
      <x:c r="A272" s="14" t="str">
        <x:v>name-colony-myrina-aeolis-el-preferred</x:v>
      </x:c>
      <x:c r="B272" s="14" t="str">
        <x:v>colony-myrina-aeolis</x:v>
      </x:c>
      <x:c r="C272" s="14" t="str">
        <x:v>Μύρινα</x:v>
      </x:c>
      <x:c r="D272" s="14" t="str">
        <x:v>el</x:v>
      </x:c>
      <x:c r="E272" s="14" t="str">
        <x:v>Grek</x:v>
      </x:c>
      <x:c r="F272" s="14" t="str">
        <x:v>preferred</x:v>
      </x:c>
      <x:c r="G272" s="20" t="b">
        <x:v>1</x:v>
      </x:c>
      <x:c r="H272" s="21"/>
      <x:c r="I272" s="21"/>
      <x:c r="J272" s="14" t="str">
        <x:v>src-pleiades-550756</x:v>
      </x:c>
      <x:c r="K272" s="14" t="str">
        <x:v>reviewed</x:v>
      </x:c>
    </x:row>
    <x:row r="273" ht="26" customHeight="1">
      <x:c r="A273" s="14" t="str">
        <x:v>name-colony-myrina-aeolis-en-preferred</x:v>
      </x:c>
      <x:c r="B273" s="14" t="str">
        <x:v>colony-myrina-aeolis</x:v>
      </x:c>
      <x:c r="C273" s="14" t="str">
        <x:v>Myrina</x:v>
      </x:c>
      <x:c r="D273" s="14" t="str">
        <x:v>en</x:v>
      </x:c>
      <x:c r="E273" s="14" t="str">
        <x:v>Latn</x:v>
      </x:c>
      <x:c r="F273" s="14" t="str">
        <x:v>preferred</x:v>
      </x:c>
      <x:c r="G273" s="20" t="b">
        <x:v>1</x:v>
      </x:c>
      <x:c r="H273" s="21"/>
      <x:c r="I273" s="21"/>
      <x:c r="J273" s="14" t="str">
        <x:v>src-pleiades-550756</x:v>
      </x:c>
      <x:c r="K273" s="14" t="str">
        <x:v>reviewed</x:v>
      </x:c>
    </x:row>
    <x:row r="274" ht="26" customHeight="1">
      <x:c r="A274" s="14" t="str">
        <x:v>name-colony-myrina-aeolis-grc-ancient</x:v>
      </x:c>
      <x:c r="B274" s="14" t="str">
        <x:v>colony-myrina-aeolis</x:v>
      </x:c>
      <x:c r="C274" s="14" t="str">
        <x:v>Μύρινα</x:v>
      </x:c>
      <x:c r="D274" s="14" t="str">
        <x:v>grc</x:v>
      </x:c>
      <x:c r="E274" s="14" t="str">
        <x:v>Grek</x:v>
      </x:c>
      <x:c r="F274" s="14" t="str">
        <x:v>ancient</x:v>
      </x:c>
      <x:c r="G274" s="20" t="b">
        <x:v>0</x:v>
      </x:c>
      <x:c r="H274" s="21"/>
      <x:c r="I274" s="21"/>
      <x:c r="J274" s="14" t="str">
        <x:v>src-pleiades-550756</x:v>
      </x:c>
      <x:c r="K274" s="14" t="str">
        <x:v>reviewed</x:v>
      </x:c>
    </x:row>
    <x:row r="275" ht="26" customHeight="1">
      <x:c r="A275" s="14" t="str">
        <x:v>name-colony-naucratis-el-preferred</x:v>
      </x:c>
      <x:c r="B275" s="14" t="str">
        <x:v>colony-naucratis</x:v>
      </x:c>
      <x:c r="C275" s="14" t="str">
        <x:v>Ναύκρατις</x:v>
      </x:c>
      <x:c r="D275" s="14" t="str">
        <x:v>el</x:v>
      </x:c>
      <x:c r="E275" s="14" t="str">
        <x:v>Grek</x:v>
      </x:c>
      <x:c r="F275" s="14" t="str">
        <x:v>preferred</x:v>
      </x:c>
      <x:c r="G275" s="20" t="b">
        <x:v>1</x:v>
      </x:c>
      <x:c r="H275" s="21"/>
      <x:c r="I275" s="21"/>
      <x:c r="J275" s="14" t="str">
        <x:v>src-pleiades-727169</x:v>
      </x:c>
      <x:c r="K275" s="14" t="str">
        <x:v>reviewed</x:v>
      </x:c>
    </x:row>
    <x:row r="276" ht="26" customHeight="1">
      <x:c r="A276" s="14" t="str">
        <x:v>name-colony-naucratis-en-preferred</x:v>
      </x:c>
      <x:c r="B276" s="14" t="str">
        <x:v>colony-naucratis</x:v>
      </x:c>
      <x:c r="C276" s="14" t="str">
        <x:v>Naucratis</x:v>
      </x:c>
      <x:c r="D276" s="14" t="str">
        <x:v>en</x:v>
      </x:c>
      <x:c r="E276" s="14" t="str">
        <x:v>Latn</x:v>
      </x:c>
      <x:c r="F276" s="14" t="str">
        <x:v>preferred</x:v>
      </x:c>
      <x:c r="G276" s="20" t="b">
        <x:v>1</x:v>
      </x:c>
      <x:c r="H276" s="21"/>
      <x:c r="I276" s="21"/>
      <x:c r="J276" s="14" t="str">
        <x:v>src-pleiades-727169</x:v>
      </x:c>
      <x:c r="K276" s="14" t="str">
        <x:v>reviewed</x:v>
      </x:c>
    </x:row>
    <x:row r="277" ht="26" customHeight="1">
      <x:c r="A277" s="14" t="str">
        <x:v>name-colony-naucratis-grc-ancient</x:v>
      </x:c>
      <x:c r="B277" s="14" t="str">
        <x:v>colony-naucratis</x:v>
      </x:c>
      <x:c r="C277" s="14" t="str">
        <x:v>Ναύκρατις</x:v>
      </x:c>
      <x:c r="D277" s="14" t="str">
        <x:v>grc</x:v>
      </x:c>
      <x:c r="E277" s="14" t="str">
        <x:v>Grek</x:v>
      </x:c>
      <x:c r="F277" s="14" t="str">
        <x:v>ancient</x:v>
      </x:c>
      <x:c r="G277" s="20" t="b">
        <x:v>0</x:v>
      </x:c>
      <x:c r="H277" s="21"/>
      <x:c r="I277" s="21"/>
      <x:c r="J277" s="14" t="str">
        <x:v>src-pleiades-727169</x:v>
      </x:c>
      <x:c r="K277" s="14" t="str">
        <x:v>reviewed</x:v>
      </x:c>
    </x:row>
    <x:row r="278" ht="26" customHeight="1">
      <x:c r="A278" s="14" t="str">
        <x:v>name-colony-naxos-sicily-el-preferred</x:v>
      </x:c>
      <x:c r="B278" s="14" t="str">
        <x:v>colony-naxos-sicily</x:v>
      </x:c>
      <x:c r="C278" s="14" t="str">
        <x:v>Νάξος Σικελίας</x:v>
      </x:c>
      <x:c r="D278" s="14" t="str">
        <x:v>el</x:v>
      </x:c>
      <x:c r="E278" s="14" t="str">
        <x:v>Grek</x:v>
      </x:c>
      <x:c r="F278" s="14" t="str">
        <x:v>preferred</x:v>
      </x:c>
      <x:c r="G278" s="20" t="b">
        <x:v>1</x:v>
      </x:c>
      <x:c r="H278" s="21"/>
      <x:c r="I278" s="21"/>
      <x:c r="J278" s="14" t="str">
        <x:v>src-pleiades-462386</x:v>
      </x:c>
      <x:c r="K278" s="14" t="str">
        <x:v>reviewed</x:v>
      </x:c>
    </x:row>
    <x:row r="279" ht="26" customHeight="1">
      <x:c r="A279" s="14" t="str">
        <x:v>name-colony-naxos-sicily-en-preferred</x:v>
      </x:c>
      <x:c r="B279" s="14" t="str">
        <x:v>colony-naxos-sicily</x:v>
      </x:c>
      <x:c r="C279" s="14" t="str">
        <x:v>Naxos</x:v>
      </x:c>
      <x:c r="D279" s="14" t="str">
        <x:v>en</x:v>
      </x:c>
      <x:c r="E279" s="14" t="str">
        <x:v>Latn</x:v>
      </x:c>
      <x:c r="F279" s="14" t="str">
        <x:v>preferred</x:v>
      </x:c>
      <x:c r="G279" s="20" t="b">
        <x:v>1</x:v>
      </x:c>
      <x:c r="H279" s="21"/>
      <x:c r="I279" s="21"/>
      <x:c r="J279" s="14" t="str">
        <x:v>src-pleiades-462386</x:v>
      </x:c>
      <x:c r="K279" s="14" t="str">
        <x:v>reviewed</x:v>
      </x:c>
    </x:row>
    <x:row r="280" ht="26" customHeight="1">
      <x:c r="A280" s="14" t="str">
        <x:v>name-colony-naxos-sicily-grc-ancient</x:v>
      </x:c>
      <x:c r="B280" s="14" t="str">
        <x:v>colony-naxos-sicily</x:v>
      </x:c>
      <x:c r="C280" s="14" t="str">
        <x:v>Νάξος</x:v>
      </x:c>
      <x:c r="D280" s="14" t="str">
        <x:v>grc</x:v>
      </x:c>
      <x:c r="E280" s="14" t="str">
        <x:v>Grek</x:v>
      </x:c>
      <x:c r="F280" s="14" t="str">
        <x:v>ancient</x:v>
      </x:c>
      <x:c r="G280" s="20" t="b">
        <x:v>0</x:v>
      </x:c>
      <x:c r="H280" s="21"/>
      <x:c r="I280" s="21"/>
      <x:c r="J280" s="14" t="str">
        <x:v>src-pleiades-462386</x:v>
      </x:c>
      <x:c r="K280" s="14" t="str">
        <x:v>reviewed</x:v>
      </x:c>
    </x:row>
    <x:row r="281" ht="26" customHeight="1">
      <x:c r="A281" s="14" t="str">
        <x:v>name-colony-neapolis-campania-el-preferred</x:v>
      </x:c>
      <x:c r="B281" s="14" t="str">
        <x:v>colony-neapolis-campania</x:v>
      </x:c>
      <x:c r="C281" s="14" t="str">
        <x:v>Νεάπολη</x:v>
      </x:c>
      <x:c r="D281" s="14" t="str">
        <x:v>el</x:v>
      </x:c>
      <x:c r="E281" s="14" t="str">
        <x:v>Grek</x:v>
      </x:c>
      <x:c r="F281" s="14" t="str">
        <x:v>preferred</x:v>
      </x:c>
      <x:c r="G281" s="20" t="b">
        <x:v>1</x:v>
      </x:c>
      <x:c r="H281" s="21"/>
      <x:c r="I281" s="21"/>
      <x:c r="J281" s="14" t="str">
        <x:v>src-pleiades-433014</x:v>
      </x:c>
      <x:c r="K281" s="14" t="str">
        <x:v>reviewed</x:v>
      </x:c>
    </x:row>
    <x:row r="282" ht="26" customHeight="1">
      <x:c r="A282" s="14" t="str">
        <x:v>name-colony-neapolis-campania-en-preferred</x:v>
      </x:c>
      <x:c r="B282" s="14" t="str">
        <x:v>colony-neapolis-campania</x:v>
      </x:c>
      <x:c r="C282" s="14" t="str">
        <x:v>Neapolis</x:v>
      </x:c>
      <x:c r="D282" s="14" t="str">
        <x:v>en</x:v>
      </x:c>
      <x:c r="E282" s="14" t="str">
        <x:v>Latn</x:v>
      </x:c>
      <x:c r="F282" s="14" t="str">
        <x:v>preferred</x:v>
      </x:c>
      <x:c r="G282" s="20" t="b">
        <x:v>1</x:v>
      </x:c>
      <x:c r="H282" s="21"/>
      <x:c r="I282" s="21"/>
      <x:c r="J282" s="14" t="str">
        <x:v>src-pleiades-433014</x:v>
      </x:c>
      <x:c r="K282" s="14" t="str">
        <x:v>reviewed</x:v>
      </x:c>
    </x:row>
    <x:row r="283" ht="26" customHeight="1">
      <x:c r="A283" s="14" t="str">
        <x:v>name-colony-neapolis-campania-grc-ancient</x:v>
      </x:c>
      <x:c r="B283" s="14" t="str">
        <x:v>colony-neapolis-campania</x:v>
      </x:c>
      <x:c r="C283" s="14" t="str">
        <x:v>Νεάπολις</x:v>
      </x:c>
      <x:c r="D283" s="14" t="str">
        <x:v>grc</x:v>
      </x:c>
      <x:c r="E283" s="14" t="str">
        <x:v>Grek</x:v>
      </x:c>
      <x:c r="F283" s="14" t="str">
        <x:v>ancient</x:v>
      </x:c>
      <x:c r="G283" s="20" t="b">
        <x:v>0</x:v>
      </x:c>
      <x:c r="H283" s="21"/>
      <x:c r="I283" s="21"/>
      <x:c r="J283" s="14" t="str">
        <x:v>src-pleiades-433014</x:v>
      </x:c>
      <x:c r="K283" s="14" t="str">
        <x:v>reviewed</x:v>
      </x:c>
    </x:row>
    <x:row r="284" ht="26" customHeight="1">
      <x:c r="A284" s="14" t="str">
        <x:v>name-colony-odessos-el-preferred</x:v>
      </x:c>
      <x:c r="B284" s="14" t="str">
        <x:v>colony-odessos</x:v>
      </x:c>
      <x:c r="C284" s="14" t="str">
        <x:v>Οδησσός</x:v>
      </x:c>
      <x:c r="D284" s="14" t="str">
        <x:v>el</x:v>
      </x:c>
      <x:c r="E284" s="14" t="str">
        <x:v>Grek</x:v>
      </x:c>
      <x:c r="F284" s="14" t="str">
        <x:v>preferred</x:v>
      </x:c>
      <x:c r="G284" s="20" t="b">
        <x:v>1</x:v>
      </x:c>
      <x:c r="H284" s="21"/>
      <x:c r="I284" s="21"/>
      <x:c r="J284" s="14" t="str">
        <x:v>src-pleiades-216904</x:v>
      </x:c>
      <x:c r="K284" s="14" t="str">
        <x:v>reviewed</x:v>
      </x:c>
    </x:row>
    <x:row r="285" ht="26" customHeight="1">
      <x:c r="A285" s="14" t="str">
        <x:v>name-colony-odessos-en-preferred</x:v>
      </x:c>
      <x:c r="B285" s="14" t="str">
        <x:v>colony-odessos</x:v>
      </x:c>
      <x:c r="C285" s="14" t="str">
        <x:v>Odessos</x:v>
      </x:c>
      <x:c r="D285" s="14" t="str">
        <x:v>en</x:v>
      </x:c>
      <x:c r="E285" s="14" t="str">
        <x:v>Latn</x:v>
      </x:c>
      <x:c r="F285" s="14" t="str">
        <x:v>preferred</x:v>
      </x:c>
      <x:c r="G285" s="20" t="b">
        <x:v>1</x:v>
      </x:c>
      <x:c r="H285" s="21"/>
      <x:c r="I285" s="21"/>
      <x:c r="J285" s="14" t="str">
        <x:v>src-pleiades-216904</x:v>
      </x:c>
      <x:c r="K285" s="14" t="str">
        <x:v>reviewed</x:v>
      </x:c>
    </x:row>
    <x:row r="286" ht="26" customHeight="1">
      <x:c r="A286" s="14" t="str">
        <x:v>name-colony-odessos-grc-ancient</x:v>
      </x:c>
      <x:c r="B286" s="14" t="str">
        <x:v>colony-odessos</x:v>
      </x:c>
      <x:c r="C286" s="14" t="str">
        <x:v>Ὀδησσός</x:v>
      </x:c>
      <x:c r="D286" s="14" t="str">
        <x:v>grc</x:v>
      </x:c>
      <x:c r="E286" s="14" t="str">
        <x:v>Grek</x:v>
      </x:c>
      <x:c r="F286" s="14" t="str">
        <x:v>ancient</x:v>
      </x:c>
      <x:c r="G286" s="20" t="b">
        <x:v>0</x:v>
      </x:c>
      <x:c r="H286" s="21"/>
      <x:c r="I286" s="21"/>
      <x:c r="J286" s="14" t="str">
        <x:v>src-pleiades-216904</x:v>
      </x:c>
      <x:c r="K286" s="14" t="str">
        <x:v>reviewed</x:v>
      </x:c>
    </x:row>
    <x:row r="287" ht="26" customHeight="1">
      <x:c r="A287" s="14" t="str">
        <x:v>name-colony-olbia-pontica-el-preferred</x:v>
      </x:c>
      <x:c r="B287" s="14" t="str">
        <x:v>colony-olbia-pontica</x:v>
      </x:c>
      <x:c r="C287" s="14" t="str">
        <x:v>Ολβία Ποντική</x:v>
      </x:c>
      <x:c r="D287" s="14" t="str">
        <x:v>el</x:v>
      </x:c>
      <x:c r="E287" s="14" t="str">
        <x:v>Grek</x:v>
      </x:c>
      <x:c r="F287" s="14" t="str">
        <x:v>preferred</x:v>
      </x:c>
      <x:c r="G287" s="20" t="b">
        <x:v>1</x:v>
      </x:c>
      <x:c r="H287" s="21"/>
      <x:c r="I287" s="21"/>
      <x:c r="J287" s="14" t="str">
        <x:v>src-pleiades-226546</x:v>
      </x:c>
      <x:c r="K287" s="14" t="str">
        <x:v>reviewed</x:v>
      </x:c>
    </x:row>
    <x:row r="288" ht="26" customHeight="1">
      <x:c r="A288" s="14" t="str">
        <x:v>name-colony-olbia-pontica-en-preferred</x:v>
      </x:c>
      <x:c r="B288" s="14" t="str">
        <x:v>colony-olbia-pontica</x:v>
      </x:c>
      <x:c r="C288" s="14" t="str">
        <x:v>Olbia Pontica</x:v>
      </x:c>
      <x:c r="D288" s="14" t="str">
        <x:v>en</x:v>
      </x:c>
      <x:c r="E288" s="14" t="str">
        <x:v>Latn</x:v>
      </x:c>
      <x:c r="F288" s="14" t="str">
        <x:v>preferred</x:v>
      </x:c>
      <x:c r="G288" s="20" t="b">
        <x:v>1</x:v>
      </x:c>
      <x:c r="H288" s="21"/>
      <x:c r="I288" s="21"/>
      <x:c r="J288" s="14" t="str">
        <x:v>src-pleiades-226546</x:v>
      </x:c>
      <x:c r="K288" s="14" t="str">
        <x:v>reviewed</x:v>
      </x:c>
    </x:row>
    <x:row r="289" ht="26" customHeight="1">
      <x:c r="A289" s="14" t="str">
        <x:v>name-colony-olbia-pontica-grc-ancient</x:v>
      </x:c>
      <x:c r="B289" s="14" t="str">
        <x:v>colony-olbia-pontica</x:v>
      </x:c>
      <x:c r="C289" s="14" t="str">
        <x:v>Ὀλβία</x:v>
      </x:c>
      <x:c r="D289" s="14" t="str">
        <x:v>grc</x:v>
      </x:c>
      <x:c r="E289" s="14" t="str">
        <x:v>Grek</x:v>
      </x:c>
      <x:c r="F289" s="14" t="str">
        <x:v>ancient</x:v>
      </x:c>
      <x:c r="G289" s="20" t="b">
        <x:v>0</x:v>
      </x:c>
      <x:c r="H289" s="21"/>
      <x:c r="I289" s="21"/>
      <x:c r="J289" s="14" t="str">
        <x:v>src-pleiades-226546</x:v>
      </x:c>
      <x:c r="K289" s="14" t="str">
        <x:v>reviewed</x:v>
      </x:c>
    </x:row>
    <x:row r="290" ht="26" customHeight="1">
      <x:c r="A290" s="14" t="str">
        <x:v>name-colony-panticapaeum-el-preferred</x:v>
      </x:c>
      <x:c r="B290" s="14" t="str">
        <x:v>colony-panticapaeum</x:v>
      </x:c>
      <x:c r="C290" s="14" t="str">
        <x:v>Παντικάπαιο</x:v>
      </x:c>
      <x:c r="D290" s="14" t="str">
        <x:v>el</x:v>
      </x:c>
      <x:c r="E290" s="14" t="str">
        <x:v>Grek</x:v>
      </x:c>
      <x:c r="F290" s="14" t="str">
        <x:v>preferred</x:v>
      </x:c>
      <x:c r="G290" s="20" t="b">
        <x:v>1</x:v>
      </x:c>
      <x:c r="H290" s="21"/>
      <x:c r="I290" s="21"/>
      <x:c r="J290" s="14" t="str">
        <x:v>src-pleiades-854719</x:v>
      </x:c>
      <x:c r="K290" s="14" t="str">
        <x:v>reviewed</x:v>
      </x:c>
    </x:row>
    <x:row r="291" ht="26" customHeight="1">
      <x:c r="A291" s="14" t="str">
        <x:v>name-colony-panticapaeum-en-preferred</x:v>
      </x:c>
      <x:c r="B291" s="14" t="str">
        <x:v>colony-panticapaeum</x:v>
      </x:c>
      <x:c r="C291" s="14" t="str">
        <x:v>Panticapaeum</x:v>
      </x:c>
      <x:c r="D291" s="14" t="str">
        <x:v>en</x:v>
      </x:c>
      <x:c r="E291" s="14" t="str">
        <x:v>Latn</x:v>
      </x:c>
      <x:c r="F291" s="14" t="str">
        <x:v>preferred</x:v>
      </x:c>
      <x:c r="G291" s="20" t="b">
        <x:v>1</x:v>
      </x:c>
      <x:c r="H291" s="21"/>
      <x:c r="I291" s="21"/>
      <x:c r="J291" s="14" t="str">
        <x:v>src-pleiades-854719</x:v>
      </x:c>
      <x:c r="K291" s="14" t="str">
        <x:v>reviewed</x:v>
      </x:c>
    </x:row>
    <x:row r="292" ht="26" customHeight="1">
      <x:c r="A292" s="14" t="str">
        <x:v>name-colony-panticapaeum-grc-ancient</x:v>
      </x:c>
      <x:c r="B292" s="14" t="str">
        <x:v>colony-panticapaeum</x:v>
      </x:c>
      <x:c r="C292" s="14" t="str">
        <x:v>Παντικάπαιον</x:v>
      </x:c>
      <x:c r="D292" s="14" t="str">
        <x:v>grc</x:v>
      </x:c>
      <x:c r="E292" s="14" t="str">
        <x:v>Grek</x:v>
      </x:c>
      <x:c r="F292" s="14" t="str">
        <x:v>ancient</x:v>
      </x:c>
      <x:c r="G292" s="20" t="b">
        <x:v>0</x:v>
      </x:c>
      <x:c r="H292" s="21"/>
      <x:c r="I292" s="21"/>
      <x:c r="J292" s="14" t="str">
        <x:v>src-pleiades-854719</x:v>
      </x:c>
      <x:c r="K292" s="14" t="str">
        <x:v>reviewed</x:v>
      </x:c>
    </x:row>
    <x:row r="293" ht="26" customHeight="1">
      <x:c r="A293" s="14" t="str">
        <x:v>name-colony-phanagoria-el-preferred</x:v>
      </x:c>
      <x:c r="B293" s="14" t="str">
        <x:v>colony-phanagoria</x:v>
      </x:c>
      <x:c r="C293" s="14" t="str">
        <x:v>Φαναγόρεια</x:v>
      </x:c>
      <x:c r="D293" s="14" t="str">
        <x:v>el</x:v>
      </x:c>
      <x:c r="E293" s="14" t="str">
        <x:v>Grek</x:v>
      </x:c>
      <x:c r="F293" s="14" t="str">
        <x:v>preferred</x:v>
      </x:c>
      <x:c r="G293" s="20" t="b">
        <x:v>1</x:v>
      </x:c>
      <x:c r="H293" s="21"/>
      <x:c r="I293" s="21"/>
      <x:c r="J293" s="14" t="str">
        <x:v>src-pleiades-854724</x:v>
      </x:c>
      <x:c r="K293" s="14" t="str">
        <x:v>reviewed</x:v>
      </x:c>
    </x:row>
    <x:row r="294" ht="26" customHeight="1">
      <x:c r="A294" s="14" t="str">
        <x:v>name-colony-phanagoria-en-preferred</x:v>
      </x:c>
      <x:c r="B294" s="14" t="str">
        <x:v>colony-phanagoria</x:v>
      </x:c>
      <x:c r="C294" s="14" t="str">
        <x:v>Phanagoria</x:v>
      </x:c>
      <x:c r="D294" s="14" t="str">
        <x:v>en</x:v>
      </x:c>
      <x:c r="E294" s="14" t="str">
        <x:v>Latn</x:v>
      </x:c>
      <x:c r="F294" s="14" t="str">
        <x:v>preferred</x:v>
      </x:c>
      <x:c r="G294" s="20" t="b">
        <x:v>1</x:v>
      </x:c>
      <x:c r="H294" s="21"/>
      <x:c r="I294" s="21"/>
      <x:c r="J294" s="14" t="str">
        <x:v>src-pleiades-854724</x:v>
      </x:c>
      <x:c r="K294" s="14" t="str">
        <x:v>reviewed</x:v>
      </x:c>
    </x:row>
    <x:row r="295" ht="26" customHeight="1">
      <x:c r="A295" s="14" t="str">
        <x:v>name-colony-phanagoria-grc-ancient</x:v>
      </x:c>
      <x:c r="B295" s="14" t="str">
        <x:v>colony-phanagoria</x:v>
      </x:c>
      <x:c r="C295" s="14" t="str">
        <x:v>Φαναγόρεια</x:v>
      </x:c>
      <x:c r="D295" s="14" t="str">
        <x:v>grc</x:v>
      </x:c>
      <x:c r="E295" s="14" t="str">
        <x:v>Grek</x:v>
      </x:c>
      <x:c r="F295" s="14" t="str">
        <x:v>ancient</x:v>
      </x:c>
      <x:c r="G295" s="20" t="b">
        <x:v>0</x:v>
      </x:c>
      <x:c r="H295" s="21"/>
      <x:c r="I295" s="21"/>
      <x:c r="J295" s="14" t="str">
        <x:v>src-pleiades-854724</x:v>
      </x:c>
      <x:c r="K295" s="14" t="str">
        <x:v>reviewed</x:v>
      </x:c>
    </x:row>
    <x:row r="296" ht="26" customHeight="1">
      <x:c r="A296" s="14" t="str">
        <x:v>name-colony-pharos-hvar-el-preferred</x:v>
      </x:c>
      <x:c r="B296" s="14" t="str">
        <x:v>colony-pharos-hvar</x:v>
      </x:c>
      <x:c r="C296" s="14" t="str">
        <x:v>Φάρος</x:v>
      </x:c>
      <x:c r="D296" s="14" t="str">
        <x:v>el</x:v>
      </x:c>
      <x:c r="E296" s="14" t="str">
        <x:v>Grek</x:v>
      </x:c>
      <x:c r="F296" s="14" t="str">
        <x:v>preferred</x:v>
      </x:c>
      <x:c r="G296" s="20" t="b">
        <x:v>1</x:v>
      </x:c>
      <x:c r="H296" s="21"/>
      <x:c r="I296" s="21"/>
      <x:c r="J296" s="14" t="str">
        <x:v>src-pleiades-197433</x:v>
      </x:c>
      <x:c r="K296" s="14" t="str">
        <x:v>reviewed</x:v>
      </x:c>
    </x:row>
    <x:row r="297" ht="26" customHeight="1">
      <x:c r="A297" s="14" t="str">
        <x:v>name-colony-pharos-hvar-en-preferred</x:v>
      </x:c>
      <x:c r="B297" s="14" t="str">
        <x:v>colony-pharos-hvar</x:v>
      </x:c>
      <x:c r="C297" s="14" t="str">
        <x:v>Pharos</x:v>
      </x:c>
      <x:c r="D297" s="14" t="str">
        <x:v>en</x:v>
      </x:c>
      <x:c r="E297" s="14" t="str">
        <x:v>Latn</x:v>
      </x:c>
      <x:c r="F297" s="14" t="str">
        <x:v>preferred</x:v>
      </x:c>
      <x:c r="G297" s="20" t="b">
        <x:v>1</x:v>
      </x:c>
      <x:c r="H297" s="21"/>
      <x:c r="I297" s="21"/>
      <x:c r="J297" s="14" t="str">
        <x:v>src-pleiades-197433</x:v>
      </x:c>
      <x:c r="K297" s="14" t="str">
        <x:v>reviewed</x:v>
      </x:c>
    </x:row>
    <x:row r="298" ht="26" customHeight="1">
      <x:c r="A298" s="14" t="str">
        <x:v>name-colony-pharos-hvar-grc-ancient</x:v>
      </x:c>
      <x:c r="B298" s="14" t="str">
        <x:v>colony-pharos-hvar</x:v>
      </x:c>
      <x:c r="C298" s="14" t="str">
        <x:v>Φάρος</x:v>
      </x:c>
      <x:c r="D298" s="14" t="str">
        <x:v>grc</x:v>
      </x:c>
      <x:c r="E298" s="14" t="str">
        <x:v>Grek</x:v>
      </x:c>
      <x:c r="F298" s="14" t="str">
        <x:v>ancient</x:v>
      </x:c>
      <x:c r="G298" s="20" t="b">
        <x:v>0</x:v>
      </x:c>
      <x:c r="H298" s="21"/>
      <x:c r="I298" s="21"/>
      <x:c r="J298" s="14" t="str">
        <x:v>src-pleiades-197433</x:v>
      </x:c>
      <x:c r="K298" s="14" t="str">
        <x:v>reviewed</x:v>
      </x:c>
    </x:row>
    <x:row r="299" ht="26" customHeight="1">
      <x:c r="A299" s="14" t="str">
        <x:v>name-colony-phaselis-el-preferred</x:v>
      </x:c>
      <x:c r="B299" s="14" t="str">
        <x:v>colony-phaselis</x:v>
      </x:c>
      <x:c r="C299" s="14" t="str">
        <x:v>Φάσηλις</x:v>
      </x:c>
      <x:c r="D299" s="14" t="str">
        <x:v>el</x:v>
      </x:c>
      <x:c r="E299" s="14" t="str">
        <x:v>Grek</x:v>
      </x:c>
      <x:c r="F299" s="14" t="str">
        <x:v>preferred</x:v>
      </x:c>
      <x:c r="G299" s="20" t="b">
        <x:v>1</x:v>
      </x:c>
      <x:c r="H299" s="21"/>
      <x:c r="I299" s="21"/>
      <x:c r="J299" s="14" t="str">
        <x:v>src-pleiades-639051</x:v>
      </x:c>
      <x:c r="K299" s="14" t="str">
        <x:v>reviewed</x:v>
      </x:c>
    </x:row>
    <x:row r="300" ht="26" customHeight="1">
      <x:c r="A300" s="14" t="str">
        <x:v>name-colony-phaselis-en-preferred</x:v>
      </x:c>
      <x:c r="B300" s="14" t="str">
        <x:v>colony-phaselis</x:v>
      </x:c>
      <x:c r="C300" s="14" t="str">
        <x:v>Phaselis</x:v>
      </x:c>
      <x:c r="D300" s="14" t="str">
        <x:v>en</x:v>
      </x:c>
      <x:c r="E300" s="14" t="str">
        <x:v>Latn</x:v>
      </x:c>
      <x:c r="F300" s="14" t="str">
        <x:v>preferred</x:v>
      </x:c>
      <x:c r="G300" s="20" t="b">
        <x:v>1</x:v>
      </x:c>
      <x:c r="H300" s="21"/>
      <x:c r="I300" s="21"/>
      <x:c r="J300" s="14" t="str">
        <x:v>src-pleiades-639051</x:v>
      </x:c>
      <x:c r="K300" s="14" t="str">
        <x:v>reviewed</x:v>
      </x:c>
    </x:row>
    <x:row r="301" ht="26" customHeight="1">
      <x:c r="A301" s="14" t="str">
        <x:v>name-colony-phaselis-grc-ancient</x:v>
      </x:c>
      <x:c r="B301" s="14" t="str">
        <x:v>colony-phaselis</x:v>
      </x:c>
      <x:c r="C301" s="14" t="str">
        <x:v>Φάσηλις</x:v>
      </x:c>
      <x:c r="D301" s="14" t="str">
        <x:v>grc</x:v>
      </x:c>
      <x:c r="E301" s="14" t="str">
        <x:v>Grek</x:v>
      </x:c>
      <x:c r="F301" s="14" t="str">
        <x:v>ancient</x:v>
      </x:c>
      <x:c r="G301" s="20" t="b">
        <x:v>0</x:v>
      </x:c>
      <x:c r="H301" s="21"/>
      <x:c r="I301" s="21"/>
      <x:c r="J301" s="14" t="str">
        <x:v>src-pleiades-639051</x:v>
      </x:c>
      <x:c r="K301" s="14" t="str">
        <x:v>reviewed</x:v>
      </x:c>
    </x:row>
    <x:row r="302" ht="26" customHeight="1">
      <x:c r="A302" s="14" t="str">
        <x:v>name-colony-phasis-city-el-preferred</x:v>
      </x:c>
      <x:c r="B302" s="14" t="str">
        <x:v>colony-phasis-city</x:v>
      </x:c>
      <x:c r="C302" s="14" t="str">
        <x:v>Φάσις</x:v>
      </x:c>
      <x:c r="D302" s="14" t="str">
        <x:v>el</x:v>
      </x:c>
      <x:c r="E302" s="14" t="str">
        <x:v>Grek</x:v>
      </x:c>
      <x:c r="F302" s="14" t="str">
        <x:v>preferred</x:v>
      </x:c>
      <x:c r="G302" s="20" t="b">
        <x:v>1</x:v>
      </x:c>
      <x:c r="H302" s="21"/>
      <x:c r="I302" s="21"/>
      <x:c r="J302" s="14" t="str">
        <x:v>src-pleiades-857275</x:v>
      </x:c>
      <x:c r="K302" s="14" t="str">
        <x:v>reviewed</x:v>
      </x:c>
    </x:row>
    <x:row r="303" ht="26" customHeight="1">
      <x:c r="A303" s="14" t="str">
        <x:v>name-colony-phasis-city-en-preferred</x:v>
      </x:c>
      <x:c r="B303" s="14" t="str">
        <x:v>colony-phasis-city</x:v>
      </x:c>
      <x:c r="C303" s="14" t="str">
        <x:v>Phasis</x:v>
      </x:c>
      <x:c r="D303" s="14" t="str">
        <x:v>en</x:v>
      </x:c>
      <x:c r="E303" s="14" t="str">
        <x:v>Latn</x:v>
      </x:c>
      <x:c r="F303" s="14" t="str">
        <x:v>preferred</x:v>
      </x:c>
      <x:c r="G303" s="20" t="b">
        <x:v>1</x:v>
      </x:c>
      <x:c r="H303" s="21"/>
      <x:c r="I303" s="21"/>
      <x:c r="J303" s="14" t="str">
        <x:v>src-pleiades-857275</x:v>
      </x:c>
      <x:c r="K303" s="14" t="str">
        <x:v>reviewed</x:v>
      </x:c>
    </x:row>
    <x:row r="304" ht="26" customHeight="1">
      <x:c r="A304" s="14" t="str">
        <x:v>name-colony-phasis-city-grc-ancient</x:v>
      </x:c>
      <x:c r="B304" s="14" t="str">
        <x:v>colony-phasis-city</x:v>
      </x:c>
      <x:c r="C304" s="14" t="str">
        <x:v>Φᾶσις</x:v>
      </x:c>
      <x:c r="D304" s="14" t="str">
        <x:v>grc</x:v>
      </x:c>
      <x:c r="E304" s="14" t="str">
        <x:v>Grek</x:v>
      </x:c>
      <x:c r="F304" s="14" t="str">
        <x:v>ancient</x:v>
      </x:c>
      <x:c r="G304" s="20" t="b">
        <x:v>0</x:v>
      </x:c>
      <x:c r="H304" s="21"/>
      <x:c r="I304" s="21"/>
      <x:c r="J304" s="14" t="str">
        <x:v>src-pleiades-857275</x:v>
      </x:c>
      <x:c r="K304" s="14" t="str">
        <x:v>reviewed</x:v>
      </x:c>
    </x:row>
    <x:row r="305" ht="26" customHeight="1">
      <x:c r="A305" s="14" t="str">
        <x:v>name-colony-philippi-el-preferred</x:v>
      </x:c>
      <x:c r="B305" s="14" t="str">
        <x:v>colony-philippi</x:v>
      </x:c>
      <x:c r="C305" s="14" t="str">
        <x:v>Φίλιπποι</x:v>
      </x:c>
      <x:c r="D305" s="14" t="str">
        <x:v>el</x:v>
      </x:c>
      <x:c r="E305" s="14" t="str">
        <x:v>Grek</x:v>
      </x:c>
      <x:c r="F305" s="14" t="str">
        <x:v>preferred</x:v>
      </x:c>
      <x:c r="G305" s="20" t="b">
        <x:v>1</x:v>
      </x:c>
      <x:c r="H305" s="21"/>
      <x:c r="I305" s="21"/>
      <x:c r="J305" s="14" t="str">
        <x:v>src-pleiades-501482</x:v>
      </x:c>
      <x:c r="K305" s="14" t="str">
        <x:v>reviewed</x:v>
      </x:c>
    </x:row>
    <x:row r="306" ht="26" customHeight="1">
      <x:c r="A306" s="14" t="str">
        <x:v>name-colony-philippi-en-preferred</x:v>
      </x:c>
      <x:c r="B306" s="14" t="str">
        <x:v>colony-philippi</x:v>
      </x:c>
      <x:c r="C306" s="14" t="str">
        <x:v>Philippi</x:v>
      </x:c>
      <x:c r="D306" s="14" t="str">
        <x:v>en</x:v>
      </x:c>
      <x:c r="E306" s="14" t="str">
        <x:v>Latn</x:v>
      </x:c>
      <x:c r="F306" s="14" t="str">
        <x:v>preferred</x:v>
      </x:c>
      <x:c r="G306" s="20" t="b">
        <x:v>1</x:v>
      </x:c>
      <x:c r="H306" s="21"/>
      <x:c r="I306" s="21"/>
      <x:c r="J306" s="14" t="str">
        <x:v>src-pleiades-501482</x:v>
      </x:c>
      <x:c r="K306" s="14" t="str">
        <x:v>reviewed</x:v>
      </x:c>
    </x:row>
    <x:row r="307" ht="26" customHeight="1">
      <x:c r="A307" s="14" t="str">
        <x:v>name-colony-philippi-grc-ancient</x:v>
      </x:c>
      <x:c r="B307" s="14" t="str">
        <x:v>colony-philippi</x:v>
      </x:c>
      <x:c r="C307" s="14" t="str">
        <x:v>Φίλιπποι</x:v>
      </x:c>
      <x:c r="D307" s="14" t="str">
        <x:v>grc</x:v>
      </x:c>
      <x:c r="E307" s="14" t="str">
        <x:v>Grek</x:v>
      </x:c>
      <x:c r="F307" s="14" t="str">
        <x:v>ancient</x:v>
      </x:c>
      <x:c r="G307" s="20" t="b">
        <x:v>0</x:v>
      </x:c>
      <x:c r="H307" s="21"/>
      <x:c r="I307" s="21"/>
      <x:c r="J307" s="14" t="str">
        <x:v>src-pleiades-501482</x:v>
      </x:c>
      <x:c r="K307" s="14" t="str">
        <x:v>reviewed</x:v>
      </x:c>
    </x:row>
    <x:row r="308" ht="26" customHeight="1">
      <x:c r="A308" s="14" t="str">
        <x:v>name-colony-phocaea-el-preferred</x:v>
      </x:c>
      <x:c r="B308" s="14" t="str">
        <x:v>colony-phocaea</x:v>
      </x:c>
      <x:c r="C308" s="14" t="str">
        <x:v>Φώκαια</x:v>
      </x:c>
      <x:c r="D308" s="14" t="str">
        <x:v>el</x:v>
      </x:c>
      <x:c r="E308" s="14" t="str">
        <x:v>Grek</x:v>
      </x:c>
      <x:c r="F308" s="14" t="str">
        <x:v>preferred</x:v>
      </x:c>
      <x:c r="G308" s="20" t="b">
        <x:v>1</x:v>
      </x:c>
      <x:c r="H308" s="21"/>
      <x:c r="I308" s="21"/>
      <x:c r="J308" s="14" t="str">
        <x:v>src-pleiades-550823</x:v>
      </x:c>
      <x:c r="K308" s="14" t="str">
        <x:v>reviewed</x:v>
      </x:c>
    </x:row>
    <x:row r="309" ht="26" customHeight="1">
      <x:c r="A309" s="14" t="str">
        <x:v>name-colony-phocaea-en-preferred</x:v>
      </x:c>
      <x:c r="B309" s="14" t="str">
        <x:v>colony-phocaea</x:v>
      </x:c>
      <x:c r="C309" s="14" t="str">
        <x:v>Phocaea</x:v>
      </x:c>
      <x:c r="D309" s="14" t="str">
        <x:v>en</x:v>
      </x:c>
      <x:c r="E309" s="14" t="str">
        <x:v>Latn</x:v>
      </x:c>
      <x:c r="F309" s="14" t="str">
        <x:v>preferred</x:v>
      </x:c>
      <x:c r="G309" s="20" t="b">
        <x:v>1</x:v>
      </x:c>
      <x:c r="H309" s="21"/>
      <x:c r="I309" s="21"/>
      <x:c r="J309" s="14" t="str">
        <x:v>src-pleiades-550823</x:v>
      </x:c>
      <x:c r="K309" s="14" t="str">
        <x:v>reviewed</x:v>
      </x:c>
    </x:row>
    <x:row r="310" ht="26" customHeight="1">
      <x:c r="A310" s="14" t="str">
        <x:v>name-colony-phocaea-grc-ancient</x:v>
      </x:c>
      <x:c r="B310" s="14" t="str">
        <x:v>colony-phocaea</x:v>
      </x:c>
      <x:c r="C310" s="14" t="str">
        <x:v>Φώκαια</x:v>
      </x:c>
      <x:c r="D310" s="14" t="str">
        <x:v>grc</x:v>
      </x:c>
      <x:c r="E310" s="14" t="str">
        <x:v>Grek</x:v>
      </x:c>
      <x:c r="F310" s="14" t="str">
        <x:v>ancient</x:v>
      </x:c>
      <x:c r="G310" s="20" t="b">
        <x:v>0</x:v>
      </x:c>
      <x:c r="H310" s="21"/>
      <x:c r="I310" s="21"/>
      <x:c r="J310" s="14" t="str">
        <x:v>src-pleiades-550823</x:v>
      </x:c>
      <x:c r="K310" s="14" t="str">
        <x:v>reviewed</x:v>
      </x:c>
    </x:row>
    <x:row r="311" ht="26" customHeight="1">
      <x:c r="A311" s="14" t="str">
        <x:v>name-colony-poseidonia-el-preferred</x:v>
      </x:c>
      <x:c r="B311" s="14" t="str">
        <x:v>colony-poseidonia</x:v>
      </x:c>
      <x:c r="C311" s="14" t="str">
        <x:v>Ποσειδωνία</x:v>
      </x:c>
      <x:c r="D311" s="14" t="str">
        <x:v>el</x:v>
      </x:c>
      <x:c r="E311" s="14" t="str">
        <x:v>Grek</x:v>
      </x:c>
      <x:c r="F311" s="14" t="str">
        <x:v>preferred</x:v>
      </x:c>
      <x:c r="G311" s="20" t="b">
        <x:v>1</x:v>
      </x:c>
      <x:c r="H311" s="21"/>
      <x:c r="I311" s="21"/>
      <x:c r="J311" s="14" t="str">
        <x:v>src-pleiades-442733</x:v>
      </x:c>
      <x:c r="K311" s="14" t="str">
        <x:v>reviewed</x:v>
      </x:c>
    </x:row>
    <x:row r="312" ht="26" customHeight="1">
      <x:c r="A312" s="14" t="str">
        <x:v>name-colony-poseidonia-en-preferred</x:v>
      </x:c>
      <x:c r="B312" s="14" t="str">
        <x:v>colony-poseidonia</x:v>
      </x:c>
      <x:c r="C312" s="14" t="str">
        <x:v>Poseidonia</x:v>
      </x:c>
      <x:c r="D312" s="14" t="str">
        <x:v>en</x:v>
      </x:c>
      <x:c r="E312" s="14" t="str">
        <x:v>Latn</x:v>
      </x:c>
      <x:c r="F312" s="14" t="str">
        <x:v>preferred</x:v>
      </x:c>
      <x:c r="G312" s="20" t="b">
        <x:v>1</x:v>
      </x:c>
      <x:c r="H312" s="21"/>
      <x:c r="I312" s="21"/>
      <x:c r="J312" s="14" t="str">
        <x:v>src-pleiades-442733</x:v>
      </x:c>
      <x:c r="K312" s="14" t="str">
        <x:v>reviewed</x:v>
      </x:c>
    </x:row>
    <x:row r="313" ht="26" customHeight="1">
      <x:c r="A313" s="14" t="str">
        <x:v>name-colony-poseidonia-grc-ancient</x:v>
      </x:c>
      <x:c r="B313" s="14" t="str">
        <x:v>colony-poseidonia</x:v>
      </x:c>
      <x:c r="C313" s="14" t="str">
        <x:v>Ποσειδωνία</x:v>
      </x:c>
      <x:c r="D313" s="14" t="str">
        <x:v>grc</x:v>
      </x:c>
      <x:c r="E313" s="14" t="str">
        <x:v>Grek</x:v>
      </x:c>
      <x:c r="F313" s="14" t="str">
        <x:v>ancient</x:v>
      </x:c>
      <x:c r="G313" s="20" t="b">
        <x:v>0</x:v>
      </x:c>
      <x:c r="H313" s="21"/>
      <x:c r="I313" s="21"/>
      <x:c r="J313" s="14" t="str">
        <x:v>src-pleiades-442733</x:v>
      </x:c>
      <x:c r="K313" s="14" t="str">
        <x:v>reviewed</x:v>
      </x:c>
    </x:row>
    <x:row r="314" ht="26" customHeight="1">
      <x:c r="A314" s="14" t="str">
        <x:v>name-colony-priene-el-preferred</x:v>
      </x:c>
      <x:c r="B314" s="14" t="str">
        <x:v>colony-priene</x:v>
      </x:c>
      <x:c r="C314" s="14" t="str">
        <x:v>Πριήνη</x:v>
      </x:c>
      <x:c r="D314" s="14" t="str">
        <x:v>el</x:v>
      </x:c>
      <x:c r="E314" s="14" t="str">
        <x:v>Grek</x:v>
      </x:c>
      <x:c r="F314" s="14" t="str">
        <x:v>preferred</x:v>
      </x:c>
      <x:c r="G314" s="20" t="b">
        <x:v>1</x:v>
      </x:c>
      <x:c r="H314" s="21"/>
      <x:c r="I314" s="21"/>
      <x:c r="J314" s="14" t="str">
        <x:v>src-pleiades-599905</x:v>
      </x:c>
      <x:c r="K314" s="14" t="str">
        <x:v>reviewed</x:v>
      </x:c>
    </x:row>
    <x:row r="315" ht="26" customHeight="1">
      <x:c r="A315" s="14" t="str">
        <x:v>name-colony-priene-en-preferred</x:v>
      </x:c>
      <x:c r="B315" s="14" t="str">
        <x:v>colony-priene</x:v>
      </x:c>
      <x:c r="C315" s="14" t="str">
        <x:v>Priene</x:v>
      </x:c>
      <x:c r="D315" s="14" t="str">
        <x:v>en</x:v>
      </x:c>
      <x:c r="E315" s="14" t="str">
        <x:v>Latn</x:v>
      </x:c>
      <x:c r="F315" s="14" t="str">
        <x:v>preferred</x:v>
      </x:c>
      <x:c r="G315" s="20" t="b">
        <x:v>1</x:v>
      </x:c>
      <x:c r="H315" s="21"/>
      <x:c r="I315" s="21"/>
      <x:c r="J315" s="14" t="str">
        <x:v>src-pleiades-599905</x:v>
      </x:c>
      <x:c r="K315" s="14" t="str">
        <x:v>reviewed</x:v>
      </x:c>
    </x:row>
    <x:row r="316" ht="26" customHeight="1">
      <x:c r="A316" s="14" t="str">
        <x:v>name-colony-priene-grc-ancient</x:v>
      </x:c>
      <x:c r="B316" s="14" t="str">
        <x:v>colony-priene</x:v>
      </x:c>
      <x:c r="C316" s="14" t="str">
        <x:v>Πριήνη</x:v>
      </x:c>
      <x:c r="D316" s="14" t="str">
        <x:v>grc</x:v>
      </x:c>
      <x:c r="E316" s="14" t="str">
        <x:v>Grek</x:v>
      </x:c>
      <x:c r="F316" s="14" t="str">
        <x:v>ancient</x:v>
      </x:c>
      <x:c r="G316" s="20" t="b">
        <x:v>0</x:v>
      </x:c>
      <x:c r="H316" s="21"/>
      <x:c r="I316" s="21"/>
      <x:c r="J316" s="14" t="str">
        <x:v>src-pleiades-599905</x:v>
      </x:c>
      <x:c r="K316" s="14" t="str">
        <x:v>reviewed</x:v>
      </x:c>
    </x:row>
    <x:row r="317" ht="26" customHeight="1">
      <x:c r="A317" s="14" t="str">
        <x:v>name-colony-rhegion-el-preferred</x:v>
      </x:c>
      <x:c r="B317" s="14" t="str">
        <x:v>colony-rhegion</x:v>
      </x:c>
      <x:c r="C317" s="14" t="str">
        <x:v>Ρήγιο</x:v>
      </x:c>
      <x:c r="D317" s="14" t="str">
        <x:v>el</x:v>
      </x:c>
      <x:c r="E317" s="14" t="str">
        <x:v>Grek</x:v>
      </x:c>
      <x:c r="F317" s="14" t="str">
        <x:v>preferred</x:v>
      </x:c>
      <x:c r="G317" s="20" t="b">
        <x:v>1</x:v>
      </x:c>
      <x:c r="H317" s="21"/>
      <x:c r="I317" s="21"/>
      <x:c r="J317" s="14" t="str">
        <x:v>src-pleiades-452416</x:v>
      </x:c>
      <x:c r="K317" s="14" t="str">
        <x:v>reviewed</x:v>
      </x:c>
    </x:row>
    <x:row r="318" ht="26" customHeight="1">
      <x:c r="A318" s="14" t="str">
        <x:v>name-colony-rhegion-en-preferred</x:v>
      </x:c>
      <x:c r="B318" s="14" t="str">
        <x:v>colony-rhegion</x:v>
      </x:c>
      <x:c r="C318" s="14" t="str">
        <x:v>Rhegion</x:v>
      </x:c>
      <x:c r="D318" s="14" t="str">
        <x:v>en</x:v>
      </x:c>
      <x:c r="E318" s="14" t="str">
        <x:v>Latn</x:v>
      </x:c>
      <x:c r="F318" s="14" t="str">
        <x:v>preferred</x:v>
      </x:c>
      <x:c r="G318" s="20" t="b">
        <x:v>1</x:v>
      </x:c>
      <x:c r="H318" s="21"/>
      <x:c r="I318" s="21"/>
      <x:c r="J318" s="14" t="str">
        <x:v>src-pleiades-452416</x:v>
      </x:c>
      <x:c r="K318" s="14" t="str">
        <x:v>reviewed</x:v>
      </x:c>
    </x:row>
    <x:row r="319" ht="26" customHeight="1">
      <x:c r="A319" s="14" t="str">
        <x:v>name-colony-rhegion-grc-ancient</x:v>
      </x:c>
      <x:c r="B319" s="14" t="str">
        <x:v>colony-rhegion</x:v>
      </x:c>
      <x:c r="C319" s="14" t="str">
        <x:v>Ῥήγιον</x:v>
      </x:c>
      <x:c r="D319" s="14" t="str">
        <x:v>grc</x:v>
      </x:c>
      <x:c r="E319" s="14" t="str">
        <x:v>Grek</x:v>
      </x:c>
      <x:c r="F319" s="14" t="str">
        <x:v>ancient</x:v>
      </x:c>
      <x:c r="G319" s="20" t="b">
        <x:v>0</x:v>
      </x:c>
      <x:c r="H319" s="21"/>
      <x:c r="I319" s="21"/>
      <x:c r="J319" s="14" t="str">
        <x:v>src-pleiades-452416</x:v>
      </x:c>
      <x:c r="K319" s="14" t="str">
        <x:v>reviewed</x:v>
      </x:c>
    </x:row>
    <x:row r="320" ht="26" customHeight="1">
      <x:c r="A320" s="14" t="str">
        <x:v>name-colony-selinus-el-preferred</x:v>
      </x:c>
      <x:c r="B320" s="14" t="str">
        <x:v>colony-selinus</x:v>
      </x:c>
      <x:c r="C320" s="14" t="str">
        <x:v>Σελινούντας</x:v>
      </x:c>
      <x:c r="D320" s="14" t="str">
        <x:v>el</x:v>
      </x:c>
      <x:c r="E320" s="14" t="str">
        <x:v>Grek</x:v>
      </x:c>
      <x:c r="F320" s="14" t="str">
        <x:v>preferred</x:v>
      </x:c>
      <x:c r="G320" s="20" t="b">
        <x:v>1</x:v>
      </x:c>
      <x:c r="H320" s="21"/>
      <x:c r="I320" s="21"/>
      <x:c r="J320" s="14" t="str">
        <x:v>src-pleiades-462489</x:v>
      </x:c>
      <x:c r="K320" s="14" t="str">
        <x:v>reviewed</x:v>
      </x:c>
    </x:row>
    <x:row r="321" ht="26" customHeight="1">
      <x:c r="A321" s="14" t="str">
        <x:v>name-colony-selinus-en-preferred</x:v>
      </x:c>
      <x:c r="B321" s="14" t="str">
        <x:v>colony-selinus</x:v>
      </x:c>
      <x:c r="C321" s="14" t="str">
        <x:v>Selinus</x:v>
      </x:c>
      <x:c r="D321" s="14" t="str">
        <x:v>en</x:v>
      </x:c>
      <x:c r="E321" s="14" t="str">
        <x:v>Latn</x:v>
      </x:c>
      <x:c r="F321" s="14" t="str">
        <x:v>preferred</x:v>
      </x:c>
      <x:c r="G321" s="20" t="b">
        <x:v>1</x:v>
      </x:c>
      <x:c r="H321" s="21"/>
      <x:c r="I321" s="21"/>
      <x:c r="J321" s="14" t="str">
        <x:v>src-pleiades-462489</x:v>
      </x:c>
      <x:c r="K321" s="14" t="str">
        <x:v>reviewed</x:v>
      </x:c>
    </x:row>
    <x:row r="322" ht="26" customHeight="1">
      <x:c r="A322" s="14" t="str">
        <x:v>name-colony-selinus-grc-ancient</x:v>
      </x:c>
      <x:c r="B322" s="14" t="str">
        <x:v>colony-selinus</x:v>
      </x:c>
      <x:c r="C322" s="14" t="str">
        <x:v>Σελινοῦς</x:v>
      </x:c>
      <x:c r="D322" s="14" t="str">
        <x:v>grc</x:v>
      </x:c>
      <x:c r="E322" s="14" t="str">
        <x:v>Grek</x:v>
      </x:c>
      <x:c r="F322" s="14" t="str">
        <x:v>ancient</x:v>
      </x:c>
      <x:c r="G322" s="20" t="b">
        <x:v>0</x:v>
      </x:c>
      <x:c r="H322" s="21"/>
      <x:c r="I322" s="21"/>
      <x:c r="J322" s="14" t="str">
        <x:v>src-pleiades-462489</x:v>
      </x:c>
      <x:c r="K322" s="14" t="str">
        <x:v>reviewed</x:v>
      </x:c>
    </x:row>
    <x:row r="323" ht="26" customHeight="1">
      <x:c r="A323" s="14" t="str">
        <x:v>name-colony-sinope-el-preferred</x:v>
      </x:c>
      <x:c r="B323" s="14" t="str">
        <x:v>colony-sinope</x:v>
      </x:c>
      <x:c r="C323" s="14" t="str">
        <x:v>Σινώπη</x:v>
      </x:c>
      <x:c r="D323" s="14" t="str">
        <x:v>el</x:v>
      </x:c>
      <x:c r="E323" s="14" t="str">
        <x:v>Grek</x:v>
      </x:c>
      <x:c r="F323" s="14" t="str">
        <x:v>preferred</x:v>
      </x:c>
      <x:c r="G323" s="20" t="b">
        <x:v>1</x:v>
      </x:c>
      <x:c r="H323" s="21"/>
      <x:c r="I323" s="21"/>
      <x:c r="J323" s="14" t="str">
        <x:v>src-pleiades-857321</x:v>
      </x:c>
      <x:c r="K323" s="14" t="str">
        <x:v>reviewed</x:v>
      </x:c>
    </x:row>
    <x:row r="324" ht="26" customHeight="1">
      <x:c r="A324" s="14" t="str">
        <x:v>name-colony-sinope-en-preferred</x:v>
      </x:c>
      <x:c r="B324" s="14" t="str">
        <x:v>colony-sinope</x:v>
      </x:c>
      <x:c r="C324" s="14" t="str">
        <x:v>Sinope</x:v>
      </x:c>
      <x:c r="D324" s="14" t="str">
        <x:v>en</x:v>
      </x:c>
      <x:c r="E324" s="14" t="str">
        <x:v>Latn</x:v>
      </x:c>
      <x:c r="F324" s="14" t="str">
        <x:v>preferred</x:v>
      </x:c>
      <x:c r="G324" s="20" t="b">
        <x:v>1</x:v>
      </x:c>
      <x:c r="H324" s="21"/>
      <x:c r="I324" s="21"/>
      <x:c r="J324" s="14" t="str">
        <x:v>src-pleiades-857321</x:v>
      </x:c>
      <x:c r="K324" s="14" t="str">
        <x:v>reviewed</x:v>
      </x:c>
    </x:row>
    <x:row r="325" ht="26" customHeight="1">
      <x:c r="A325" s="14" t="str">
        <x:v>name-colony-sinope-grc-ancient</x:v>
      </x:c>
      <x:c r="B325" s="14" t="str">
        <x:v>colony-sinope</x:v>
      </x:c>
      <x:c r="C325" s="14" t="str">
        <x:v>Σινώπη</x:v>
      </x:c>
      <x:c r="D325" s="14" t="str">
        <x:v>grc</x:v>
      </x:c>
      <x:c r="E325" s="14" t="str">
        <x:v>Grek</x:v>
      </x:c>
      <x:c r="F325" s="14" t="str">
        <x:v>ancient</x:v>
      </x:c>
      <x:c r="G325" s="20" t="b">
        <x:v>0</x:v>
      </x:c>
      <x:c r="H325" s="21"/>
      <x:c r="I325" s="21"/>
      <x:c r="J325" s="14" t="str">
        <x:v>src-pleiades-857321</x:v>
      </x:c>
      <x:c r="K325" s="14" t="str">
        <x:v>reviewed</x:v>
      </x:c>
    </x:row>
    <x:row r="326" ht="26" customHeight="1">
      <x:c r="A326" s="14" t="str">
        <x:v>name-colony-sybaris-el-preferred</x:v>
      </x:c>
      <x:c r="B326" s="14" t="str">
        <x:v>colony-sybaris</x:v>
      </x:c>
      <x:c r="C326" s="14" t="str">
        <x:v>Σύβαρις</x:v>
      </x:c>
      <x:c r="D326" s="14" t="str">
        <x:v>el</x:v>
      </x:c>
      <x:c r="E326" s="14" t="str">
        <x:v>Grek</x:v>
      </x:c>
      <x:c r="F326" s="14" t="str">
        <x:v>preferred</x:v>
      </x:c>
      <x:c r="G326" s="20" t="b">
        <x:v>1</x:v>
      </x:c>
      <x:c r="H326" s="21"/>
      <x:c r="I326" s="21"/>
      <x:c r="J326" s="14" t="str">
        <x:v>src-pleiades-452457</x:v>
      </x:c>
      <x:c r="K326" s="14" t="str">
        <x:v>reviewed</x:v>
      </x:c>
    </x:row>
    <x:row r="327" ht="26" customHeight="1">
      <x:c r="A327" s="14" t="str">
        <x:v>name-colony-sybaris-en-preferred</x:v>
      </x:c>
      <x:c r="B327" s="14" t="str">
        <x:v>colony-sybaris</x:v>
      </x:c>
      <x:c r="C327" s="14" t="str">
        <x:v>Sybaris</x:v>
      </x:c>
      <x:c r="D327" s="14" t="str">
        <x:v>en</x:v>
      </x:c>
      <x:c r="E327" s="14" t="str">
        <x:v>Latn</x:v>
      </x:c>
      <x:c r="F327" s="14" t="str">
        <x:v>preferred</x:v>
      </x:c>
      <x:c r="G327" s="20" t="b">
        <x:v>1</x:v>
      </x:c>
      <x:c r="H327" s="21"/>
      <x:c r="I327" s="21"/>
      <x:c r="J327" s="14" t="str">
        <x:v>src-pleiades-452457</x:v>
      </x:c>
      <x:c r="K327" s="14" t="str">
        <x:v>reviewed</x:v>
      </x:c>
    </x:row>
    <x:row r="328" ht="26" customHeight="1">
      <x:c r="A328" s="14" t="str">
        <x:v>name-colony-sybaris-grc-ancient</x:v>
      </x:c>
      <x:c r="B328" s="14" t="str">
        <x:v>colony-sybaris</x:v>
      </x:c>
      <x:c r="C328" s="14" t="str">
        <x:v>Σύβαρις</x:v>
      </x:c>
      <x:c r="D328" s="14" t="str">
        <x:v>grc</x:v>
      </x:c>
      <x:c r="E328" s="14" t="str">
        <x:v>Grek</x:v>
      </x:c>
      <x:c r="F328" s="14" t="str">
        <x:v>ancient</x:v>
      </x:c>
      <x:c r="G328" s="20" t="b">
        <x:v>0</x:v>
      </x:c>
      <x:c r="H328" s="21"/>
      <x:c r="I328" s="21"/>
      <x:c r="J328" s="14" t="str">
        <x:v>src-pleiades-452457</x:v>
      </x:c>
      <x:c r="K328" s="14" t="str">
        <x:v>reviewed</x:v>
      </x:c>
    </x:row>
    <x:row r="329" ht="26" customHeight="1">
      <x:c r="A329" s="14" t="str">
        <x:v>name-colony-syracuse-el-preferred</x:v>
      </x:c>
      <x:c r="B329" s="14" t="str">
        <x:v>colony-syracuse</x:v>
      </x:c>
      <x:c r="C329" s="14" t="str">
        <x:v>Συρακούσες</x:v>
      </x:c>
      <x:c r="D329" s="14" t="str">
        <x:v>el</x:v>
      </x:c>
      <x:c r="E329" s="14" t="str">
        <x:v>Grek</x:v>
      </x:c>
      <x:c r="F329" s="14" t="str">
        <x:v>preferred</x:v>
      </x:c>
      <x:c r="G329" s="20" t="b">
        <x:v>1</x:v>
      </x:c>
      <x:c r="H329" s="21"/>
      <x:c r="I329" s="21"/>
      <x:c r="J329" s="14" t="str">
        <x:v>src-pleiades-462503</x:v>
      </x:c>
      <x:c r="K329" s="14" t="str">
        <x:v>reviewed</x:v>
      </x:c>
    </x:row>
    <x:row r="330" ht="26" customHeight="1">
      <x:c r="A330" s="14" t="str">
        <x:v>name-colony-syracuse-en-preferred</x:v>
      </x:c>
      <x:c r="B330" s="14" t="str">
        <x:v>colony-syracuse</x:v>
      </x:c>
      <x:c r="C330" s="14" t="str">
        <x:v>Syracuse</x:v>
      </x:c>
      <x:c r="D330" s="14" t="str">
        <x:v>en</x:v>
      </x:c>
      <x:c r="E330" s="14" t="str">
        <x:v>Latn</x:v>
      </x:c>
      <x:c r="F330" s="14" t="str">
        <x:v>preferred</x:v>
      </x:c>
      <x:c r="G330" s="20" t="b">
        <x:v>1</x:v>
      </x:c>
      <x:c r="H330" s="21"/>
      <x:c r="I330" s="21"/>
      <x:c r="J330" s="14" t="str">
        <x:v>src-pleiades-462503</x:v>
      </x:c>
      <x:c r="K330" s="14" t="str">
        <x:v>reviewed</x:v>
      </x:c>
    </x:row>
    <x:row r="331" ht="26" customHeight="1">
      <x:c r="A331" s="14" t="str">
        <x:v>name-colony-syracuse-grc-ancient</x:v>
      </x:c>
      <x:c r="B331" s="14" t="str">
        <x:v>colony-syracuse</x:v>
      </x:c>
      <x:c r="C331" s="14" t="str">
        <x:v>Συράκουσαι</x:v>
      </x:c>
      <x:c r="D331" s="14" t="str">
        <x:v>grc</x:v>
      </x:c>
      <x:c r="E331" s="14" t="str">
        <x:v>Grek</x:v>
      </x:c>
      <x:c r="F331" s="14" t="str">
        <x:v>ancient</x:v>
      </x:c>
      <x:c r="G331" s="20" t="b">
        <x:v>0</x:v>
      </x:c>
      <x:c r="H331" s="21"/>
      <x:c r="I331" s="21"/>
      <x:c r="J331" s="14" t="str">
        <x:v>src-pleiades-462503</x:v>
      </x:c>
      <x:c r="K331" s="14" t="str">
        <x:v>reviewed</x:v>
      </x:c>
    </x:row>
    <x:row r="332" ht="26" customHeight="1">
      <x:c r="A332" s="14" t="str">
        <x:v>name-colony-tanais-el-preferred</x:v>
      </x:c>
      <x:c r="B332" s="14" t="str">
        <x:v>colony-tanais</x:v>
      </x:c>
      <x:c r="C332" s="14" t="str">
        <x:v>Τάναϊς</x:v>
      </x:c>
      <x:c r="D332" s="14" t="str">
        <x:v>el</x:v>
      </x:c>
      <x:c r="E332" s="14" t="str">
        <x:v>Grek</x:v>
      </x:c>
      <x:c r="F332" s="14" t="str">
        <x:v>preferred</x:v>
      </x:c>
      <x:c r="G332" s="20" t="b">
        <x:v>1</x:v>
      </x:c>
      <x:c r="H332" s="21"/>
      <x:c r="I332" s="21"/>
      <x:c r="J332" s="14" t="str">
        <x:v>src-pleiades-825397</x:v>
      </x:c>
      <x:c r="K332" s="14" t="str">
        <x:v>reviewed</x:v>
      </x:c>
    </x:row>
    <x:row r="333" ht="26" customHeight="1">
      <x:c r="A333" s="14" t="str">
        <x:v>name-colony-tanais-en-preferred</x:v>
      </x:c>
      <x:c r="B333" s="14" t="str">
        <x:v>colony-tanais</x:v>
      </x:c>
      <x:c r="C333" s="14" t="str">
        <x:v>Tanais</x:v>
      </x:c>
      <x:c r="D333" s="14" t="str">
        <x:v>en</x:v>
      </x:c>
      <x:c r="E333" s="14" t="str">
        <x:v>Latn</x:v>
      </x:c>
      <x:c r="F333" s="14" t="str">
        <x:v>preferred</x:v>
      </x:c>
      <x:c r="G333" s="20" t="b">
        <x:v>1</x:v>
      </x:c>
      <x:c r="H333" s="21"/>
      <x:c r="I333" s="21"/>
      <x:c r="J333" s="14" t="str">
        <x:v>src-pleiades-825397</x:v>
      </x:c>
      <x:c r="K333" s="14" t="str">
        <x:v>reviewed</x:v>
      </x:c>
    </x:row>
    <x:row r="334" ht="26" customHeight="1">
      <x:c r="A334" s="14" t="str">
        <x:v>name-colony-tanais-grc-ancient</x:v>
      </x:c>
      <x:c r="B334" s="14" t="str">
        <x:v>colony-tanais</x:v>
      </x:c>
      <x:c r="C334" s="14" t="str">
        <x:v>Τάναϊς</x:v>
      </x:c>
      <x:c r="D334" s="14" t="str">
        <x:v>grc</x:v>
      </x:c>
      <x:c r="E334" s="14" t="str">
        <x:v>Grek</x:v>
      </x:c>
      <x:c r="F334" s="14" t="str">
        <x:v>ancient</x:v>
      </x:c>
      <x:c r="G334" s="20" t="b">
        <x:v>0</x:v>
      </x:c>
      <x:c r="H334" s="21"/>
      <x:c r="I334" s="21"/>
      <x:c r="J334" s="14" t="str">
        <x:v>src-pleiades-825397</x:v>
      </x:c>
      <x:c r="K334" s="14" t="str">
        <x:v>reviewed</x:v>
      </x:c>
    </x:row>
    <x:row r="335" ht="26" customHeight="1">
      <x:c r="A335" s="14" t="str">
        <x:v>name-colony-taras-el-preferred</x:v>
      </x:c>
      <x:c r="B335" s="14" t="str">
        <x:v>colony-taras</x:v>
      </x:c>
      <x:c r="C335" s="14" t="str">
        <x:v>Τάρας</x:v>
      </x:c>
      <x:c r="D335" s="14" t="str">
        <x:v>el</x:v>
      </x:c>
      <x:c r="E335" s="14" t="str">
        <x:v>Grek</x:v>
      </x:c>
      <x:c r="F335" s="14" t="str">
        <x:v>preferred</x:v>
      </x:c>
      <x:c r="G335" s="20" t="b">
        <x:v>1</x:v>
      </x:c>
      <x:c r="H335" s="21"/>
      <x:c r="I335" s="21"/>
      <x:c r="J335" s="14" t="str">
        <x:v>src-pleiades-442810</x:v>
      </x:c>
      <x:c r="K335" s="14" t="str">
        <x:v>reviewed</x:v>
      </x:c>
    </x:row>
    <x:row r="336" ht="26" customHeight="1">
      <x:c r="A336" s="14" t="str">
        <x:v>name-colony-taras-en-preferred</x:v>
      </x:c>
      <x:c r="B336" s="14" t="str">
        <x:v>colony-taras</x:v>
      </x:c>
      <x:c r="C336" s="14" t="str">
        <x:v>Taras</x:v>
      </x:c>
      <x:c r="D336" s="14" t="str">
        <x:v>en</x:v>
      </x:c>
      <x:c r="E336" s="14" t="str">
        <x:v>Latn</x:v>
      </x:c>
      <x:c r="F336" s="14" t="str">
        <x:v>preferred</x:v>
      </x:c>
      <x:c r="G336" s="20" t="b">
        <x:v>1</x:v>
      </x:c>
      <x:c r="H336" s="21"/>
      <x:c r="I336" s="21"/>
      <x:c r="J336" s="14" t="str">
        <x:v>src-pleiades-442810</x:v>
      </x:c>
      <x:c r="K336" s="14" t="str">
        <x:v>reviewed</x:v>
      </x:c>
    </x:row>
    <x:row r="337" ht="26" customHeight="1">
      <x:c r="A337" s="14" t="str">
        <x:v>name-colony-taras-grc-ancient</x:v>
      </x:c>
      <x:c r="B337" s="14" t="str">
        <x:v>colony-taras</x:v>
      </x:c>
      <x:c r="C337" s="14" t="str">
        <x:v>Τάρας</x:v>
      </x:c>
      <x:c r="D337" s="14" t="str">
        <x:v>grc</x:v>
      </x:c>
      <x:c r="E337" s="14" t="str">
        <x:v>Grek</x:v>
      </x:c>
      <x:c r="F337" s="14" t="str">
        <x:v>ancient</x:v>
      </x:c>
      <x:c r="G337" s="20" t="b">
        <x:v>0</x:v>
      </x:c>
      <x:c r="H337" s="21"/>
      <x:c r="I337" s="21"/>
      <x:c r="J337" s="14" t="str">
        <x:v>src-pleiades-442810</x:v>
      </x:c>
      <x:c r="K337" s="14" t="str">
        <x:v>reviewed</x:v>
      </x:c>
    </x:row>
    <x:row r="338" ht="26" customHeight="1">
      <x:c r="A338" s="14" t="str">
        <x:v>name-colony-taucheira-el-preferred</x:v>
      </x:c>
      <x:c r="B338" s="14" t="str">
        <x:v>colony-taucheira</x:v>
      </x:c>
      <x:c r="C338" s="14" t="str">
        <x:v>Ταύχειρα</x:v>
      </x:c>
      <x:c r="D338" s="14" t="str">
        <x:v>el</x:v>
      </x:c>
      <x:c r="E338" s="14" t="str">
        <x:v>Grek</x:v>
      </x:c>
      <x:c r="F338" s="14" t="str">
        <x:v>preferred</x:v>
      </x:c>
      <x:c r="G338" s="20" t="b">
        <x:v>1</x:v>
      </x:c>
      <x:c r="H338" s="21"/>
      <x:c r="I338" s="21"/>
      <x:c r="J338" s="14" t="str">
        <x:v>src-pleiades-373736</x:v>
      </x:c>
      <x:c r="K338" s="14" t="str">
        <x:v>reviewed</x:v>
      </x:c>
    </x:row>
    <x:row r="339" ht="26" customHeight="1">
      <x:c r="A339" s="14" t="str">
        <x:v>name-colony-taucheira-en-preferred</x:v>
      </x:c>
      <x:c r="B339" s="14" t="str">
        <x:v>colony-taucheira</x:v>
      </x:c>
      <x:c r="C339" s="14" t="str">
        <x:v>Taucheira</x:v>
      </x:c>
      <x:c r="D339" s="14" t="str">
        <x:v>en</x:v>
      </x:c>
      <x:c r="E339" s="14" t="str">
        <x:v>Latn</x:v>
      </x:c>
      <x:c r="F339" s="14" t="str">
        <x:v>preferred</x:v>
      </x:c>
      <x:c r="G339" s="20" t="b">
        <x:v>1</x:v>
      </x:c>
      <x:c r="H339" s="21"/>
      <x:c r="I339" s="21"/>
      <x:c r="J339" s="14" t="str">
        <x:v>src-pleiades-373736</x:v>
      </x:c>
      <x:c r="K339" s="14" t="str">
        <x:v>reviewed</x:v>
      </x:c>
    </x:row>
    <x:row r="340" ht="26" customHeight="1">
      <x:c r="A340" s="14" t="str">
        <x:v>name-colony-taucheira-grc-ancient</x:v>
      </x:c>
      <x:c r="B340" s="14" t="str">
        <x:v>colony-taucheira</x:v>
      </x:c>
      <x:c r="C340" s="14" t="str">
        <x:v>Ταύχειρα</x:v>
      </x:c>
      <x:c r="D340" s="14" t="str">
        <x:v>grc</x:v>
      </x:c>
      <x:c r="E340" s="14" t="str">
        <x:v>Grek</x:v>
      </x:c>
      <x:c r="F340" s="14" t="str">
        <x:v>ancient</x:v>
      </x:c>
      <x:c r="G340" s="20" t="b">
        <x:v>0</x:v>
      </x:c>
      <x:c r="H340" s="21"/>
      <x:c r="I340" s="21"/>
      <x:c r="J340" s="14" t="str">
        <x:v>src-pleiades-373736</x:v>
      </x:c>
      <x:c r="K340" s="14" t="str">
        <x:v>reviewed</x:v>
      </x:c>
    </x:row>
    <x:row r="341" ht="26" customHeight="1">
      <x:c r="A341" s="14" t="str">
        <x:v>name-colony-teos-el-preferred</x:v>
      </x:c>
      <x:c r="B341" s="14" t="str">
        <x:v>colony-teos</x:v>
      </x:c>
      <x:c r="C341" s="14" t="str">
        <x:v>Τέως</x:v>
      </x:c>
      <x:c r="D341" s="14" t="str">
        <x:v>el</x:v>
      </x:c>
      <x:c r="E341" s="14" t="str">
        <x:v>Grek</x:v>
      </x:c>
      <x:c r="F341" s="14" t="str">
        <x:v>preferred</x:v>
      </x:c>
      <x:c r="G341" s="20" t="b">
        <x:v>1</x:v>
      </x:c>
      <x:c r="H341" s="21"/>
      <x:c r="I341" s="21"/>
      <x:c r="J341" s="14" t="str">
        <x:v>src-pleiades-550913</x:v>
      </x:c>
      <x:c r="K341" s="14" t="str">
        <x:v>reviewed</x:v>
      </x:c>
    </x:row>
    <x:row r="342" ht="26" customHeight="1">
      <x:c r="A342" s="14" t="str">
        <x:v>name-colony-teos-en-preferred</x:v>
      </x:c>
      <x:c r="B342" s="14" t="str">
        <x:v>colony-teos</x:v>
      </x:c>
      <x:c r="C342" s="14" t="str">
        <x:v>Teos</x:v>
      </x:c>
      <x:c r="D342" s="14" t="str">
        <x:v>en</x:v>
      </x:c>
      <x:c r="E342" s="14" t="str">
        <x:v>Latn</x:v>
      </x:c>
      <x:c r="F342" s="14" t="str">
        <x:v>preferred</x:v>
      </x:c>
      <x:c r="G342" s="20" t="b">
        <x:v>1</x:v>
      </x:c>
      <x:c r="H342" s="21"/>
      <x:c r="I342" s="21"/>
      <x:c r="J342" s="14" t="str">
        <x:v>src-pleiades-550913</x:v>
      </x:c>
      <x:c r="K342" s="14" t="str">
        <x:v>reviewed</x:v>
      </x:c>
    </x:row>
    <x:row r="343" ht="26" customHeight="1">
      <x:c r="A343" s="14" t="str">
        <x:v>name-colony-teos-grc-ancient</x:v>
      </x:c>
      <x:c r="B343" s="14" t="str">
        <x:v>colony-teos</x:v>
      </x:c>
      <x:c r="C343" s="14" t="str">
        <x:v>Τέως</x:v>
      </x:c>
      <x:c r="D343" s="14" t="str">
        <x:v>grc</x:v>
      </x:c>
      <x:c r="E343" s="14" t="str">
        <x:v>Grek</x:v>
      </x:c>
      <x:c r="F343" s="14" t="str">
        <x:v>ancient</x:v>
      </x:c>
      <x:c r="G343" s="20" t="b">
        <x:v>0</x:v>
      </x:c>
      <x:c r="H343" s="21"/>
      <x:c r="I343" s="21"/>
      <x:c r="J343" s="14" t="str">
        <x:v>src-pleiades-550913</x:v>
      </x:c>
      <x:c r="K343" s="14" t="str">
        <x:v>reviewed</x:v>
      </x:c>
    </x:row>
    <x:row r="344" ht="26" customHeight="1">
      <x:c r="A344" s="14" t="str">
        <x:v>name-colony-theodosia-crimea-el-preferred</x:v>
      </x:c>
      <x:c r="B344" s="14" t="str">
        <x:v>colony-theodosia-crimea</x:v>
      </x:c>
      <x:c r="C344" s="14" t="str">
        <x:v>Θεοδοσία</x:v>
      </x:c>
      <x:c r="D344" s="14" t="str">
        <x:v>el</x:v>
      </x:c>
      <x:c r="E344" s="14" t="str">
        <x:v>Grek</x:v>
      </x:c>
      <x:c r="F344" s="14" t="str">
        <x:v>preferred</x:v>
      </x:c>
      <x:c r="G344" s="20" t="b">
        <x:v>1</x:v>
      </x:c>
      <x:c r="H344" s="21"/>
      <x:c r="I344" s="21"/>
      <x:c r="J344" s="14" t="str">
        <x:v>src-pleiades-854743</x:v>
      </x:c>
      <x:c r="K344" s="14" t="str">
        <x:v>reviewed</x:v>
      </x:c>
    </x:row>
    <x:row r="345" ht="26" customHeight="1">
      <x:c r="A345" s="14" t="str">
        <x:v>name-colony-theodosia-crimea-en-preferred</x:v>
      </x:c>
      <x:c r="B345" s="14" t="str">
        <x:v>colony-theodosia-crimea</x:v>
      </x:c>
      <x:c r="C345" s="14" t="str">
        <x:v>Theodosia</x:v>
      </x:c>
      <x:c r="D345" s="14" t="str">
        <x:v>en</x:v>
      </x:c>
      <x:c r="E345" s="14" t="str">
        <x:v>Latn</x:v>
      </x:c>
      <x:c r="F345" s="14" t="str">
        <x:v>preferred</x:v>
      </x:c>
      <x:c r="G345" s="20" t="b">
        <x:v>1</x:v>
      </x:c>
      <x:c r="H345" s="21"/>
      <x:c r="I345" s="21"/>
      <x:c r="J345" s="14" t="str">
        <x:v>src-pleiades-854743</x:v>
      </x:c>
      <x:c r="K345" s="14" t="str">
        <x:v>reviewed</x:v>
      </x:c>
    </x:row>
    <x:row r="346" ht="26" customHeight="1">
      <x:c r="A346" s="14" t="str">
        <x:v>name-colony-theodosia-crimea-grc-ancient</x:v>
      </x:c>
      <x:c r="B346" s="14" t="str">
        <x:v>colony-theodosia-crimea</x:v>
      </x:c>
      <x:c r="C346" s="14" t="str">
        <x:v>Θεοδοσία</x:v>
      </x:c>
      <x:c r="D346" s="14" t="str">
        <x:v>grc</x:v>
      </x:c>
      <x:c r="E346" s="14" t="str">
        <x:v>Grek</x:v>
      </x:c>
      <x:c r="F346" s="14" t="str">
        <x:v>ancient</x:v>
      </x:c>
      <x:c r="G346" s="20" t="b">
        <x:v>0</x:v>
      </x:c>
      <x:c r="H346" s="21"/>
      <x:c r="I346" s="21"/>
      <x:c r="J346" s="14" t="str">
        <x:v>src-pleiades-854743</x:v>
      </x:c>
      <x:c r="K346" s="14" t="str">
        <x:v>reviewed</x:v>
      </x:c>
    </x:row>
    <x:row r="347" ht="26" customHeight="1">
      <x:c r="A347" s="14" t="str">
        <x:v>name-colony-tomis-el-preferred</x:v>
      </x:c>
      <x:c r="B347" s="14" t="str">
        <x:v>colony-tomis</x:v>
      </x:c>
      <x:c r="C347" s="14" t="str">
        <x:v>Τόμις</x:v>
      </x:c>
      <x:c r="D347" s="14" t="str">
        <x:v>el</x:v>
      </x:c>
      <x:c r="E347" s="14" t="str">
        <x:v>Grek</x:v>
      </x:c>
      <x:c r="F347" s="14" t="str">
        <x:v>preferred</x:v>
      </x:c>
      <x:c r="G347" s="20" t="b">
        <x:v>1</x:v>
      </x:c>
      <x:c r="H347" s="21"/>
      <x:c r="I347" s="21"/>
      <x:c r="J347" s="14" t="str">
        <x:v>src-pleiades-217016</x:v>
      </x:c>
      <x:c r="K347" s="14" t="str">
        <x:v>reviewed</x:v>
      </x:c>
    </x:row>
    <x:row r="348" ht="26" customHeight="1">
      <x:c r="A348" s="14" t="str">
        <x:v>name-colony-tomis-en-preferred</x:v>
      </x:c>
      <x:c r="B348" s="14" t="str">
        <x:v>colony-tomis</x:v>
      </x:c>
      <x:c r="C348" s="14" t="str">
        <x:v>Tomis</x:v>
      </x:c>
      <x:c r="D348" s="14" t="str">
        <x:v>en</x:v>
      </x:c>
      <x:c r="E348" s="14" t="str">
        <x:v>Latn</x:v>
      </x:c>
      <x:c r="F348" s="14" t="str">
        <x:v>preferred</x:v>
      </x:c>
      <x:c r="G348" s="20" t="b">
        <x:v>1</x:v>
      </x:c>
      <x:c r="H348" s="21"/>
      <x:c r="I348" s="21"/>
      <x:c r="J348" s="14" t="str">
        <x:v>src-pleiades-217016</x:v>
      </x:c>
      <x:c r="K348" s="14" t="str">
        <x:v>reviewed</x:v>
      </x:c>
    </x:row>
    <x:row r="349" ht="26" customHeight="1">
      <x:c r="A349" s="14" t="str">
        <x:v>name-colony-tomis-grc-ancient</x:v>
      </x:c>
      <x:c r="B349" s="14" t="str">
        <x:v>colony-tomis</x:v>
      </x:c>
      <x:c r="C349" s="14" t="str">
        <x:v>Τόμις</x:v>
      </x:c>
      <x:c r="D349" s="14" t="str">
        <x:v>grc</x:v>
      </x:c>
      <x:c r="E349" s="14" t="str">
        <x:v>Grek</x:v>
      </x:c>
      <x:c r="F349" s="14" t="str">
        <x:v>ancient</x:v>
      </x:c>
      <x:c r="G349" s="20" t="b">
        <x:v>0</x:v>
      </x:c>
      <x:c r="H349" s="21"/>
      <x:c r="I349" s="21"/>
      <x:c r="J349" s="14" t="str">
        <x:v>src-pleiades-217016</x:v>
      </x:c>
      <x:c r="K349" s="14" t="str">
        <x:v>reviewed</x:v>
      </x:c>
    </x:row>
    <x:row r="350" ht="26" customHeight="1">
      <x:c r="A350" s="14" t="str">
        <x:v>name-colony-tragurion-el-preferred</x:v>
      </x:c>
      <x:c r="B350" s="14" t="str">
        <x:v>colony-tragurion</x:v>
      </x:c>
      <x:c r="C350" s="14" t="str">
        <x:v>Τραγούριον</x:v>
      </x:c>
      <x:c r="D350" s="14" t="str">
        <x:v>el</x:v>
      </x:c>
      <x:c r="E350" s="14" t="str">
        <x:v>Grek</x:v>
      </x:c>
      <x:c r="F350" s="14" t="str">
        <x:v>preferred</x:v>
      </x:c>
      <x:c r="G350" s="20" t="b">
        <x:v>1</x:v>
      </x:c>
      <x:c r="H350" s="21"/>
      <x:c r="I350" s="21"/>
      <x:c r="J350" s="14" t="str">
        <x:v>src-pleiades-197555</x:v>
      </x:c>
      <x:c r="K350" s="14" t="str">
        <x:v>reviewed</x:v>
      </x:c>
    </x:row>
    <x:row r="351" ht="26" customHeight="1">
      <x:c r="A351" s="14" t="str">
        <x:v>name-colony-tragurion-en-preferred</x:v>
      </x:c>
      <x:c r="B351" s="14" t="str">
        <x:v>colony-tragurion</x:v>
      </x:c>
      <x:c r="C351" s="14" t="str">
        <x:v>Tragurion</x:v>
      </x:c>
      <x:c r="D351" s="14" t="str">
        <x:v>en</x:v>
      </x:c>
      <x:c r="E351" s="14" t="str">
        <x:v>Latn</x:v>
      </x:c>
      <x:c r="F351" s="14" t="str">
        <x:v>preferred</x:v>
      </x:c>
      <x:c r="G351" s="20" t="b">
        <x:v>1</x:v>
      </x:c>
      <x:c r="H351" s="21"/>
      <x:c r="I351" s="21"/>
      <x:c r="J351" s="14" t="str">
        <x:v>src-pleiades-197555</x:v>
      </x:c>
      <x:c r="K351" s="14" t="str">
        <x:v>reviewed</x:v>
      </x:c>
    </x:row>
    <x:row r="352" ht="26" customHeight="1">
      <x:c r="A352" s="14" t="str">
        <x:v>name-colony-tragurion-grc-ancient</x:v>
      </x:c>
      <x:c r="B352" s="14" t="str">
        <x:v>colony-tragurion</x:v>
      </x:c>
      <x:c r="C352" s="14" t="str">
        <x:v>Τραγούριον</x:v>
      </x:c>
      <x:c r="D352" s="14" t="str">
        <x:v>grc</x:v>
      </x:c>
      <x:c r="E352" s="14" t="str">
        <x:v>Grek</x:v>
      </x:c>
      <x:c r="F352" s="14" t="str">
        <x:v>ancient</x:v>
      </x:c>
      <x:c r="G352" s="20" t="b">
        <x:v>0</x:v>
      </x:c>
      <x:c r="H352" s="21"/>
      <x:c r="I352" s="21"/>
      <x:c r="J352" s="14" t="str">
        <x:v>src-pleiades-197555</x:v>
      </x:c>
      <x:c r="K352" s="14" t="str">
        <x:v>reviewed</x:v>
      </x:c>
    </x:row>
    <x:row r="353" ht="26" customHeight="1">
      <x:c r="A353" s="14" t="str">
        <x:v>name-colony-trapezus-el-preferred</x:v>
      </x:c>
      <x:c r="B353" s="14" t="str">
        <x:v>colony-trapezus</x:v>
      </x:c>
      <x:c r="C353" s="14" t="str">
        <x:v>Τραπεζούντα</x:v>
      </x:c>
      <x:c r="D353" s="14" t="str">
        <x:v>el</x:v>
      </x:c>
      <x:c r="E353" s="14" t="str">
        <x:v>Grek</x:v>
      </x:c>
      <x:c r="F353" s="14" t="str">
        <x:v>preferred</x:v>
      </x:c>
      <x:c r="G353" s="20" t="b">
        <x:v>1</x:v>
      </x:c>
      <x:c r="H353" s="21"/>
      <x:c r="I353" s="21"/>
      <x:c r="J353" s="14" t="str">
        <x:v>src-pleiades-857359</x:v>
      </x:c>
      <x:c r="K353" s="14" t="str">
        <x:v>reviewed</x:v>
      </x:c>
    </x:row>
    <x:row r="354" ht="26" customHeight="1">
      <x:c r="A354" s="14" t="str">
        <x:v>name-colony-trapezus-en-preferred</x:v>
      </x:c>
      <x:c r="B354" s="14" t="str">
        <x:v>colony-trapezus</x:v>
      </x:c>
      <x:c r="C354" s="14" t="str">
        <x:v>Trapezus</x:v>
      </x:c>
      <x:c r="D354" s="14" t="str">
        <x:v>en</x:v>
      </x:c>
      <x:c r="E354" s="14" t="str">
        <x:v>Latn</x:v>
      </x:c>
      <x:c r="F354" s="14" t="str">
        <x:v>preferred</x:v>
      </x:c>
      <x:c r="G354" s="20" t="b">
        <x:v>1</x:v>
      </x:c>
      <x:c r="H354" s="21"/>
      <x:c r="I354" s="21"/>
      <x:c r="J354" s="14" t="str">
        <x:v>src-pleiades-857359</x:v>
      </x:c>
      <x:c r="K354" s="14" t="str">
        <x:v>reviewed</x:v>
      </x:c>
    </x:row>
    <x:row r="355" ht="26" customHeight="1">
      <x:c r="A355" s="14" t="str">
        <x:v>name-colony-trapezus-grc-ancient</x:v>
      </x:c>
      <x:c r="B355" s="14" t="str">
        <x:v>colony-trapezus</x:v>
      </x:c>
      <x:c r="C355" s="14" t="str">
        <x:v>Τραπεζοῦς</x:v>
      </x:c>
      <x:c r="D355" s="14" t="str">
        <x:v>grc</x:v>
      </x:c>
      <x:c r="E355" s="14" t="str">
        <x:v>Grek</x:v>
      </x:c>
      <x:c r="F355" s="14" t="str">
        <x:v>ancient</x:v>
      </x:c>
      <x:c r="G355" s="20" t="b">
        <x:v>0</x:v>
      </x:c>
      <x:c r="H355" s="21"/>
      <x:c r="I355" s="21"/>
      <x:c r="J355" s="14" t="str">
        <x:v>src-pleiades-857359</x:v>
      </x:c>
      <x:c r="K355" s="14" t="str">
        <x:v>reviewed</x:v>
      </x:c>
    </x:row>
    <x:row r="356" ht="26" customHeight="1">
      <x:c r="A356" s="14" t="str">
        <x:v>name-colony-tyras-el-preferred</x:v>
      </x:c>
      <x:c r="B356" s="14" t="str">
        <x:v>colony-tyras</x:v>
      </x:c>
      <x:c r="C356" s="14" t="str">
        <x:v>Τύρας</x:v>
      </x:c>
      <x:c r="D356" s="14" t="str">
        <x:v>el</x:v>
      </x:c>
      <x:c r="E356" s="14" t="str">
        <x:v>Grek</x:v>
      </x:c>
      <x:c r="F356" s="14" t="str">
        <x:v>preferred</x:v>
      </x:c>
      <x:c r="G356" s="20" t="b">
        <x:v>1</x:v>
      </x:c>
      <x:c r="H356" s="21"/>
      <x:c r="I356" s="21"/>
      <x:c r="J356" s="14" t="str">
        <x:v>src-pleiades-226800</x:v>
      </x:c>
      <x:c r="K356" s="14" t="str">
        <x:v>reviewed</x:v>
      </x:c>
    </x:row>
    <x:row r="357" ht="26" customHeight="1">
      <x:c r="A357" s="14" t="str">
        <x:v>name-colony-tyras-en-preferred</x:v>
      </x:c>
      <x:c r="B357" s="14" t="str">
        <x:v>colony-tyras</x:v>
      </x:c>
      <x:c r="C357" s="14" t="str">
        <x:v>Tyras</x:v>
      </x:c>
      <x:c r="D357" s="14" t="str">
        <x:v>en</x:v>
      </x:c>
      <x:c r="E357" s="14" t="str">
        <x:v>Latn</x:v>
      </x:c>
      <x:c r="F357" s="14" t="str">
        <x:v>preferred</x:v>
      </x:c>
      <x:c r="G357" s="20" t="b">
        <x:v>1</x:v>
      </x:c>
      <x:c r="H357" s="21"/>
      <x:c r="I357" s="21"/>
      <x:c r="J357" s="14" t="str">
        <x:v>src-pleiades-226800</x:v>
      </x:c>
      <x:c r="K357" s="14" t="str">
        <x:v>reviewed</x:v>
      </x:c>
    </x:row>
    <x:row r="358" ht="26" customHeight="1">
      <x:c r="A358" s="14" t="str">
        <x:v>name-colony-tyras-grc-ancient</x:v>
      </x:c>
      <x:c r="B358" s="14" t="str">
        <x:v>colony-tyras</x:v>
      </x:c>
      <x:c r="C358" s="14" t="str">
        <x:v>Τύρας</x:v>
      </x:c>
      <x:c r="D358" s="14" t="str">
        <x:v>grc</x:v>
      </x:c>
      <x:c r="E358" s="14" t="str">
        <x:v>Grek</x:v>
      </x:c>
      <x:c r="F358" s="14" t="str">
        <x:v>ancient</x:v>
      </x:c>
      <x:c r="G358" s="20" t="b">
        <x:v>0</x:v>
      </x:c>
      <x:c r="H358" s="21"/>
      <x:c r="I358" s="21"/>
      <x:c r="J358" s="14" t="str">
        <x:v>src-pleiades-226800</x:v>
      </x:c>
      <x:c r="K358" s="14" t="str">
        <x:v>reviewed</x:v>
      </x:c>
    </x:row>
    <x:row r="359" ht="26" customHeight="1">
      <x:c r="A359" s="14" t="str">
        <x:v>name-colony-zancle-messana-el-preferred</x:v>
      </x:c>
      <x:c r="B359" s="14" t="str">
        <x:v>colony-zancle-messana</x:v>
      </x:c>
      <x:c r="C359" s="14" t="str">
        <x:v>Ζάγκλη</x:v>
      </x:c>
      <x:c r="D359" s="14" t="str">
        <x:v>el</x:v>
      </x:c>
      <x:c r="E359" s="14" t="str">
        <x:v>Grek</x:v>
      </x:c>
      <x:c r="F359" s="14" t="str">
        <x:v>preferred</x:v>
      </x:c>
      <x:c r="G359" s="20" t="b">
        <x:v>1</x:v>
      </x:c>
      <x:c r="H359" s="21"/>
      <x:c r="I359" s="21"/>
      <x:c r="J359" s="14" t="str">
        <x:v>src-pleiades-462538</x:v>
      </x:c>
      <x:c r="K359" s="14" t="str">
        <x:v>reviewed</x:v>
      </x:c>
    </x:row>
    <x:row r="360" ht="26" customHeight="1">
      <x:c r="A360" s="14" t="str">
        <x:v>name-colony-zancle-messana-en-preferred</x:v>
      </x:c>
      <x:c r="B360" s="14" t="str">
        <x:v>colony-zancle-messana</x:v>
      </x:c>
      <x:c r="C360" s="14" t="str">
        <x:v>Zancle</x:v>
      </x:c>
      <x:c r="D360" s="14" t="str">
        <x:v>en</x:v>
      </x:c>
      <x:c r="E360" s="14" t="str">
        <x:v>Latn</x:v>
      </x:c>
      <x:c r="F360" s="14" t="str">
        <x:v>preferred</x:v>
      </x:c>
      <x:c r="G360" s="20" t="b">
        <x:v>1</x:v>
      </x:c>
      <x:c r="H360" s="21"/>
      <x:c r="I360" s="21"/>
      <x:c r="J360" s="14" t="str">
        <x:v>src-pleiades-462538</x:v>
      </x:c>
      <x:c r="K360" s="14" t="str">
        <x:v>reviewed</x:v>
      </x:c>
    </x:row>
    <x:row r="361" ht="26" customHeight="1">
      <x:c r="A361" s="14" t="str">
        <x:v>name-colony-zancle-messana-grc-ancient</x:v>
      </x:c>
      <x:c r="B361" s="14" t="str">
        <x:v>colony-zancle-messana</x:v>
      </x:c>
      <x:c r="C361" s="14" t="str">
        <x:v>Ζάγκλη</x:v>
      </x:c>
      <x:c r="D361" s="14" t="str">
        <x:v>grc</x:v>
      </x:c>
      <x:c r="E361" s="14" t="str">
        <x:v>Grek</x:v>
      </x:c>
      <x:c r="F361" s="14" t="str">
        <x:v>ancient</x:v>
      </x:c>
      <x:c r="G361" s="20" t="b">
        <x:v>0</x:v>
      </x:c>
      <x:c r="H361" s="21"/>
      <x:c r="I361" s="21"/>
      <x:c r="J361" s="14" t="str">
        <x:v>src-pleiades-462538</x:v>
      </x:c>
      <x:c r="K361" s="14" t="str">
        <x:v>reviewed</x:v>
      </x:c>
    </x:row>
    <x:row r="362" ht="26" customHeight="1">
      <x:c r="A362" s="14" t="str">
        <x:v>name-kingdom-alexander-empire-el-preferred</x:v>
      </x:c>
      <x:c r="B362" s="14" t="str">
        <x:v>kingdom-alexander-empire</x:v>
      </x:c>
      <x:c r="C362" s="14" t="str">
        <x:v>Αυτοκρατορία του Αλεξάνδρου</x:v>
      </x:c>
      <x:c r="D362" s="14" t="str">
        <x:v>el</x:v>
      </x:c>
      <x:c r="E362" s="14" t="str">
        <x:v>Grek</x:v>
      </x:c>
      <x:c r="F362" s="14" t="str">
        <x:v>preferred</x:v>
      </x:c>
      <x:c r="G362" s="20" t="b">
        <x:v>1</x:v>
      </x:c>
      <x:c r="H362" s="21"/>
      <x:c r="I362" s="21"/>
      <x:c r="J362" s="14" t="str">
        <x:v>src-metmuseum-89019924e8c3</x:v>
      </x:c>
      <x:c r="K362" s="14" t="str">
        <x:v>reviewed</x:v>
      </x:c>
    </x:row>
    <x:row r="363" ht="26" customHeight="1">
      <x:c r="A363" s="14" t="str">
        <x:v>name-kingdom-alexander-empire-en-preferred</x:v>
      </x:c>
      <x:c r="B363" s="14" t="str">
        <x:v>kingdom-alexander-empire</x:v>
      </x:c>
      <x:c r="C363" s="14" t="str">
        <x:v>Empire of Alexander the Great</x:v>
      </x:c>
      <x:c r="D363" s="14" t="str">
        <x:v>en</x:v>
      </x:c>
      <x:c r="E363" s="14" t="str">
        <x:v>Latn</x:v>
      </x:c>
      <x:c r="F363" s="14" t="str">
        <x:v>preferred</x:v>
      </x:c>
      <x:c r="G363" s="20" t="b">
        <x:v>1</x:v>
      </x:c>
      <x:c r="H363" s="21"/>
      <x:c r="I363" s="21"/>
      <x:c r="J363" s="14" t="str">
        <x:v>src-metmuseum-89019924e8c3</x:v>
      </x:c>
      <x:c r="K363" s="14" t="str">
        <x:v>reviewed</x:v>
      </x:c>
    </x:row>
    <x:row r="364" ht="26" customHeight="1">
      <x:c r="A364" s="14" t="str">
        <x:v>name-kingdom-alexander-empire-grc-ancient</x:v>
      </x:c>
      <x:c r="B364" s="14" t="str">
        <x:v>kingdom-alexander-empire</x:v>
      </x:c>
      <x:c r="C364" s="14" t="str">
        <x:v>Ἀλέξανδρος βασιλεὺς Μακεδόνων</x:v>
      </x:c>
      <x:c r="D364" s="14" t="str">
        <x:v>grc</x:v>
      </x:c>
      <x:c r="E364" s="14" t="str">
        <x:v>Grek</x:v>
      </x:c>
      <x:c r="F364" s="14" t="str">
        <x:v>ancient</x:v>
      </x:c>
      <x:c r="G364" s="20" t="b">
        <x:v>0</x:v>
      </x:c>
      <x:c r="H364" s="21"/>
      <x:c r="I364" s="21"/>
      <x:c r="J364" s="14" t="str">
        <x:v>src-metmuseum-89019924e8c3</x:v>
      </x:c>
      <x:c r="K364" s="14" t="str">
        <x:v>reviewed</x:v>
      </x:c>
    </x:row>
    <x:row r="365" ht="26" customHeight="1">
      <x:c r="A365" s="14" t="str">
        <x:v>name-kingdom-athens-mycenaean-el-preferred</x:v>
      </x:c>
      <x:c r="B365" s="14" t="str">
        <x:v>kingdom-athens-mycenaean</x:v>
      </x:c>
      <x:c r="C365" s="14" t="str">
        <x:v>Μυκηναϊκό κέντρο της Αθήνας</x:v>
      </x:c>
      <x:c r="D365" s="14" t="str">
        <x:v>el</x:v>
      </x:c>
      <x:c r="E365" s="14" t="str">
        <x:v>Grek</x:v>
      </x:c>
      <x:c r="F365" s="14" t="str">
        <x:v>preferred</x:v>
      </x:c>
      <x:c r="G365" s="20" t="b">
        <x:v>1</x:v>
      </x:c>
      <x:c r="H365" s="21"/>
      <x:c r="I365" s="21"/>
      <x:c r="J365" s="14" t="str">
        <x:v>src-whc-228f1be9c035</x:v>
      </x:c>
      <x:c r="K365" s="14" t="str">
        <x:v>reviewed</x:v>
      </x:c>
    </x:row>
    <x:row r="366" ht="26" customHeight="1">
      <x:c r="A366" s="14" t="str">
        <x:v>name-kingdom-athens-mycenaean-en-preferred</x:v>
      </x:c>
      <x:c r="B366" s="14" t="str">
        <x:v>kingdom-athens-mycenaean</x:v>
      </x:c>
      <x:c r="C366" s="14" t="str">
        <x:v>Mycenaean Athens Polity</x:v>
      </x:c>
      <x:c r="D366" s="14" t="str">
        <x:v>en</x:v>
      </x:c>
      <x:c r="E366" s="14" t="str">
        <x:v>Latn</x:v>
      </x:c>
      <x:c r="F366" s="14" t="str">
        <x:v>preferred</x:v>
      </x:c>
      <x:c r="G366" s="20" t="b">
        <x:v>1</x:v>
      </x:c>
      <x:c r="H366" s="21"/>
      <x:c r="I366" s="21"/>
      <x:c r="J366" s="14" t="str">
        <x:v>src-whc-228f1be9c035</x:v>
      </x:c>
      <x:c r="K366" s="14" t="str">
        <x:v>reviewed</x:v>
      </x:c>
    </x:row>
    <x:row r="367" ht="26" customHeight="1">
      <x:c r="A367" s="14" t="str">
        <x:v>name-kingdom-athens-mycenaean-grc-ancient</x:v>
      </x:c>
      <x:c r="B367" s="14" t="str">
        <x:v>kingdom-athens-mycenaean</x:v>
      </x:c>
      <x:c r="C367" s="14" t="str">
        <x:v>Ἀθῆναι</x:v>
      </x:c>
      <x:c r="D367" s="14" t="str">
        <x:v>grc</x:v>
      </x:c>
      <x:c r="E367" s="14" t="str">
        <x:v>Grek</x:v>
      </x:c>
      <x:c r="F367" s="14" t="str">
        <x:v>ancient</x:v>
      </x:c>
      <x:c r="G367" s="20" t="b">
        <x:v>0</x:v>
      </x:c>
      <x:c r="H367" s="21"/>
      <x:c r="I367" s="21"/>
      <x:c r="J367" s="14" t="str">
        <x:v>src-whc-228f1be9c035</x:v>
      </x:c>
      <x:c r="K367" s="14" t="str">
        <x:v>reviewed</x:v>
      </x:c>
    </x:row>
    <x:row r="368" ht="26" customHeight="1">
      <x:c r="A368" s="14" t="str">
        <x:v>name-kingdom-attalid-pergamon-el-preferred</x:v>
      </x:c>
      <x:c r="B368" s="14" t="str">
        <x:v>kingdom-attalid-pergamon</x:v>
      </x:c>
      <x:c r="C368" s="14" t="str">
        <x:v>Βασίλειο της Περγάμου των Ατταλιδών</x:v>
      </x:c>
      <x:c r="D368" s="14" t="str">
        <x:v>el</x:v>
      </x:c>
      <x:c r="E368" s="14" t="str">
        <x:v>Grek</x:v>
      </x:c>
      <x:c r="F368" s="14" t="str">
        <x:v>preferred</x:v>
      </x:c>
      <x:c r="G368" s="20" t="b">
        <x:v>1</x:v>
      </x:c>
      <x:c r="H368" s="21"/>
      <x:c r="I368" s="21"/>
      <x:c r="J368" s="14" t="str">
        <x:v>src-metmuseum-50fe20dc493f</x:v>
      </x:c>
      <x:c r="K368" s="14" t="str">
        <x:v>reviewed</x:v>
      </x:c>
    </x:row>
    <x:row r="369" ht="26" customHeight="1">
      <x:c r="A369" s="14" t="str">
        <x:v>name-kingdom-attalid-pergamon-en-preferred</x:v>
      </x:c>
      <x:c r="B369" s="14" t="str">
        <x:v>kingdom-attalid-pergamon</x:v>
      </x:c>
      <x:c r="C369" s="14" t="str">
        <x:v>Attalid Kingdom of Pergamon</x:v>
      </x:c>
      <x:c r="D369" s="14" t="str">
        <x:v>en</x:v>
      </x:c>
      <x:c r="E369" s="14" t="str">
        <x:v>Latn</x:v>
      </x:c>
      <x:c r="F369" s="14" t="str">
        <x:v>preferred</x:v>
      </x:c>
      <x:c r="G369" s="20" t="b">
        <x:v>1</x:v>
      </x:c>
      <x:c r="H369" s="21"/>
      <x:c r="I369" s="21"/>
      <x:c r="J369" s="14" t="str">
        <x:v>src-metmuseum-50fe20dc493f</x:v>
      </x:c>
      <x:c r="K369" s="14" t="str">
        <x:v>reviewed</x:v>
      </x:c>
    </x:row>
    <x:row r="370" ht="26" customHeight="1">
      <x:c r="A370" s="14" t="str">
        <x:v>name-kingdom-attalid-pergamon-grc-ancient</x:v>
      </x:c>
      <x:c r="B370" s="14" t="str">
        <x:v>kingdom-attalid-pergamon</x:v>
      </x:c>
      <x:c r="C370" s="14" t="str">
        <x:v>Βασιλεία τῶν Ἀτταλιδῶν</x:v>
      </x:c>
      <x:c r="D370" s="14" t="str">
        <x:v>grc</x:v>
      </x:c>
      <x:c r="E370" s="14" t="str">
        <x:v>Grek</x:v>
      </x:c>
      <x:c r="F370" s="14" t="str">
        <x:v>ancient</x:v>
      </x:c>
      <x:c r="G370" s="20" t="b">
        <x:v>0</x:v>
      </x:c>
      <x:c r="H370" s="21"/>
      <x:c r="I370" s="21"/>
      <x:c r="J370" s="14" t="str">
        <x:v>src-metmuseum-50fe20dc493f</x:v>
      </x:c>
      <x:c r="K370" s="14" t="str">
        <x:v>reviewed</x:v>
      </x:c>
    </x:row>
    <x:row r="371" ht="26" customHeight="1">
      <x:c r="A371" s="14" t="str">
        <x:v>name-kingdom-bithynia-el-preferred</x:v>
      </x:c>
      <x:c r="B371" s="14" t="str">
        <x:v>kingdom-bithynia</x:v>
      </x:c>
      <x:c r="C371" s="14" t="str">
        <x:v>Βασίλειο της Βιθυνίας</x:v>
      </x:c>
      <x:c r="D371" s="14" t="str">
        <x:v>el</x:v>
      </x:c>
      <x:c r="E371" s="14" t="str">
        <x:v>Grek</x:v>
      </x:c>
      <x:c r="F371" s="14" t="str">
        <x:v>preferred</x:v>
      </x:c>
      <x:c r="G371" s="20" t="b">
        <x:v>1</x:v>
      </x:c>
      <x:c r="H371" s="21"/>
      <x:c r="I371" s="21"/>
      <x:c r="J371" s="14" t="str">
        <x:v>src-attalus-1b40f4436114</x:v>
      </x:c>
      <x:c r="K371" s="14" t="str">
        <x:v>reviewed</x:v>
      </x:c>
    </x:row>
    <x:row r="372" ht="26" customHeight="1">
      <x:c r="A372" s="14" t="str">
        <x:v>name-kingdom-bithynia-en-preferred</x:v>
      </x:c>
      <x:c r="B372" s="14" t="str">
        <x:v>kingdom-bithynia</x:v>
      </x:c>
      <x:c r="C372" s="14" t="str">
        <x:v>Kingdom of Bithynia</x:v>
      </x:c>
      <x:c r="D372" s="14" t="str">
        <x:v>en</x:v>
      </x:c>
      <x:c r="E372" s="14" t="str">
        <x:v>Latn</x:v>
      </x:c>
      <x:c r="F372" s="14" t="str">
        <x:v>preferred</x:v>
      </x:c>
      <x:c r="G372" s="20" t="b">
        <x:v>1</x:v>
      </x:c>
      <x:c r="H372" s="21"/>
      <x:c r="I372" s="21"/>
      <x:c r="J372" s="14" t="str">
        <x:v>src-attalus-1b40f4436114</x:v>
      </x:c>
      <x:c r="K372" s="14" t="str">
        <x:v>reviewed</x:v>
      </x:c>
    </x:row>
    <x:row r="373" ht="26" customHeight="1">
      <x:c r="A373" s="14" t="str">
        <x:v>name-kingdom-bithynia-grc-ancient</x:v>
      </x:c>
      <x:c r="B373" s="14" t="str">
        <x:v>kingdom-bithynia</x:v>
      </x:c>
      <x:c r="C373" s="14" t="str">
        <x:v>Βιθυνία</x:v>
      </x:c>
      <x:c r="D373" s="14" t="str">
        <x:v>grc</x:v>
      </x:c>
      <x:c r="E373" s="14" t="str">
        <x:v>Grek</x:v>
      </x:c>
      <x:c r="F373" s="14" t="str">
        <x:v>ancient</x:v>
      </x:c>
      <x:c r="G373" s="20" t="b">
        <x:v>0</x:v>
      </x:c>
      <x:c r="H373" s="21"/>
      <x:c r="I373" s="21"/>
      <x:c r="J373" s="14" t="str">
        <x:v>src-attalus-1b40f4436114</x:v>
      </x:c>
      <x:c r="K373" s="14" t="str">
        <x:v>reviewed</x:v>
      </x:c>
    </x:row>
    <x:row r="374" ht="26" customHeight="1">
      <x:c r="A374" s="14" t="str">
        <x:v>name-kingdom-bosporus-archaeanactid-el-preferred</x:v>
      </x:c>
      <x:c r="B374" s="14" t="str">
        <x:v>kingdom-bosporus-archaeanactid</x:v>
      </x:c>
      <x:c r="C374" s="14" t="str">
        <x:v>Βασίλειο του Κιμμερίου Βοσπόρου — Αρχαιανακτίδες</x:v>
      </x:c>
      <x:c r="D374" s="14" t="str">
        <x:v>el</x:v>
      </x:c>
      <x:c r="E374" s="14" t="str">
        <x:v>Grek</x:v>
      </x:c>
      <x:c r="F374" s="14" t="str">
        <x:v>preferred</x:v>
      </x:c>
      <x:c r="G374" s="20" t="b">
        <x:v>1</x:v>
      </x:c>
      <x:c r="H374" s="21"/>
      <x:c r="I374" s="21"/>
      <x:c r="J374" s="14" t="str">
        <x:v>src-iranicaonline-4a607235e191</x:v>
      </x:c>
      <x:c r="K374" s="14" t="str">
        <x:v>reviewed</x:v>
      </x:c>
    </x:row>
    <x:row r="375" ht="26" customHeight="1">
      <x:c r="A375" s="14" t="str">
        <x:v>name-kingdom-bosporus-archaeanactid-en-preferred</x:v>
      </x:c>
      <x:c r="B375" s="14" t="str">
        <x:v>kingdom-bosporus-archaeanactid</x:v>
      </x:c>
      <x:c r="C375" s="14" t="str">
        <x:v>Bosporan Kingdom — Archaeanactid Phase</x:v>
      </x:c>
      <x:c r="D375" s="14" t="str">
        <x:v>en</x:v>
      </x:c>
      <x:c r="E375" s="14" t="str">
        <x:v>Latn</x:v>
      </x:c>
      <x:c r="F375" s="14" t="str">
        <x:v>preferred</x:v>
      </x:c>
      <x:c r="G375" s="20" t="b">
        <x:v>1</x:v>
      </x:c>
      <x:c r="H375" s="21"/>
      <x:c r="I375" s="21"/>
      <x:c r="J375" s="14" t="str">
        <x:v>src-iranicaonline-4a607235e191</x:v>
      </x:c>
      <x:c r="K375" s="14" t="str">
        <x:v>reviewed</x:v>
      </x:c>
    </x:row>
    <x:row r="376" ht="26" customHeight="1">
      <x:c r="A376" s="14" t="str">
        <x:v>name-kingdom-bosporus-archaeanactid-grc-ancient</x:v>
      </x:c>
      <x:c r="B376" s="14" t="str">
        <x:v>kingdom-bosporus-archaeanactid</x:v>
      </x:c>
      <x:c r="C376" s="14" t="str">
        <x:v>Βασίλειον τοῦ Κιμμερικοῦ Βοσπόρου</x:v>
      </x:c>
      <x:c r="D376" s="14" t="str">
        <x:v>grc</x:v>
      </x:c>
      <x:c r="E376" s="14" t="str">
        <x:v>Grek</x:v>
      </x:c>
      <x:c r="F376" s="14" t="str">
        <x:v>ancient</x:v>
      </x:c>
      <x:c r="G376" s="20" t="b">
        <x:v>0</x:v>
      </x:c>
      <x:c r="H376" s="21"/>
      <x:c r="I376" s="21"/>
      <x:c r="J376" s="14" t="str">
        <x:v>src-iranicaonline-4a607235e191</x:v>
      </x:c>
      <x:c r="K376" s="14" t="str">
        <x:v>reviewed</x:v>
      </x:c>
    </x:row>
    <x:row r="377" ht="26" customHeight="1">
      <x:c r="A377" s="14" t="str">
        <x:v>name-kingdom-bosporus-mithridatic-el-preferred</x:v>
      </x:c>
      <x:c r="B377" s="14" t="str">
        <x:v>kingdom-bosporus-mithridatic</x:v>
      </x:c>
      <x:c r="C377" s="14" t="str">
        <x:v>Βασίλειο του Κιμμερίου Βοσπόρου — Μιθριδατική φάση</x:v>
      </x:c>
      <x:c r="D377" s="14" t="str">
        <x:v>el</x:v>
      </x:c>
      <x:c r="E377" s="14" t="str">
        <x:v>Grek</x:v>
      </x:c>
      <x:c r="F377" s="14" t="str">
        <x:v>preferred</x:v>
      </x:c>
      <x:c r="G377" s="20" t="b">
        <x:v>1</x:v>
      </x:c>
      <x:c r="H377" s="21"/>
      <x:c r="I377" s="21"/>
      <x:c r="J377" s="14" t="str">
        <x:v>src-iranicaonline-4a607235e191</x:v>
      </x:c>
      <x:c r="K377" s="14" t="str">
        <x:v>reviewed</x:v>
      </x:c>
    </x:row>
    <x:row r="378" ht="26" customHeight="1">
      <x:c r="A378" s="14" t="str">
        <x:v>name-kingdom-bosporus-mithridatic-en-preferred</x:v>
      </x:c>
      <x:c r="B378" s="14" t="str">
        <x:v>kingdom-bosporus-mithridatic</x:v>
      </x:c>
      <x:c r="C378" s="14" t="str">
        <x:v>Bosporan Kingdom — Mithridatic Phase</x:v>
      </x:c>
      <x:c r="D378" s="14" t="str">
        <x:v>en</x:v>
      </x:c>
      <x:c r="E378" s="14" t="str">
        <x:v>Latn</x:v>
      </x:c>
      <x:c r="F378" s="14" t="str">
        <x:v>preferred</x:v>
      </x:c>
      <x:c r="G378" s="20" t="b">
        <x:v>1</x:v>
      </x:c>
      <x:c r="H378" s="21"/>
      <x:c r="I378" s="21"/>
      <x:c r="J378" s="14" t="str">
        <x:v>src-iranicaonline-4a607235e191</x:v>
      </x:c>
      <x:c r="K378" s="14" t="str">
        <x:v>reviewed</x:v>
      </x:c>
    </x:row>
    <x:row r="379" ht="26" customHeight="1">
      <x:c r="A379" s="14" t="str">
        <x:v>name-kingdom-bosporus-mithridatic-grc-ancient</x:v>
      </x:c>
      <x:c r="B379" s="14" t="str">
        <x:v>kingdom-bosporus-mithridatic</x:v>
      </x:c>
      <x:c r="C379" s="14" t="str">
        <x:v>Βασίλειον τοῦ Κιμμερικοῦ Βοσπόρου</x:v>
      </x:c>
      <x:c r="D379" s="14" t="str">
        <x:v>grc</x:v>
      </x:c>
      <x:c r="E379" s="14" t="str">
        <x:v>Grek</x:v>
      </x:c>
      <x:c r="F379" s="14" t="str">
        <x:v>ancient</x:v>
      </x:c>
      <x:c r="G379" s="20" t="b">
        <x:v>0</x:v>
      </x:c>
      <x:c r="H379" s="21"/>
      <x:c r="I379" s="21"/>
      <x:c r="J379" s="14" t="str">
        <x:v>src-iranicaonline-4a607235e191</x:v>
      </x:c>
      <x:c r="K379" s="14" t="str">
        <x:v>reviewed</x:v>
      </x:c>
    </x:row>
    <x:row r="380" ht="26" customHeight="1">
      <x:c r="A380" s="14" t="str">
        <x:v>name-kingdom-bosporus-spartocid-el-preferred</x:v>
      </x:c>
      <x:c r="B380" s="14" t="str">
        <x:v>kingdom-bosporus-spartocid</x:v>
      </x:c>
      <x:c r="C380" s="14" t="str">
        <x:v>Βασίλειο του Κιμμερίου Βοσπόρου — Σπαρτοκίδες</x:v>
      </x:c>
      <x:c r="D380" s="14" t="str">
        <x:v>el</x:v>
      </x:c>
      <x:c r="E380" s="14" t="str">
        <x:v>Grek</x:v>
      </x:c>
      <x:c r="F380" s="14" t="str">
        <x:v>preferred</x:v>
      </x:c>
      <x:c r="G380" s="20" t="b">
        <x:v>1</x:v>
      </x:c>
      <x:c r="H380" s="21"/>
      <x:c r="I380" s="21"/>
      <x:c r="J380" s="14" t="str">
        <x:v>src-encyclopediaofukraine-237e86aa1350</x:v>
      </x:c>
      <x:c r="K380" s="14" t="str">
        <x:v>reviewed</x:v>
      </x:c>
    </x:row>
    <x:row r="381" ht="26" customHeight="1">
      <x:c r="A381" s="14" t="str">
        <x:v>name-kingdom-bosporus-spartocid-en-preferred</x:v>
      </x:c>
      <x:c r="B381" s="14" t="str">
        <x:v>kingdom-bosporus-spartocid</x:v>
      </x:c>
      <x:c r="C381" s="14" t="str">
        <x:v>Bosporan Kingdom — Spartocid Phase</x:v>
      </x:c>
      <x:c r="D381" s="14" t="str">
        <x:v>en</x:v>
      </x:c>
      <x:c r="E381" s="14" t="str">
        <x:v>Latn</x:v>
      </x:c>
      <x:c r="F381" s="14" t="str">
        <x:v>preferred</x:v>
      </x:c>
      <x:c r="G381" s="20" t="b">
        <x:v>1</x:v>
      </x:c>
      <x:c r="H381" s="21"/>
      <x:c r="I381" s="21"/>
      <x:c r="J381" s="14" t="str">
        <x:v>src-encyclopediaofukraine-237e86aa1350</x:v>
      </x:c>
      <x:c r="K381" s="14" t="str">
        <x:v>reviewed</x:v>
      </x:c>
    </x:row>
    <x:row r="382" ht="26" customHeight="1">
      <x:c r="A382" s="14" t="str">
        <x:v>name-kingdom-bosporus-spartocid-grc-ancient</x:v>
      </x:c>
      <x:c r="B382" s="14" t="str">
        <x:v>kingdom-bosporus-spartocid</x:v>
      </x:c>
      <x:c r="C382" s="14" t="str">
        <x:v>Βασίλειον τοῦ Κιμμερικοῦ Βοσπόρου</x:v>
      </x:c>
      <x:c r="D382" s="14" t="str">
        <x:v>grc</x:v>
      </x:c>
      <x:c r="E382" s="14" t="str">
        <x:v>Grek</x:v>
      </x:c>
      <x:c r="F382" s="14" t="str">
        <x:v>ancient</x:v>
      </x:c>
      <x:c r="G382" s="20" t="b">
        <x:v>0</x:v>
      </x:c>
      <x:c r="H382" s="21"/>
      <x:c r="I382" s="21"/>
      <x:c r="J382" s="14" t="str">
        <x:v>src-encyclopediaofukraine-237e86aa1350</x:v>
      </x:c>
      <x:c r="K382" s="14" t="str">
        <x:v>reviewed</x:v>
      </x:c>
    </x:row>
    <x:row r="383" ht="26" customHeight="1">
      <x:c r="A383" s="14" t="str">
        <x:v>name-kingdom-cappadocia-ariarathid-el-preferred</x:v>
      </x:c>
      <x:c r="B383" s="14" t="str">
        <x:v>kingdom-cappadocia-ariarathid</x:v>
      </x:c>
      <x:c r="C383" s="14" t="str">
        <x:v>Βασίλειο της Καππαδοκίας των Αριαραθιδών</x:v>
      </x:c>
      <x:c r="D383" s="14" t="str">
        <x:v>el</x:v>
      </x:c>
      <x:c r="E383" s="14" t="str">
        <x:v>Grek</x:v>
      </x:c>
      <x:c r="F383" s="14" t="str">
        <x:v>preferred</x:v>
      </x:c>
      <x:c r="G383" s="20" t="b">
        <x:v>1</x:v>
      </x:c>
      <x:c r="H383" s="21"/>
      <x:c r="I383" s="21"/>
      <x:c r="J383" s="14" t="str">
        <x:v>src-iranicaonline-0624b0b64cf3</x:v>
      </x:c>
      <x:c r="K383" s="14" t="str">
        <x:v>reviewed</x:v>
      </x:c>
    </x:row>
    <x:row r="384" ht="26" customHeight="1">
      <x:c r="A384" s="14" t="str">
        <x:v>name-kingdom-cappadocia-ariarathid-en-preferred</x:v>
      </x:c>
      <x:c r="B384" s="14" t="str">
        <x:v>kingdom-cappadocia-ariarathid</x:v>
      </x:c>
      <x:c r="C384" s="14" t="str">
        <x:v>Ariarathid Kingdom of Cappadocia</x:v>
      </x:c>
      <x:c r="D384" s="14" t="str">
        <x:v>en</x:v>
      </x:c>
      <x:c r="E384" s="14" t="str">
        <x:v>Latn</x:v>
      </x:c>
      <x:c r="F384" s="14" t="str">
        <x:v>preferred</x:v>
      </x:c>
      <x:c r="G384" s="20" t="b">
        <x:v>1</x:v>
      </x:c>
      <x:c r="H384" s="21"/>
      <x:c r="I384" s="21"/>
      <x:c r="J384" s="14" t="str">
        <x:v>src-iranicaonline-0624b0b64cf3</x:v>
      </x:c>
      <x:c r="K384" s="14" t="str">
        <x:v>reviewed</x:v>
      </x:c>
    </x:row>
    <x:row r="385" ht="26" customHeight="1">
      <x:c r="A385" s="14" t="str">
        <x:v>name-kingdom-cappadocia-ariarathid-grc-ancient</x:v>
      </x:c>
      <x:c r="B385" s="14" t="str">
        <x:v>kingdom-cappadocia-ariarathid</x:v>
      </x:c>
      <x:c r="C385" s="14" t="str">
        <x:v>Καππαδοκία</x:v>
      </x:c>
      <x:c r="D385" s="14" t="str">
        <x:v>grc</x:v>
      </x:c>
      <x:c r="E385" s="14" t="str">
        <x:v>Grek</x:v>
      </x:c>
      <x:c r="F385" s="14" t="str">
        <x:v>ancient</x:v>
      </x:c>
      <x:c r="G385" s="20" t="b">
        <x:v>0</x:v>
      </x:c>
      <x:c r="H385" s="21"/>
      <x:c r="I385" s="21"/>
      <x:c r="J385" s="14" t="str">
        <x:v>src-iranicaonline-0624b0b64cf3</x:v>
      </x:c>
      <x:c r="K385" s="14" t="str">
        <x:v>reviewed</x:v>
      </x:c>
    </x:row>
    <x:row r="386" ht="26" customHeight="1">
      <x:c r="A386" s="14" t="str">
        <x:v>name-kingdom-cappadocia-late-client-el-preferred</x:v>
      </x:c>
      <x:c r="B386" s="14" t="str">
        <x:v>kingdom-cappadocia-late-client</x:v>
      </x:c>
      <x:c r="C386" s="14" t="str">
        <x:v>Ύστερο Βασίλειο της Καππαδοκίας</x:v>
      </x:c>
      <x:c r="D386" s="14" t="str">
        <x:v>el</x:v>
      </x:c>
      <x:c r="E386" s="14" t="str">
        <x:v>Grek</x:v>
      </x:c>
      <x:c r="F386" s="14" t="str">
        <x:v>preferred</x:v>
      </x:c>
      <x:c r="G386" s="20" t="b">
        <x:v>1</x:v>
      </x:c>
      <x:c r="H386" s="21"/>
      <x:c r="I386" s="21"/>
      <x:c r="J386" s="14" t="str">
        <x:v>src-iranicaonline-0624b0b64cf3</x:v>
      </x:c>
      <x:c r="K386" s="14" t="str">
        <x:v>reviewed</x:v>
      </x:c>
    </x:row>
    <x:row r="387" ht="26" customHeight="1">
      <x:c r="A387" s="14" t="str">
        <x:v>name-kingdom-cappadocia-late-client-en-preferred</x:v>
      </x:c>
      <x:c r="B387" s="14" t="str">
        <x:v>kingdom-cappadocia-late-client</x:v>
      </x:c>
      <x:c r="C387" s="14" t="str">
        <x:v>Late Kingdom of Cappadocia</x:v>
      </x:c>
      <x:c r="D387" s="14" t="str">
        <x:v>en</x:v>
      </x:c>
      <x:c r="E387" s="14" t="str">
        <x:v>Latn</x:v>
      </x:c>
      <x:c r="F387" s="14" t="str">
        <x:v>preferred</x:v>
      </x:c>
      <x:c r="G387" s="20" t="b">
        <x:v>1</x:v>
      </x:c>
      <x:c r="H387" s="21"/>
      <x:c r="I387" s="21"/>
      <x:c r="J387" s="14" t="str">
        <x:v>src-iranicaonline-0624b0b64cf3</x:v>
      </x:c>
      <x:c r="K387" s="14" t="str">
        <x:v>reviewed</x:v>
      </x:c>
    </x:row>
    <x:row r="388" ht="26" customHeight="1">
      <x:c r="A388" s="14" t="str">
        <x:v>name-kingdom-cappadocia-late-client-grc-ancient</x:v>
      </x:c>
      <x:c r="B388" s="14" t="str">
        <x:v>kingdom-cappadocia-late-client</x:v>
      </x:c>
      <x:c r="C388" s="14" t="str">
        <x:v>Καππαδοκία</x:v>
      </x:c>
      <x:c r="D388" s="14" t="str">
        <x:v>grc</x:v>
      </x:c>
      <x:c r="E388" s="14" t="str">
        <x:v>Grek</x:v>
      </x:c>
      <x:c r="F388" s="14" t="str">
        <x:v>ancient</x:v>
      </x:c>
      <x:c r="G388" s="20" t="b">
        <x:v>0</x:v>
      </x:c>
      <x:c r="H388" s="21"/>
      <x:c r="I388" s="21"/>
      <x:c r="J388" s="14" t="str">
        <x:v>src-iranicaonline-0624b0b64cf3</x:v>
      </x:c>
      <x:c r="K388" s="14" t="str">
        <x:v>reviewed</x:v>
      </x:c>
    </x:row>
    <x:row r="389" ht="26" customHeight="1">
      <x:c r="A389" s="14" t="str">
        <x:v>name-kingdom-commagene-el-preferred</x:v>
      </x:c>
      <x:c r="B389" s="14" t="str">
        <x:v>kingdom-commagene</x:v>
      </x:c>
      <x:c r="C389" s="14" t="str">
        <x:v>Βασίλειο της Κομμαγηνής</x:v>
      </x:c>
      <x:c r="D389" s="14" t="str">
        <x:v>el</x:v>
      </x:c>
      <x:c r="E389" s="14" t="str">
        <x:v>Grek</x:v>
      </x:c>
      <x:c r="F389" s="14" t="str">
        <x:v>preferred</x:v>
      </x:c>
      <x:c r="G389" s="20" t="b">
        <x:v>1</x:v>
      </x:c>
      <x:c r="H389" s="21"/>
      <x:c r="I389" s="21"/>
      <x:c r="J389" s="14" t="str">
        <x:v>src-whc-758c2c416617</x:v>
      </x:c>
      <x:c r="K389" s="14" t="str">
        <x:v>reviewed</x:v>
      </x:c>
    </x:row>
    <x:row r="390" ht="26" customHeight="1">
      <x:c r="A390" s="14" t="str">
        <x:v>name-kingdom-commagene-en-preferred</x:v>
      </x:c>
      <x:c r="B390" s="14" t="str">
        <x:v>kingdom-commagene</x:v>
      </x:c>
      <x:c r="C390" s="14" t="str">
        <x:v>Kingdom of Commagene</x:v>
      </x:c>
      <x:c r="D390" s="14" t="str">
        <x:v>en</x:v>
      </x:c>
      <x:c r="E390" s="14" t="str">
        <x:v>Latn</x:v>
      </x:c>
      <x:c r="F390" s="14" t="str">
        <x:v>preferred</x:v>
      </x:c>
      <x:c r="G390" s="20" t="b">
        <x:v>1</x:v>
      </x:c>
      <x:c r="H390" s="21"/>
      <x:c r="I390" s="21"/>
      <x:c r="J390" s="14" t="str">
        <x:v>src-whc-758c2c416617</x:v>
      </x:c>
      <x:c r="K390" s="14" t="str">
        <x:v>reviewed</x:v>
      </x:c>
    </x:row>
    <x:row r="391" ht="26" customHeight="1">
      <x:c r="A391" s="14" t="str">
        <x:v>name-kingdom-commagene-grc-ancient</x:v>
      </x:c>
      <x:c r="B391" s="14" t="str">
        <x:v>kingdom-commagene</x:v>
      </x:c>
      <x:c r="C391" s="14" t="str">
        <x:v>Κομμαγηνή</x:v>
      </x:c>
      <x:c r="D391" s="14" t="str">
        <x:v>grc</x:v>
      </x:c>
      <x:c r="E391" s="14" t="str">
        <x:v>Grek</x:v>
      </x:c>
      <x:c r="F391" s="14" t="str">
        <x:v>ancient</x:v>
      </x:c>
      <x:c r="G391" s="20" t="b">
        <x:v>0</x:v>
      </x:c>
      <x:c r="H391" s="21"/>
      <x:c r="I391" s="21"/>
      <x:c r="J391" s="14" t="str">
        <x:v>src-whc-758c2c416617</x:v>
      </x:c>
      <x:c r="K391" s="14" t="str">
        <x:v>reviewed</x:v>
      </x:c>
    </x:row>
    <x:row r="392" ht="26" customHeight="1">
      <x:c r="A392" s="14" t="str">
        <x:v>name-kingdom-cyrene-battiad-el-preferred</x:v>
      </x:c>
      <x:c r="B392" s="14" t="str">
        <x:v>kingdom-cyrene-battiad</x:v>
      </x:c>
      <x:c r="C392" s="14" t="str">
        <x:v>Βασίλειο της Κυρήνης των Βαττιαδών</x:v>
      </x:c>
      <x:c r="D392" s="14" t="str">
        <x:v>el</x:v>
      </x:c>
      <x:c r="E392" s="14" t="str">
        <x:v>Grek</x:v>
      </x:c>
      <x:c r="F392" s="14" t="str">
        <x:v>preferred</x:v>
      </x:c>
      <x:c r="G392" s="20" t="b">
        <x:v>1</x:v>
      </x:c>
      <x:c r="H392" s="21"/>
      <x:c r="I392" s="21"/>
      <x:c r="J392" s="14" t="str">
        <x:v>src-whc-52a1efeb60e3</x:v>
      </x:c>
      <x:c r="K392" s="14" t="str">
        <x:v>reviewed</x:v>
      </x:c>
    </x:row>
    <x:row r="393" ht="26" customHeight="1">
      <x:c r="A393" s="14" t="str">
        <x:v>name-kingdom-cyrene-battiad-en-preferred</x:v>
      </x:c>
      <x:c r="B393" s="14" t="str">
        <x:v>kingdom-cyrene-battiad</x:v>
      </x:c>
      <x:c r="C393" s="14" t="str">
        <x:v>Battiad Kingdom of Cyrene</x:v>
      </x:c>
      <x:c r="D393" s="14" t="str">
        <x:v>en</x:v>
      </x:c>
      <x:c r="E393" s="14" t="str">
        <x:v>Latn</x:v>
      </x:c>
      <x:c r="F393" s="14" t="str">
        <x:v>preferred</x:v>
      </x:c>
      <x:c r="G393" s="20" t="b">
        <x:v>1</x:v>
      </x:c>
      <x:c r="H393" s="21"/>
      <x:c r="I393" s="21"/>
      <x:c r="J393" s="14" t="str">
        <x:v>src-whc-52a1efeb60e3</x:v>
      </x:c>
      <x:c r="K393" s="14" t="str">
        <x:v>reviewed</x:v>
      </x:c>
    </x:row>
    <x:row r="394" ht="26" customHeight="1">
      <x:c r="A394" s="14" t="str">
        <x:v>name-kingdom-cyrene-battiad-grc-ancient</x:v>
      </x:c>
      <x:c r="B394" s="14" t="str">
        <x:v>kingdom-cyrene-battiad</x:v>
      </x:c>
      <x:c r="C394" s="14" t="str">
        <x:v>Κυρήνη</x:v>
      </x:c>
      <x:c r="D394" s="14" t="str">
        <x:v>grc</x:v>
      </x:c>
      <x:c r="E394" s="14" t="str">
        <x:v>Grek</x:v>
      </x:c>
      <x:c r="F394" s="14" t="str">
        <x:v>ancient</x:v>
      </x:c>
      <x:c r="G394" s="20" t="b">
        <x:v>0</x:v>
      </x:c>
      <x:c r="H394" s="21"/>
      <x:c r="I394" s="21"/>
      <x:c r="J394" s="14" t="str">
        <x:v>src-whc-52a1efeb60e3</x:v>
      </x:c>
      <x:c r="K394" s="14" t="str">
        <x:v>reviewed</x:v>
      </x:c>
    </x:row>
    <x:row r="395" ht="26" customHeight="1">
      <x:c r="A395" s="14" t="str">
        <x:v>name-kingdom-cyrene-magas-el-preferred</x:v>
      </x:c>
      <x:c r="B395" s="14" t="str">
        <x:v>kingdom-cyrene-magas</x:v>
      </x:c>
      <x:c r="C395" s="14" t="str">
        <x:v>Βασίλειο της Κυρήνης του Μάγα</x:v>
      </x:c>
      <x:c r="D395" s="14" t="str">
        <x:v>el</x:v>
      </x:c>
      <x:c r="E395" s="14" t="str">
        <x:v>Grek</x:v>
      </x:c>
      <x:c r="F395" s="14" t="str">
        <x:v>preferred</x:v>
      </x:c>
      <x:c r="G395" s="20" t="b">
        <x:v>1</x:v>
      </x:c>
      <x:c r="H395" s="21"/>
      <x:c r="I395" s="21"/>
      <x:c r="J395" s="14" t="str">
        <x:v>src-persee-a9866e5e43d7</x:v>
      </x:c>
      <x:c r="K395" s="14" t="str">
        <x:v>reviewed</x:v>
      </x:c>
    </x:row>
    <x:row r="396" ht="26" customHeight="1">
      <x:c r="A396" s="14" t="str">
        <x:v>name-kingdom-cyrene-magas-en-preferred</x:v>
      </x:c>
      <x:c r="B396" s="14" t="str">
        <x:v>kingdom-cyrene-magas</x:v>
      </x:c>
      <x:c r="C396" s="14" t="str">
        <x:v>Kingdom of Cyrene under Magas</x:v>
      </x:c>
      <x:c r="D396" s="14" t="str">
        <x:v>en</x:v>
      </x:c>
      <x:c r="E396" s="14" t="str">
        <x:v>Latn</x:v>
      </x:c>
      <x:c r="F396" s="14" t="str">
        <x:v>preferred</x:v>
      </x:c>
      <x:c r="G396" s="20" t="b">
        <x:v>1</x:v>
      </x:c>
      <x:c r="H396" s="21"/>
      <x:c r="I396" s="21"/>
      <x:c r="J396" s="14" t="str">
        <x:v>src-persee-a9866e5e43d7</x:v>
      </x:c>
      <x:c r="K396" s="14" t="str">
        <x:v>reviewed</x:v>
      </x:c>
    </x:row>
    <x:row r="397" ht="26" customHeight="1">
      <x:c r="A397" s="14" t="str">
        <x:v>name-kingdom-cyrene-magas-grc-ancient</x:v>
      </x:c>
      <x:c r="B397" s="14" t="str">
        <x:v>kingdom-cyrene-magas</x:v>
      </x:c>
      <x:c r="C397" s="14" t="str">
        <x:v>Κυρήνη</x:v>
      </x:c>
      <x:c r="D397" s="14" t="str">
        <x:v>grc</x:v>
      </x:c>
      <x:c r="E397" s="14" t="str">
        <x:v>Grek</x:v>
      </x:c>
      <x:c r="F397" s="14" t="str">
        <x:v>ancient</x:v>
      </x:c>
      <x:c r="G397" s="20" t="b">
        <x:v>0</x:v>
      </x:c>
      <x:c r="H397" s="21"/>
      <x:c r="I397" s="21"/>
      <x:c r="J397" s="14" t="str">
        <x:v>src-persee-a9866e5e43d7</x:v>
      </x:c>
      <x:c r="K397" s="14" t="str">
        <x:v>reviewed</x:v>
      </x:c>
    </x:row>
    <x:row r="398" ht="26" customHeight="1">
      <x:c r="A398" s="14" t="str">
        <x:v>name-kingdom-epirus-aeacid-el-preferred</x:v>
      </x:c>
      <x:c r="B398" s="14" t="str">
        <x:v>kingdom-epirus-aeacid</x:v>
      </x:c>
      <x:c r="C398" s="14" t="str">
        <x:v>Βασίλειο της Ηπείρου των Αιακιδών</x:v>
      </x:c>
      <x:c r="D398" s="14" t="str">
        <x:v>el</x:v>
      </x:c>
      <x:c r="E398" s="14" t="str">
        <x:v>Grek</x:v>
      </x:c>
      <x:c r="F398" s="14" t="str">
        <x:v>preferred</x:v>
      </x:c>
      <x:c r="G398" s="20" t="b">
        <x:v>1</x:v>
      </x:c>
      <x:c r="H398" s="21"/>
      <x:c r="I398" s="21"/>
      <x:c r="J398" s="14" t="str">
        <x:v>src-cambridge-96106a304cc6</x:v>
      </x:c>
      <x:c r="K398" s="14" t="str">
        <x:v>reviewed</x:v>
      </x:c>
    </x:row>
    <x:row r="399" ht="26" customHeight="1">
      <x:c r="A399" s="14" t="str">
        <x:v>name-kingdom-epirus-aeacid-en-preferred</x:v>
      </x:c>
      <x:c r="B399" s="14" t="str">
        <x:v>kingdom-epirus-aeacid</x:v>
      </x:c>
      <x:c r="C399" s="14" t="str">
        <x:v>Aeacid Kingdom of Epirus</x:v>
      </x:c>
      <x:c r="D399" s="14" t="str">
        <x:v>en</x:v>
      </x:c>
      <x:c r="E399" s="14" t="str">
        <x:v>Latn</x:v>
      </x:c>
      <x:c r="F399" s="14" t="str">
        <x:v>preferred</x:v>
      </x:c>
      <x:c r="G399" s="20" t="b">
        <x:v>1</x:v>
      </x:c>
      <x:c r="H399" s="21"/>
      <x:c r="I399" s="21"/>
      <x:c r="J399" s="14" t="str">
        <x:v>src-cambridge-96106a304cc6</x:v>
      </x:c>
      <x:c r="K399" s="14" t="str">
        <x:v>reviewed</x:v>
      </x:c>
    </x:row>
    <x:row r="400" ht="26" customHeight="1">
      <x:c r="A400" s="14" t="str">
        <x:v>name-kingdom-epirus-aeacid-grc-ancient</x:v>
      </x:c>
      <x:c r="B400" s="14" t="str">
        <x:v>kingdom-epirus-aeacid</x:v>
      </x:c>
      <x:c r="C400" s="14" t="str">
        <x:v>Μολοσσοί / Ἤπειρος</x:v>
      </x:c>
      <x:c r="D400" s="14" t="str">
        <x:v>grc</x:v>
      </x:c>
      <x:c r="E400" s="14" t="str">
        <x:v>Grek</x:v>
      </x:c>
      <x:c r="F400" s="14" t="str">
        <x:v>ancient</x:v>
      </x:c>
      <x:c r="G400" s="20" t="b">
        <x:v>0</x:v>
      </x:c>
      <x:c r="H400" s="21"/>
      <x:c r="I400" s="21"/>
      <x:c r="J400" s="14" t="str">
        <x:v>src-cambridge-96106a304cc6</x:v>
      </x:c>
      <x:c r="K400" s="14" t="str">
        <x:v>reviewed</x:v>
      </x:c>
    </x:row>
    <x:row r="401" ht="26" customHeight="1">
      <x:c r="A401" s="14" t="str">
        <x:v>name-kingdom-greco-bactrian-diodotid-el-preferred</x:v>
      </x:c>
      <x:c r="B401" s="14" t="str">
        <x:v>kingdom-greco-bactrian-diodotid</x:v>
      </x:c>
      <x:c r="C401" s="14" t="str">
        <x:v>Ελληνοβακτριανό Βασίλειο — Διοδοτίδες</x:v>
      </x:c>
      <x:c r="D401" s="14" t="str">
        <x:v>el</x:v>
      </x:c>
      <x:c r="E401" s="14" t="str">
        <x:v>Grek</x:v>
      </x:c>
      <x:c r="F401" s="14" t="str">
        <x:v>preferred</x:v>
      </x:c>
      <x:c r="G401" s="20" t="b">
        <x:v>1</x:v>
      </x:c>
      <x:c r="H401" s="21"/>
      <x:c r="I401" s="21"/>
      <x:c r="J401" s="14" t="str">
        <x:v>src-metmuseum-50fe20dc493f</x:v>
      </x:c>
      <x:c r="K401" s="14" t="str">
        <x:v>reviewed</x:v>
      </x:c>
    </x:row>
    <x:row r="402" ht="26" customHeight="1">
      <x:c r="A402" s="14" t="str">
        <x:v>name-kingdom-greco-bactrian-diodotid-en-preferred</x:v>
      </x:c>
      <x:c r="B402" s="14" t="str">
        <x:v>kingdom-greco-bactrian-diodotid</x:v>
      </x:c>
      <x:c r="C402" s="14" t="str">
        <x:v>Greco-Bactrian Kingdom — Diodotid Phase</x:v>
      </x:c>
      <x:c r="D402" s="14" t="str">
        <x:v>en</x:v>
      </x:c>
      <x:c r="E402" s="14" t="str">
        <x:v>Latn</x:v>
      </x:c>
      <x:c r="F402" s="14" t="str">
        <x:v>preferred</x:v>
      </x:c>
      <x:c r="G402" s="20" t="b">
        <x:v>1</x:v>
      </x:c>
      <x:c r="H402" s="21"/>
      <x:c r="I402" s="21"/>
      <x:c r="J402" s="14" t="str">
        <x:v>src-metmuseum-50fe20dc493f</x:v>
      </x:c>
      <x:c r="K402" s="14" t="str">
        <x:v>reviewed</x:v>
      </x:c>
    </x:row>
    <x:row r="403" ht="26" customHeight="1">
      <x:c r="A403" s="14" t="str">
        <x:v>name-kingdom-greco-bactrian-diodotid-grc-ancient</x:v>
      </x:c>
      <x:c r="B403" s="14" t="str">
        <x:v>kingdom-greco-bactrian-diodotid</x:v>
      </x:c>
      <x:c r="C403" s="14" t="str">
        <x:v>Βακτριανή</x:v>
      </x:c>
      <x:c r="D403" s="14" t="str">
        <x:v>grc</x:v>
      </x:c>
      <x:c r="E403" s="14" t="str">
        <x:v>Grek</x:v>
      </x:c>
      <x:c r="F403" s="14" t="str">
        <x:v>ancient</x:v>
      </x:c>
      <x:c r="G403" s="20" t="b">
        <x:v>0</x:v>
      </x:c>
      <x:c r="H403" s="21"/>
      <x:c r="I403" s="21"/>
      <x:c r="J403" s="14" t="str">
        <x:v>src-metmuseum-50fe20dc493f</x:v>
      </x:c>
      <x:c r="K403" s="14" t="str">
        <x:v>reviewed</x:v>
      </x:c>
    </x:row>
    <x:row r="404" ht="26" customHeight="1">
      <x:c r="A404" s="14" t="str">
        <x:v>name-kingdom-greco-bactrian-eucratid-el-preferred</x:v>
      </x:c>
      <x:c r="B404" s="14" t="str">
        <x:v>kingdom-greco-bactrian-eucratid</x:v>
      </x:c>
      <x:c r="C404" s="14" t="str">
        <x:v>Ελληνοβακτριανό Βασίλειο — Ευκρατίδες</x:v>
      </x:c>
      <x:c r="D404" s="14" t="str">
        <x:v>el</x:v>
      </x:c>
      <x:c r="E404" s="14" t="str">
        <x:v>Grek</x:v>
      </x:c>
      <x:c r="F404" s="14" t="str">
        <x:v>preferred</x:v>
      </x:c>
      <x:c r="G404" s="20" t="b">
        <x:v>1</x:v>
      </x:c>
      <x:c r="H404" s="21"/>
      <x:c r="I404" s="21"/>
      <x:c r="J404" s="14" t="str">
        <x:v>src-iranicaonline-2bb61f112fc3</x:v>
      </x:c>
      <x:c r="K404" s="14" t="str">
        <x:v>reviewed</x:v>
      </x:c>
    </x:row>
    <x:row r="405" ht="26" customHeight="1">
      <x:c r="A405" s="14" t="str">
        <x:v>name-kingdom-greco-bactrian-eucratid-en-preferred</x:v>
      </x:c>
      <x:c r="B405" s="14" t="str">
        <x:v>kingdom-greco-bactrian-eucratid</x:v>
      </x:c>
      <x:c r="C405" s="14" t="str">
        <x:v>Greco-Bactrian Kingdom — Eucratid Phase</x:v>
      </x:c>
      <x:c r="D405" s="14" t="str">
        <x:v>en</x:v>
      </x:c>
      <x:c r="E405" s="14" t="str">
        <x:v>Latn</x:v>
      </x:c>
      <x:c r="F405" s="14" t="str">
        <x:v>preferred</x:v>
      </x:c>
      <x:c r="G405" s="20" t="b">
        <x:v>1</x:v>
      </x:c>
      <x:c r="H405" s="21"/>
      <x:c r="I405" s="21"/>
      <x:c r="J405" s="14" t="str">
        <x:v>src-iranicaonline-2bb61f112fc3</x:v>
      </x:c>
      <x:c r="K405" s="14" t="str">
        <x:v>reviewed</x:v>
      </x:c>
    </x:row>
    <x:row r="406" ht="26" customHeight="1">
      <x:c r="A406" s="14" t="str">
        <x:v>name-kingdom-greco-bactrian-eucratid-grc-ancient</x:v>
      </x:c>
      <x:c r="B406" s="14" t="str">
        <x:v>kingdom-greco-bactrian-eucratid</x:v>
      </x:c>
      <x:c r="C406" s="14" t="str">
        <x:v>Βακτριανή</x:v>
      </x:c>
      <x:c r="D406" s="14" t="str">
        <x:v>grc</x:v>
      </x:c>
      <x:c r="E406" s="14" t="str">
        <x:v>Grek</x:v>
      </x:c>
      <x:c r="F406" s="14" t="str">
        <x:v>ancient</x:v>
      </x:c>
      <x:c r="G406" s="20" t="b">
        <x:v>0</x:v>
      </x:c>
      <x:c r="H406" s="21"/>
      <x:c r="I406" s="21"/>
      <x:c r="J406" s="14" t="str">
        <x:v>src-iranicaonline-2bb61f112fc3</x:v>
      </x:c>
      <x:c r="K406" s="14" t="str">
        <x:v>reviewed</x:v>
      </x:c>
    </x:row>
    <x:row r="407" ht="26" customHeight="1">
      <x:c r="A407" s="14" t="str">
        <x:v>name-kingdom-greco-bactrian-euthydemid-el-preferred</x:v>
      </x:c>
      <x:c r="B407" s="14" t="str">
        <x:v>kingdom-greco-bactrian-euthydemid</x:v>
      </x:c>
      <x:c r="C407" s="14" t="str">
        <x:v>Ελληνοβακτριανό Βασίλειο — Ευθυδημίδες</x:v>
      </x:c>
      <x:c r="D407" s="14" t="str">
        <x:v>el</x:v>
      </x:c>
      <x:c r="E407" s="14" t="str">
        <x:v>Grek</x:v>
      </x:c>
      <x:c r="F407" s="14" t="str">
        <x:v>preferred</x:v>
      </x:c>
      <x:c r="G407" s="20" t="b">
        <x:v>1</x:v>
      </x:c>
      <x:c r="H407" s="21"/>
      <x:c r="I407" s="21"/>
      <x:c r="J407" s="14" t="str">
        <x:v>src-iranicaonline-d4697d4d5c1a</x:v>
      </x:c>
      <x:c r="K407" s="14" t="str">
        <x:v>reviewed</x:v>
      </x:c>
    </x:row>
    <x:row r="408" ht="26" customHeight="1">
      <x:c r="A408" s="14" t="str">
        <x:v>name-kingdom-greco-bactrian-euthydemid-en-preferred</x:v>
      </x:c>
      <x:c r="B408" s="14" t="str">
        <x:v>kingdom-greco-bactrian-euthydemid</x:v>
      </x:c>
      <x:c r="C408" s="14" t="str">
        <x:v>Greco-Bactrian Kingdom — Euthydemid Phase</x:v>
      </x:c>
      <x:c r="D408" s="14" t="str">
        <x:v>en</x:v>
      </x:c>
      <x:c r="E408" s="14" t="str">
        <x:v>Latn</x:v>
      </x:c>
      <x:c r="F408" s="14" t="str">
        <x:v>preferred</x:v>
      </x:c>
      <x:c r="G408" s="20" t="b">
        <x:v>1</x:v>
      </x:c>
      <x:c r="H408" s="21"/>
      <x:c r="I408" s="21"/>
      <x:c r="J408" s="14" t="str">
        <x:v>src-iranicaonline-d4697d4d5c1a</x:v>
      </x:c>
      <x:c r="K408" s="14" t="str">
        <x:v>reviewed</x:v>
      </x:c>
    </x:row>
    <x:row r="409" ht="26" customHeight="1">
      <x:c r="A409" s="14" t="str">
        <x:v>name-kingdom-greco-bactrian-euthydemid-grc-ancient</x:v>
      </x:c>
      <x:c r="B409" s="14" t="str">
        <x:v>kingdom-greco-bactrian-euthydemid</x:v>
      </x:c>
      <x:c r="C409" s="14" t="str">
        <x:v>Βακτριανή</x:v>
      </x:c>
      <x:c r="D409" s="14" t="str">
        <x:v>grc</x:v>
      </x:c>
      <x:c r="E409" s="14" t="str">
        <x:v>Grek</x:v>
      </x:c>
      <x:c r="F409" s="14" t="str">
        <x:v>ancient</x:v>
      </x:c>
      <x:c r="G409" s="20" t="b">
        <x:v>0</x:v>
      </x:c>
      <x:c r="H409" s="21"/>
      <x:c r="I409" s="21"/>
      <x:c r="J409" s="14" t="str">
        <x:v>src-iranicaonline-d4697d4d5c1a</x:v>
      </x:c>
      <x:c r="K409" s="14" t="str">
        <x:v>reviewed</x:v>
      </x:c>
    </x:row>
    <x:row r="410" ht="26" customHeight="1">
      <x:c r="A410" s="14" t="str">
        <x:v>name-kingdom-indo-greek-early-el-preferred</x:v>
      </x:c>
      <x:c r="B410" s="14" t="str">
        <x:v>kingdom-indo-greek-early</x:v>
      </x:c>
      <x:c r="C410" s="14" t="str">
        <x:v>Πρώιμο Ινδοελληνικό Βασίλειο</x:v>
      </x:c>
      <x:c r="D410" s="14" t="str">
        <x:v>el</x:v>
      </x:c>
      <x:c r="E410" s="14" t="str">
        <x:v>Grek</x:v>
      </x:c>
      <x:c r="F410" s="14" t="str">
        <x:v>preferred</x:v>
      </x:c>
      <x:c r="G410" s="20" t="b">
        <x:v>1</x:v>
      </x:c>
      <x:c r="H410" s="21"/>
      <x:c r="I410" s="21"/>
      <x:c r="J410" s="14" t="str">
        <x:v>src-iranicaonline-612dff96c99c</x:v>
      </x:c>
      <x:c r="K410" s="14" t="str">
        <x:v>reviewed</x:v>
      </x:c>
    </x:row>
    <x:row r="411" ht="26" customHeight="1">
      <x:c r="A411" s="14" t="str">
        <x:v>name-kingdom-indo-greek-early-en-preferred</x:v>
      </x:c>
      <x:c r="B411" s="14" t="str">
        <x:v>kingdom-indo-greek-early</x:v>
      </x:c>
      <x:c r="C411" s="14" t="str">
        <x:v>Early Indo-Greek Kingdom</x:v>
      </x:c>
      <x:c r="D411" s="14" t="str">
        <x:v>en</x:v>
      </x:c>
      <x:c r="E411" s="14" t="str">
        <x:v>Latn</x:v>
      </x:c>
      <x:c r="F411" s="14" t="str">
        <x:v>preferred</x:v>
      </x:c>
      <x:c r="G411" s="20" t="b">
        <x:v>1</x:v>
      </x:c>
      <x:c r="H411" s="21"/>
      <x:c r="I411" s="21"/>
      <x:c r="J411" s="14" t="str">
        <x:v>src-iranicaonline-612dff96c99c</x:v>
      </x:c>
      <x:c r="K411" s="14" t="str">
        <x:v>reviewed</x:v>
      </x:c>
    </x:row>
    <x:row r="412" ht="26" customHeight="1">
      <x:c r="A412" s="14" t="str">
        <x:v>name-kingdom-indo-greek-late-el-preferred</x:v>
      </x:c>
      <x:c r="B412" s="14" t="str">
        <x:v>kingdom-indo-greek-late</x:v>
      </x:c>
      <x:c r="C412" s="14" t="str">
        <x:v>Ύστερα Ινδοελληνικά Βασίλεια</x:v>
      </x:c>
      <x:c r="D412" s="14" t="str">
        <x:v>el</x:v>
      </x:c>
      <x:c r="E412" s="14" t="str">
        <x:v>Grek</x:v>
      </x:c>
      <x:c r="F412" s="14" t="str">
        <x:v>preferred</x:v>
      </x:c>
      <x:c r="G412" s="20" t="b">
        <x:v>1</x:v>
      </x:c>
      <x:c r="H412" s="21"/>
      <x:c r="I412" s="21"/>
      <x:c r="J412" s="14" t="str">
        <x:v>src-iranicaonline-612dff96c99c</x:v>
      </x:c>
      <x:c r="K412" s="14" t="str">
        <x:v>reviewed</x:v>
      </x:c>
    </x:row>
    <x:row r="413" ht="26" customHeight="1">
      <x:c r="A413" s="14" t="str">
        <x:v>name-kingdom-indo-greek-late-en-preferred</x:v>
      </x:c>
      <x:c r="B413" s="14" t="str">
        <x:v>kingdom-indo-greek-late</x:v>
      </x:c>
      <x:c r="C413" s="14" t="str">
        <x:v>Late Indo-Greek Kingdoms</x:v>
      </x:c>
      <x:c r="D413" s="14" t="str">
        <x:v>en</x:v>
      </x:c>
      <x:c r="E413" s="14" t="str">
        <x:v>Latn</x:v>
      </x:c>
      <x:c r="F413" s="14" t="str">
        <x:v>preferred</x:v>
      </x:c>
      <x:c r="G413" s="20" t="b">
        <x:v>1</x:v>
      </x:c>
      <x:c r="H413" s="21"/>
      <x:c r="I413" s="21"/>
      <x:c r="J413" s="14" t="str">
        <x:v>src-iranicaonline-612dff96c99c</x:v>
      </x:c>
      <x:c r="K413" s="14" t="str">
        <x:v>reviewed</x:v>
      </x:c>
    </x:row>
    <x:row r="414" ht="26" customHeight="1">
      <x:c r="A414" s="14" t="str">
        <x:v>name-kingdom-indo-greek-menandrid-el-preferred</x:v>
      </x:c>
      <x:c r="B414" s="14" t="str">
        <x:v>kingdom-indo-greek-menandrid</x:v>
      </x:c>
      <x:c r="C414" s="14" t="str">
        <x:v>Ινδοελληνικό Βασίλειο του Μενάνδρου</x:v>
      </x:c>
      <x:c r="D414" s="14" t="str">
        <x:v>el</x:v>
      </x:c>
      <x:c r="E414" s="14" t="str">
        <x:v>Grek</x:v>
      </x:c>
      <x:c r="F414" s="14" t="str">
        <x:v>preferred</x:v>
      </x:c>
      <x:c r="G414" s="20" t="b">
        <x:v>1</x:v>
      </x:c>
      <x:c r="H414" s="21"/>
      <x:c r="I414" s="21"/>
      <x:c r="J414" s="14" t="str">
        <x:v>src-iranicaonline-612dff96c99c</x:v>
      </x:c>
      <x:c r="K414" s="14" t="str">
        <x:v>reviewed</x:v>
      </x:c>
    </x:row>
    <x:row r="415" ht="26" customHeight="1">
      <x:c r="A415" s="14" t="str">
        <x:v>name-kingdom-indo-greek-menandrid-en-preferred</x:v>
      </x:c>
      <x:c r="B415" s="14" t="str">
        <x:v>kingdom-indo-greek-menandrid</x:v>
      </x:c>
      <x:c r="C415" s="14" t="str">
        <x:v>Indo-Greek Kingdom — Menander Phase</x:v>
      </x:c>
      <x:c r="D415" s="14" t="str">
        <x:v>en</x:v>
      </x:c>
      <x:c r="E415" s="14" t="str">
        <x:v>Latn</x:v>
      </x:c>
      <x:c r="F415" s="14" t="str">
        <x:v>preferred</x:v>
      </x:c>
      <x:c r="G415" s="20" t="b">
        <x:v>1</x:v>
      </x:c>
      <x:c r="H415" s="21"/>
      <x:c r="I415" s="21"/>
      <x:c r="J415" s="14" t="str">
        <x:v>src-iranicaonline-612dff96c99c</x:v>
      </x:c>
      <x:c r="K415" s="14" t="str">
        <x:v>reviewed</x:v>
      </x:c>
    </x:row>
    <x:row r="416" ht="26" customHeight="1">
      <x:c r="A416" s="14" t="str">
        <x:v>name-kingdom-iolcos-palatial-el-preferred</x:v>
      </x:c>
      <x:c r="B416" s="14" t="str">
        <x:v>kingdom-iolcos-palatial</x:v>
      </x:c>
      <x:c r="C416" s="14" t="str">
        <x:v>Ανακτορικό κράτος της Ιωλκού</x:v>
      </x:c>
      <x:c r="D416" s="14" t="str">
        <x:v>el</x:v>
      </x:c>
      <x:c r="E416" s="14" t="str">
        <x:v>Grek</x:v>
      </x:c>
      <x:c r="F416" s="14" t="str">
        <x:v>preferred</x:v>
      </x:c>
      <x:c r="G416" s="20" t="b">
        <x:v>1</x:v>
      </x:c>
      <x:c r="H416" s="21"/>
      <x:c r="I416" s="21"/>
      <x:c r="J416" s="14" t="str">
        <x:v>src-odysseus-589898851f92</x:v>
      </x:c>
      <x:c r="K416" s="14" t="str">
        <x:v>reviewed</x:v>
      </x:c>
    </x:row>
    <x:row r="417" ht="26" customHeight="1">
      <x:c r="A417" s="14" t="str">
        <x:v>name-kingdom-iolcos-palatial-en-preferred</x:v>
      </x:c>
      <x:c r="B417" s="14" t="str">
        <x:v>kingdom-iolcos-palatial</x:v>
      </x:c>
      <x:c r="C417" s="14" t="str">
        <x:v>Iolcos Palatial State</x:v>
      </x:c>
      <x:c r="D417" s="14" t="str">
        <x:v>en</x:v>
      </x:c>
      <x:c r="E417" s="14" t="str">
        <x:v>Latn</x:v>
      </x:c>
      <x:c r="F417" s="14" t="str">
        <x:v>preferred</x:v>
      </x:c>
      <x:c r="G417" s="20" t="b">
        <x:v>1</x:v>
      </x:c>
      <x:c r="H417" s="21"/>
      <x:c r="I417" s="21"/>
      <x:c r="J417" s="14" t="str">
        <x:v>src-odysseus-589898851f92</x:v>
      </x:c>
      <x:c r="K417" s="14" t="str">
        <x:v>reviewed</x:v>
      </x:c>
    </x:row>
    <x:row r="418" ht="26" customHeight="1">
      <x:c r="A418" s="14" t="str">
        <x:v>name-kingdom-iolcos-palatial-grc-ancient</x:v>
      </x:c>
      <x:c r="B418" s="14" t="str">
        <x:v>kingdom-iolcos-palatial</x:v>
      </x:c>
      <x:c r="C418" s="14" t="str">
        <x:v>Ἰωλκός</x:v>
      </x:c>
      <x:c r="D418" s="14" t="str">
        <x:v>grc</x:v>
      </x:c>
      <x:c r="E418" s="14" t="str">
        <x:v>Grek</x:v>
      </x:c>
      <x:c r="F418" s="14" t="str">
        <x:v>ancient</x:v>
      </x:c>
      <x:c r="G418" s="20" t="b">
        <x:v>0</x:v>
      </x:c>
      <x:c r="H418" s="21"/>
      <x:c r="I418" s="21"/>
      <x:c r="J418" s="14" t="str">
        <x:v>src-odysseus-589898851f92</x:v>
      </x:c>
      <x:c r="K418" s="14" t="str">
        <x:v>reviewed</x:v>
      </x:c>
    </x:row>
    <x:row r="419" ht="26" customHeight="1">
      <x:c r="A419" s="14" t="str">
        <x:v>name-kingdom-knossos-mycenaean-el-preferred</x:v>
      </x:c>
      <x:c r="B419" s="14" t="str">
        <x:v>kingdom-knossos-mycenaean</x:v>
      </x:c>
      <x:c r="C419" s="14" t="str">
        <x:v>Μυκηναϊκή ανακτορική φάση της Κνωσού</x:v>
      </x:c>
      <x:c r="D419" s="14" t="str">
        <x:v>el</x:v>
      </x:c>
      <x:c r="E419" s="14" t="str">
        <x:v>Grek</x:v>
      </x:c>
      <x:c r="F419" s="14" t="str">
        <x:v>preferred</x:v>
      </x:c>
      <x:c r="G419" s="20" t="b">
        <x:v>1</x:v>
      </x:c>
      <x:c r="H419" s="21"/>
      <x:c r="I419" s="21"/>
      <x:c r="J419" s="14" t="str">
        <x:v>src-odysseus-9e3ae0cba911</x:v>
      </x:c>
      <x:c r="K419" s="14" t="str">
        <x:v>reviewed</x:v>
      </x:c>
    </x:row>
    <x:row r="420" ht="26" customHeight="1">
      <x:c r="A420" s="14" t="str">
        <x:v>name-kingdom-knossos-mycenaean-en-preferred</x:v>
      </x:c>
      <x:c r="B420" s="14" t="str">
        <x:v>kingdom-knossos-mycenaean</x:v>
      </x:c>
      <x:c r="C420" s="14" t="str">
        <x:v>Mycenaean Knossos Palatial State</x:v>
      </x:c>
      <x:c r="D420" s="14" t="str">
        <x:v>en</x:v>
      </x:c>
      <x:c r="E420" s="14" t="str">
        <x:v>Latn</x:v>
      </x:c>
      <x:c r="F420" s="14" t="str">
        <x:v>preferred</x:v>
      </x:c>
      <x:c r="G420" s="20" t="b">
        <x:v>1</x:v>
      </x:c>
      <x:c r="H420" s="21"/>
      <x:c r="I420" s="21"/>
      <x:c r="J420" s="14" t="str">
        <x:v>src-odysseus-9e3ae0cba911</x:v>
      </x:c>
      <x:c r="K420" s="14" t="str">
        <x:v>reviewed</x:v>
      </x:c>
    </x:row>
    <x:row r="421" ht="26" customHeight="1">
      <x:c r="A421" s="14" t="str">
        <x:v>name-kingdom-knossos-mycenaean-grc-ancient</x:v>
      </x:c>
      <x:c r="B421" s="14" t="str">
        <x:v>kingdom-knossos-mycenaean</x:v>
      </x:c>
      <x:c r="C421" s="14" t="str">
        <x:v>Κνωσός (Γραμμική Β: ko-no-so)</x:v>
      </x:c>
      <x:c r="D421" s="14" t="str">
        <x:v>grc</x:v>
      </x:c>
      <x:c r="E421" s="14" t="str">
        <x:v>Grek</x:v>
      </x:c>
      <x:c r="F421" s="14" t="str">
        <x:v>ancient</x:v>
      </x:c>
      <x:c r="G421" s="20" t="b">
        <x:v>0</x:v>
      </x:c>
      <x:c r="H421" s="21"/>
      <x:c r="I421" s="21"/>
      <x:c r="J421" s="14" t="str">
        <x:v>src-odysseus-9e3ae0cba911</x:v>
      </x:c>
      <x:c r="K421" s="14" t="str">
        <x:v>reviewed</x:v>
      </x:c>
    </x:row>
    <x:row r="422" ht="26" customHeight="1">
      <x:c r="A422" s="14" t="str">
        <x:v>name-kingdom-lysimachid-el-preferred</x:v>
      </x:c>
      <x:c r="B422" s="14" t="str">
        <x:v>kingdom-lysimachid</x:v>
      </x:c>
      <x:c r="C422" s="14" t="str">
        <x:v>Βασίλειο του Λυσιμάχου</x:v>
      </x:c>
      <x:c r="D422" s="14" t="str">
        <x:v>el</x:v>
      </x:c>
      <x:c r="E422" s="14" t="str">
        <x:v>Grek</x:v>
      </x:c>
      <x:c r="F422" s="14" t="str">
        <x:v>preferred</x:v>
      </x:c>
      <x:c r="G422" s="20" t="b">
        <x:v>1</x:v>
      </x:c>
      <x:c r="H422" s="21"/>
      <x:c r="I422" s="21"/>
      <x:c r="J422" s="14" t="str">
        <x:v>src-pleiades-501458</x:v>
      </x:c>
      <x:c r="K422" s="14" t="str">
        <x:v>reviewed</x:v>
      </x:c>
    </x:row>
    <x:row r="423" ht="26" customHeight="1">
      <x:c r="A423" s="14" t="str">
        <x:v>name-kingdom-lysimachid-en-preferred</x:v>
      </x:c>
      <x:c r="B423" s="14" t="str">
        <x:v>kingdom-lysimachid</x:v>
      </x:c>
      <x:c r="C423" s="14" t="str">
        <x:v>Lysimachid Kingdom</x:v>
      </x:c>
      <x:c r="D423" s="14" t="str">
        <x:v>en</x:v>
      </x:c>
      <x:c r="E423" s="14" t="str">
        <x:v>Latn</x:v>
      </x:c>
      <x:c r="F423" s="14" t="str">
        <x:v>preferred</x:v>
      </x:c>
      <x:c r="G423" s="20" t="b">
        <x:v>1</x:v>
      </x:c>
      <x:c r="H423" s="21"/>
      <x:c r="I423" s="21"/>
      <x:c r="J423" s="14" t="str">
        <x:v>src-pleiades-501458</x:v>
      </x:c>
      <x:c r="K423" s="14" t="str">
        <x:v>reviewed</x:v>
      </x:c>
    </x:row>
    <x:row r="424" ht="26" customHeight="1">
      <x:c r="A424" s="14" t="str">
        <x:v>name-kingdom-lysimachid-grc-ancient</x:v>
      </x:c>
      <x:c r="B424" s="14" t="str">
        <x:v>kingdom-lysimachid</x:v>
      </x:c>
      <x:c r="C424" s="14" t="str">
        <x:v>Βασιλεία Λυσιμάχου</x:v>
      </x:c>
      <x:c r="D424" s="14" t="str">
        <x:v>grc</x:v>
      </x:c>
      <x:c r="E424" s="14" t="str">
        <x:v>Grek</x:v>
      </x:c>
      <x:c r="F424" s="14" t="str">
        <x:v>ancient</x:v>
      </x:c>
      <x:c r="G424" s="20" t="b">
        <x:v>0</x:v>
      </x:c>
      <x:c r="H424" s="21"/>
      <x:c r="I424" s="21"/>
      <x:c r="J424" s="14" t="str">
        <x:v>src-pleiades-501458</x:v>
      </x:c>
      <x:c r="K424" s="14" t="str">
        <x:v>reviewed</x:v>
      </x:c>
    </x:row>
    <x:row r="425" ht="26" customHeight="1">
      <x:c r="A425" s="14" t="str">
        <x:v>name-kingdom-macedon-antigonid-el-preferred</x:v>
      </x:c>
      <x:c r="B425" s="14" t="str">
        <x:v>kingdom-macedon-antigonid</x:v>
      </x:c>
      <x:c r="C425" s="14" t="str">
        <x:v>Βασίλειο της Μακεδονίας των Αντιγονιδών</x:v>
      </x:c>
      <x:c r="D425" s="14" t="str">
        <x:v>el</x:v>
      </x:c>
      <x:c r="E425" s="14" t="str">
        <x:v>Grek</x:v>
      </x:c>
      <x:c r="F425" s="14" t="str">
        <x:v>preferred</x:v>
      </x:c>
      <x:c r="G425" s="20" t="b">
        <x:v>1</x:v>
      </x:c>
      <x:c r="H425" s="21"/>
      <x:c r="I425" s="21"/>
      <x:c r="J425" s="14" t="str">
        <x:v>src-metmuseum-50fe20dc493f</x:v>
      </x:c>
      <x:c r="K425" s="14" t="str">
        <x:v>reviewed</x:v>
      </x:c>
    </x:row>
    <x:row r="426" ht="26" customHeight="1">
      <x:c r="A426" s="14" t="str">
        <x:v>name-kingdom-macedon-antigonid-en-preferred</x:v>
      </x:c>
      <x:c r="B426" s="14" t="str">
        <x:v>kingdom-macedon-antigonid</x:v>
      </x:c>
      <x:c r="C426" s="14" t="str">
        <x:v>Antigonid Kingdom of Macedon</x:v>
      </x:c>
      <x:c r="D426" s="14" t="str">
        <x:v>en</x:v>
      </x:c>
      <x:c r="E426" s="14" t="str">
        <x:v>Latn</x:v>
      </x:c>
      <x:c r="F426" s="14" t="str">
        <x:v>preferred</x:v>
      </x:c>
      <x:c r="G426" s="20" t="b">
        <x:v>1</x:v>
      </x:c>
      <x:c r="H426" s="21"/>
      <x:c r="I426" s="21"/>
      <x:c r="J426" s="14" t="str">
        <x:v>src-metmuseum-50fe20dc493f</x:v>
      </x:c>
      <x:c r="K426" s="14" t="str">
        <x:v>reviewed</x:v>
      </x:c>
    </x:row>
    <x:row r="427" ht="26" customHeight="1">
      <x:c r="A427" s="14" t="str">
        <x:v>name-kingdom-macedon-antigonid-grc-ancient</x:v>
      </x:c>
      <x:c r="B427" s="14" t="str">
        <x:v>kingdom-macedon-antigonid</x:v>
      </x:c>
      <x:c r="C427" s="14" t="str">
        <x:v>Μακεδονία</x:v>
      </x:c>
      <x:c r="D427" s="14" t="str">
        <x:v>grc</x:v>
      </x:c>
      <x:c r="E427" s="14" t="str">
        <x:v>Grek</x:v>
      </x:c>
      <x:c r="F427" s="14" t="str">
        <x:v>ancient</x:v>
      </x:c>
      <x:c r="G427" s="20" t="b">
        <x:v>0</x:v>
      </x:c>
      <x:c r="H427" s="21"/>
      <x:c r="I427" s="21"/>
      <x:c r="J427" s="14" t="str">
        <x:v>src-metmuseum-50fe20dc493f</x:v>
      </x:c>
      <x:c r="K427" s="14" t="str">
        <x:v>reviewed</x:v>
      </x:c>
    </x:row>
    <x:row r="428" ht="26" customHeight="1">
      <x:c r="A428" s="14" t="str">
        <x:v>name-kingdom-macedon-argead-el-preferred</x:v>
      </x:c>
      <x:c r="B428" s="14" t="str">
        <x:v>kingdom-macedon-argead</x:v>
      </x:c>
      <x:c r="C428" s="14" t="str">
        <x:v>Βασίλειο της Μακεδονίας των Αργεαδών</x:v>
      </x:c>
      <x:c r="D428" s="14" t="str">
        <x:v>el</x:v>
      </x:c>
      <x:c r="E428" s="14" t="str">
        <x:v>Grek</x:v>
      </x:c>
      <x:c r="F428" s="14" t="str">
        <x:v>preferred</x:v>
      </x:c>
      <x:c r="G428" s="20" t="b">
        <x:v>1</x:v>
      </x:c>
      <x:c r="H428" s="21"/>
      <x:c r="I428" s="21"/>
      <x:c r="J428" s="14" t="str">
        <x:v>src-whc-fd006971700c</x:v>
      </x:c>
      <x:c r="K428" s="14" t="str">
        <x:v>reviewed</x:v>
      </x:c>
    </x:row>
    <x:row r="429" ht="26" customHeight="1">
      <x:c r="A429" s="14" t="str">
        <x:v>name-kingdom-macedon-argead-en-preferred</x:v>
      </x:c>
      <x:c r="B429" s="14" t="str">
        <x:v>kingdom-macedon-argead</x:v>
      </x:c>
      <x:c r="C429" s="14" t="str">
        <x:v>Argead Kingdom of Macedon</x:v>
      </x:c>
      <x:c r="D429" s="14" t="str">
        <x:v>en</x:v>
      </x:c>
      <x:c r="E429" s="14" t="str">
        <x:v>Latn</x:v>
      </x:c>
      <x:c r="F429" s="14" t="str">
        <x:v>preferred</x:v>
      </x:c>
      <x:c r="G429" s="20" t="b">
        <x:v>1</x:v>
      </x:c>
      <x:c r="H429" s="21"/>
      <x:c r="I429" s="21"/>
      <x:c r="J429" s="14" t="str">
        <x:v>src-whc-fd006971700c</x:v>
      </x:c>
      <x:c r="K429" s="14" t="str">
        <x:v>reviewed</x:v>
      </x:c>
    </x:row>
    <x:row r="430" ht="26" customHeight="1">
      <x:c r="A430" s="14" t="str">
        <x:v>name-kingdom-macedon-argead-grc-ancient</x:v>
      </x:c>
      <x:c r="B430" s="14" t="str">
        <x:v>kingdom-macedon-argead</x:v>
      </x:c>
      <x:c r="C430" s="14" t="str">
        <x:v>Μακεδονία / Μακεδόνων βασιλεία</x:v>
      </x:c>
      <x:c r="D430" s="14" t="str">
        <x:v>grc</x:v>
      </x:c>
      <x:c r="E430" s="14" t="str">
        <x:v>Grek</x:v>
      </x:c>
      <x:c r="F430" s="14" t="str">
        <x:v>ancient</x:v>
      </x:c>
      <x:c r="G430" s="20" t="b">
        <x:v>0</x:v>
      </x:c>
      <x:c r="H430" s="21"/>
      <x:c r="I430" s="21"/>
      <x:c r="J430" s="14" t="str">
        <x:v>src-whc-fd006971700c</x:v>
      </x:c>
      <x:c r="K430" s="14" t="str">
        <x:v>reviewed</x:v>
      </x:c>
    </x:row>
    <x:row r="431" ht="26" customHeight="1">
      <x:c r="A431" s="14" t="str">
        <x:v>name-kingdom-macedon-kassandrid-el-preferred</x:v>
      </x:c>
      <x:c r="B431" s="14" t="str">
        <x:v>kingdom-macedon-kassandrid</x:v>
      </x:c>
      <x:c r="C431" s="14" t="str">
        <x:v>Βασίλειο της Μακεδονίας των Κασσανδριδών</x:v>
      </x:c>
      <x:c r="D431" s="14" t="str">
        <x:v>el</x:v>
      </x:c>
      <x:c r="E431" s="14" t="str">
        <x:v>Grek</x:v>
      </x:c>
      <x:c r="F431" s="14" t="str">
        <x:v>preferred</x:v>
      </x:c>
      <x:c r="G431" s="20" t="b">
        <x:v>1</x:v>
      </x:c>
      <x:c r="H431" s="21"/>
      <x:c r="I431" s="21"/>
      <x:c r="J431" s="14" t="str">
        <x:v>src-metmuseum-50fe20dc493f</x:v>
      </x:c>
      <x:c r="K431" s="14" t="str">
        <x:v>reviewed</x:v>
      </x:c>
    </x:row>
    <x:row r="432" ht="26" customHeight="1">
      <x:c r="A432" s="14" t="str">
        <x:v>name-kingdom-macedon-kassandrid-en-preferred</x:v>
      </x:c>
      <x:c r="B432" s="14" t="str">
        <x:v>kingdom-macedon-kassandrid</x:v>
      </x:c>
      <x:c r="C432" s="14" t="str">
        <x:v>Kassandrid Kingdom of Macedon</x:v>
      </x:c>
      <x:c r="D432" s="14" t="str">
        <x:v>en</x:v>
      </x:c>
      <x:c r="E432" s="14" t="str">
        <x:v>Latn</x:v>
      </x:c>
      <x:c r="F432" s="14" t="str">
        <x:v>preferred</x:v>
      </x:c>
      <x:c r="G432" s="20" t="b">
        <x:v>1</x:v>
      </x:c>
      <x:c r="H432" s="21"/>
      <x:c r="I432" s="21"/>
      <x:c r="J432" s="14" t="str">
        <x:v>src-metmuseum-50fe20dc493f</x:v>
      </x:c>
      <x:c r="K432" s="14" t="str">
        <x:v>reviewed</x:v>
      </x:c>
    </x:row>
    <x:row r="433" ht="26" customHeight="1">
      <x:c r="A433" s="14" t="str">
        <x:v>name-kingdom-macedon-kassandrid-grc-ancient</x:v>
      </x:c>
      <x:c r="B433" s="14" t="str">
        <x:v>kingdom-macedon-kassandrid</x:v>
      </x:c>
      <x:c r="C433" s="14" t="str">
        <x:v>Μακεδονία</x:v>
      </x:c>
      <x:c r="D433" s="14" t="str">
        <x:v>grc</x:v>
      </x:c>
      <x:c r="E433" s="14" t="str">
        <x:v>Grek</x:v>
      </x:c>
      <x:c r="F433" s="14" t="str">
        <x:v>ancient</x:v>
      </x:c>
      <x:c r="G433" s="20" t="b">
        <x:v>0</x:v>
      </x:c>
      <x:c r="H433" s="21"/>
      <x:c r="I433" s="21"/>
      <x:c r="J433" s="14" t="str">
        <x:v>src-metmuseum-50fe20dc493f</x:v>
      </x:c>
      <x:c r="K433" s="14" t="str">
        <x:v>reviewed</x:v>
      </x:c>
    </x:row>
    <x:row r="434" ht="26" customHeight="1">
      <x:c r="A434" s="14" t="str">
        <x:v>name-kingdom-mycenae-palatial-el-preferred</x:v>
      </x:c>
      <x:c r="B434" s="14" t="str">
        <x:v>kingdom-mycenae-palatial</x:v>
      </x:c>
      <x:c r="C434" s="14" t="str">
        <x:v>Ανακτορικό κράτος των Μυκηνών</x:v>
      </x:c>
      <x:c r="D434" s="14" t="str">
        <x:v>el</x:v>
      </x:c>
      <x:c r="E434" s="14" t="str">
        <x:v>Grek</x:v>
      </x:c>
      <x:c r="F434" s="14" t="str">
        <x:v>preferred</x:v>
      </x:c>
      <x:c r="G434" s="20" t="b">
        <x:v>1</x:v>
      </x:c>
      <x:c r="H434" s="21"/>
      <x:c r="I434" s="21"/>
      <x:c r="J434" s="14" t="str">
        <x:v>src-whc-6306f630553d</x:v>
      </x:c>
      <x:c r="K434" s="14" t="str">
        <x:v>reviewed</x:v>
      </x:c>
    </x:row>
    <x:row r="435" ht="26" customHeight="1">
      <x:c r="A435" s="14" t="str">
        <x:v>name-kingdom-mycenae-palatial-en-preferred</x:v>
      </x:c>
      <x:c r="B435" s="14" t="str">
        <x:v>kingdom-mycenae-palatial</x:v>
      </x:c>
      <x:c r="C435" s="14" t="str">
        <x:v>Mycenae Palatial State</x:v>
      </x:c>
      <x:c r="D435" s="14" t="str">
        <x:v>en</x:v>
      </x:c>
      <x:c r="E435" s="14" t="str">
        <x:v>Latn</x:v>
      </x:c>
      <x:c r="F435" s="14" t="str">
        <x:v>preferred</x:v>
      </x:c>
      <x:c r="G435" s="20" t="b">
        <x:v>1</x:v>
      </x:c>
      <x:c r="H435" s="21"/>
      <x:c r="I435" s="21"/>
      <x:c r="J435" s="14" t="str">
        <x:v>src-whc-6306f630553d</x:v>
      </x:c>
      <x:c r="K435" s="14" t="str">
        <x:v>reviewed</x:v>
      </x:c>
    </x:row>
    <x:row r="436" ht="26" customHeight="1">
      <x:c r="A436" s="14" t="str">
        <x:v>name-kingdom-mycenae-palatial-grc-ancient</x:v>
      </x:c>
      <x:c r="B436" s="14" t="str">
        <x:v>kingdom-mycenae-palatial</x:v>
      </x:c>
      <x:c r="C436" s="14" t="str">
        <x:v>Μυκῆναι</x:v>
      </x:c>
      <x:c r="D436" s="14" t="str">
        <x:v>grc</x:v>
      </x:c>
      <x:c r="E436" s="14" t="str">
        <x:v>Grek</x:v>
      </x:c>
      <x:c r="F436" s="14" t="str">
        <x:v>ancient</x:v>
      </x:c>
      <x:c r="G436" s="20" t="b">
        <x:v>0</x:v>
      </x:c>
      <x:c r="H436" s="21"/>
      <x:c r="I436" s="21"/>
      <x:c r="J436" s="14" t="str">
        <x:v>src-whc-6306f630553d</x:v>
      </x:c>
      <x:c r="K436" s="14" t="str">
        <x:v>reviewed</x:v>
      </x:c>
    </x:row>
    <x:row r="437" ht="26" customHeight="1">
      <x:c r="A437" s="14" t="str">
        <x:v>name-kingdom-orchomenos-palatial-el-preferred</x:v>
      </x:c>
      <x:c r="B437" s="14" t="str">
        <x:v>kingdom-orchomenos-palatial</x:v>
      </x:c>
      <x:c r="C437" s="14" t="str">
        <x:v>Ανακτορικό κράτος του Ορχομενού</x:v>
      </x:c>
      <x:c r="D437" s="14" t="str">
        <x:v>el</x:v>
      </x:c>
      <x:c r="E437" s="14" t="str">
        <x:v>Grek</x:v>
      </x:c>
      <x:c r="F437" s="14" t="str">
        <x:v>preferred</x:v>
      </x:c>
      <x:c r="G437" s="20" t="b">
        <x:v>1</x:v>
      </x:c>
      <x:c r="H437" s="21"/>
      <x:c r="I437" s="21"/>
      <x:c r="J437" s="14" t="str">
        <x:v>src-mthv-715d665b63b5</x:v>
      </x:c>
      <x:c r="K437" s="14" t="str">
        <x:v>reviewed</x:v>
      </x:c>
    </x:row>
    <x:row r="438" ht="26" customHeight="1">
      <x:c r="A438" s="14" t="str">
        <x:v>name-kingdom-orchomenos-palatial-en-preferred</x:v>
      </x:c>
      <x:c r="B438" s="14" t="str">
        <x:v>kingdom-orchomenos-palatial</x:v>
      </x:c>
      <x:c r="C438" s="14" t="str">
        <x:v>Orchomenos Palatial State</x:v>
      </x:c>
      <x:c r="D438" s="14" t="str">
        <x:v>en</x:v>
      </x:c>
      <x:c r="E438" s="14" t="str">
        <x:v>Latn</x:v>
      </x:c>
      <x:c r="F438" s="14" t="str">
        <x:v>preferred</x:v>
      </x:c>
      <x:c r="G438" s="20" t="b">
        <x:v>1</x:v>
      </x:c>
      <x:c r="H438" s="21"/>
      <x:c r="I438" s="21"/>
      <x:c r="J438" s="14" t="str">
        <x:v>src-mthv-715d665b63b5</x:v>
      </x:c>
      <x:c r="K438" s="14" t="str">
        <x:v>reviewed</x:v>
      </x:c>
    </x:row>
    <x:row r="439" ht="26" customHeight="1">
      <x:c r="A439" s="14" t="str">
        <x:v>name-kingdom-orchomenos-palatial-grc-ancient</x:v>
      </x:c>
      <x:c r="B439" s="14" t="str">
        <x:v>kingdom-orchomenos-palatial</x:v>
      </x:c>
      <x:c r="C439" s="14" t="str">
        <x:v>Ὀρχομενός</x:v>
      </x:c>
      <x:c r="D439" s="14" t="str">
        <x:v>grc</x:v>
      </x:c>
      <x:c r="E439" s="14" t="str">
        <x:v>Grek</x:v>
      </x:c>
      <x:c r="F439" s="14" t="str">
        <x:v>ancient</x:v>
      </x:c>
      <x:c r="G439" s="20" t="b">
        <x:v>0</x:v>
      </x:c>
      <x:c r="H439" s="21"/>
      <x:c r="I439" s="21"/>
      <x:c r="J439" s="14" t="str">
        <x:v>src-mthv-715d665b63b5</x:v>
      </x:c>
      <x:c r="K439" s="14" t="str">
        <x:v>reviewed</x:v>
      </x:c>
    </x:row>
    <x:row r="440" ht="26" customHeight="1">
      <x:c r="A440" s="14" t="str">
        <x:v>name-kingdom-paphos-cyprus-el-preferred</x:v>
      </x:c>
      <x:c r="B440" s="14" t="str">
        <x:v>kingdom-paphos-cyprus</x:v>
      </x:c>
      <x:c r="C440" s="14" t="str">
        <x:v>Πόλη-βασίλειο της Πάφου</x:v>
      </x:c>
      <x:c r="D440" s="14" t="str">
        <x:v>el</x:v>
      </x:c>
      <x:c r="E440" s="14" t="str">
        <x:v>Grek</x:v>
      </x:c>
      <x:c r="F440" s="14" t="str">
        <x:v>preferred</x:v>
      </x:c>
      <x:c r="G440" s="20" t="b">
        <x:v>1</x:v>
      </x:c>
      <x:c r="H440" s="21"/>
      <x:c r="I440" s="21"/>
      <x:c r="J440" s="14" t="str">
        <x:v>src-websites-d5246844b076</x:v>
      </x:c>
      <x:c r="K440" s="14" t="str">
        <x:v>reviewed</x:v>
      </x:c>
    </x:row>
    <x:row r="441" ht="26" customHeight="1">
      <x:c r="A441" s="14" t="str">
        <x:v>name-kingdom-paphos-cyprus-en-preferred</x:v>
      </x:c>
      <x:c r="B441" s="14" t="str">
        <x:v>kingdom-paphos-cyprus</x:v>
      </x:c>
      <x:c r="C441" s="14" t="str">
        <x:v>City-Kingdom of Paphos</x:v>
      </x:c>
      <x:c r="D441" s="14" t="str">
        <x:v>en</x:v>
      </x:c>
      <x:c r="E441" s="14" t="str">
        <x:v>Latn</x:v>
      </x:c>
      <x:c r="F441" s="14" t="str">
        <x:v>preferred</x:v>
      </x:c>
      <x:c r="G441" s="20" t="b">
        <x:v>1</x:v>
      </x:c>
      <x:c r="H441" s="21"/>
      <x:c r="I441" s="21"/>
      <x:c r="J441" s="14" t="str">
        <x:v>src-websites-d5246844b076</x:v>
      </x:c>
      <x:c r="K441" s="14" t="str">
        <x:v>reviewed</x:v>
      </x:c>
    </x:row>
    <x:row r="442" ht="26" customHeight="1">
      <x:c r="A442" s="14" t="str">
        <x:v>name-kingdom-paphos-cyprus-grc-ancient</x:v>
      </x:c>
      <x:c r="B442" s="14" t="str">
        <x:v>kingdom-paphos-cyprus</x:v>
      </x:c>
      <x:c r="C442" s="14" t="str">
        <x:v>Πάφος</x:v>
      </x:c>
      <x:c r="D442" s="14" t="str">
        <x:v>grc</x:v>
      </x:c>
      <x:c r="E442" s="14" t="str">
        <x:v>Grek</x:v>
      </x:c>
      <x:c r="F442" s="14" t="str">
        <x:v>ancient</x:v>
      </x:c>
      <x:c r="G442" s="20" t="b">
        <x:v>0</x:v>
      </x:c>
      <x:c r="H442" s="21"/>
      <x:c r="I442" s="21"/>
      <x:c r="J442" s="14" t="str">
        <x:v>src-websites-d5246844b076</x:v>
      </x:c>
      <x:c r="K442" s="14" t="str">
        <x:v>reviewed</x:v>
      </x:c>
    </x:row>
    <x:row r="443" ht="26" customHeight="1">
      <x:c r="A443" s="14" t="str">
        <x:v>name-kingdom-pontus-mithridatid-el-preferred</x:v>
      </x:c>
      <x:c r="B443" s="14" t="str">
        <x:v>kingdom-pontus-mithridatid</x:v>
      </x:c>
      <x:c r="C443" s="14" t="str">
        <x:v>Βασίλειο του Πόντου</x:v>
      </x:c>
      <x:c r="D443" s="14" t="str">
        <x:v>el</x:v>
      </x:c>
      <x:c r="E443" s="14" t="str">
        <x:v>Grek</x:v>
      </x:c>
      <x:c r="F443" s="14" t="str">
        <x:v>preferred</x:v>
      </x:c>
      <x:c r="G443" s="20" t="b">
        <x:v>1</x:v>
      </x:c>
      <x:c r="H443" s="21"/>
      <x:c r="I443" s="21"/>
      <x:c r="J443" s="14" t="str">
        <x:v>src-metmuseum-50fe20dc493f</x:v>
      </x:c>
      <x:c r="K443" s="14" t="str">
        <x:v>reviewed</x:v>
      </x:c>
    </x:row>
    <x:row r="444" ht="26" customHeight="1">
      <x:c r="A444" s="14" t="str">
        <x:v>name-kingdom-pontus-mithridatid-en-preferred</x:v>
      </x:c>
      <x:c r="B444" s="14" t="str">
        <x:v>kingdom-pontus-mithridatid</x:v>
      </x:c>
      <x:c r="C444" s="14" t="str">
        <x:v>Kingdom of Pontus</x:v>
      </x:c>
      <x:c r="D444" s="14" t="str">
        <x:v>en</x:v>
      </x:c>
      <x:c r="E444" s="14" t="str">
        <x:v>Latn</x:v>
      </x:c>
      <x:c r="F444" s="14" t="str">
        <x:v>preferred</x:v>
      </x:c>
      <x:c r="G444" s="20" t="b">
        <x:v>1</x:v>
      </x:c>
      <x:c r="H444" s="21"/>
      <x:c r="I444" s="21"/>
      <x:c r="J444" s="14" t="str">
        <x:v>src-metmuseum-50fe20dc493f</x:v>
      </x:c>
      <x:c r="K444" s="14" t="str">
        <x:v>reviewed</x:v>
      </x:c>
    </x:row>
    <x:row r="445" ht="26" customHeight="1">
      <x:c r="A445" s="14" t="str">
        <x:v>name-kingdom-pontus-mithridatid-grc-ancient</x:v>
      </x:c>
      <x:c r="B445" s="14" t="str">
        <x:v>kingdom-pontus-mithridatid</x:v>
      </x:c>
      <x:c r="C445" s="14" t="str">
        <x:v>Βασιλεία τοῦ Πόντου</x:v>
      </x:c>
      <x:c r="D445" s="14" t="str">
        <x:v>grc</x:v>
      </x:c>
      <x:c r="E445" s="14" t="str">
        <x:v>Grek</x:v>
      </x:c>
      <x:c r="F445" s="14" t="str">
        <x:v>ancient</x:v>
      </x:c>
      <x:c r="G445" s="20" t="b">
        <x:v>0</x:v>
      </x:c>
      <x:c r="H445" s="21"/>
      <x:c r="I445" s="21"/>
      <x:c r="J445" s="14" t="str">
        <x:v>src-metmuseum-50fe20dc493f</x:v>
      </x:c>
      <x:c r="K445" s="14" t="str">
        <x:v>reviewed</x:v>
      </x:c>
    </x:row>
    <x:row r="446" ht="26" customHeight="1">
      <x:c r="A446" s="14" t="str">
        <x:v>name-kingdom-ptolemaic-egypt-el-preferred</x:v>
      </x:c>
      <x:c r="B446" s="14" t="str">
        <x:v>kingdom-ptolemaic-egypt</x:v>
      </x:c>
      <x:c r="C446" s="14" t="str">
        <x:v>Πτολεμαϊκό Βασίλειο της Αιγύπτου</x:v>
      </x:c>
      <x:c r="D446" s="14" t="str">
        <x:v>el</x:v>
      </x:c>
      <x:c r="E446" s="14" t="str">
        <x:v>Grek</x:v>
      </x:c>
      <x:c r="F446" s="14" t="str">
        <x:v>preferred</x:v>
      </x:c>
      <x:c r="G446" s="20" t="b">
        <x:v>1</x:v>
      </x:c>
      <x:c r="H446" s="21"/>
      <x:c r="I446" s="21"/>
      <x:c r="J446" s="14" t="str">
        <x:v>src-metmuseum-9200258a95cb</x:v>
      </x:c>
      <x:c r="K446" s="14" t="str">
        <x:v>reviewed</x:v>
      </x:c>
    </x:row>
    <x:row r="447" ht="26" customHeight="1">
      <x:c r="A447" s="14" t="str">
        <x:v>name-kingdom-ptolemaic-egypt-en-preferred</x:v>
      </x:c>
      <x:c r="B447" s="14" t="str">
        <x:v>kingdom-ptolemaic-egypt</x:v>
      </x:c>
      <x:c r="C447" s="14" t="str">
        <x:v>Ptolemaic Kingdom of Egypt</x:v>
      </x:c>
      <x:c r="D447" s="14" t="str">
        <x:v>en</x:v>
      </x:c>
      <x:c r="E447" s="14" t="str">
        <x:v>Latn</x:v>
      </x:c>
      <x:c r="F447" s="14" t="str">
        <x:v>preferred</x:v>
      </x:c>
      <x:c r="G447" s="20" t="b">
        <x:v>1</x:v>
      </x:c>
      <x:c r="H447" s="21"/>
      <x:c r="I447" s="21"/>
      <x:c r="J447" s="14" t="str">
        <x:v>src-metmuseum-9200258a95cb</x:v>
      </x:c>
      <x:c r="K447" s="14" t="str">
        <x:v>reviewed</x:v>
      </x:c>
    </x:row>
    <x:row r="448" ht="26" customHeight="1">
      <x:c r="A448" s="14" t="str">
        <x:v>name-kingdom-ptolemaic-egypt-grc-ancient</x:v>
      </x:c>
      <x:c r="B448" s="14" t="str">
        <x:v>kingdom-ptolemaic-egypt</x:v>
      </x:c>
      <x:c r="C448" s="14" t="str">
        <x:v>Βασιλεία τῶν Πτολεμαίων</x:v>
      </x:c>
      <x:c r="D448" s="14" t="str">
        <x:v>grc</x:v>
      </x:c>
      <x:c r="E448" s="14" t="str">
        <x:v>Grek</x:v>
      </x:c>
      <x:c r="F448" s="14" t="str">
        <x:v>ancient</x:v>
      </x:c>
      <x:c r="G448" s="20" t="b">
        <x:v>0</x:v>
      </x:c>
      <x:c r="H448" s="21"/>
      <x:c r="I448" s="21"/>
      <x:c r="J448" s="14" t="str">
        <x:v>src-metmuseum-9200258a95cb</x:v>
      </x:c>
      <x:c r="K448" s="14" t="str">
        <x:v>reviewed</x:v>
      </x:c>
    </x:row>
    <x:row r="449" ht="26" customHeight="1">
      <x:c r="A449" s="14" t="str">
        <x:v>name-kingdom-pylos-palatial-el-preferred</x:v>
      </x:c>
      <x:c r="B449" s="14" t="str">
        <x:v>kingdom-pylos-palatial</x:v>
      </x:c>
      <x:c r="C449" s="14" t="str">
        <x:v>Ανακτορικό κράτος της Πύλου</x:v>
      </x:c>
      <x:c r="D449" s="14" t="str">
        <x:v>el</x:v>
      </x:c>
      <x:c r="E449" s="14" t="str">
        <x:v>Grek</x:v>
      </x:c>
      <x:c r="F449" s="14" t="str">
        <x:v>preferred</x:v>
      </x:c>
      <x:c r="G449" s="20" t="b">
        <x:v>1</x:v>
      </x:c>
      <x:c r="H449" s="21"/>
      <x:c r="I449" s="21"/>
      <x:c r="J449" s="14" t="str">
        <x:v>src-odysseus-00e2d87ae4a8</x:v>
      </x:c>
      <x:c r="K449" s="14" t="str">
        <x:v>reviewed</x:v>
      </x:c>
    </x:row>
    <x:row r="450" ht="26" customHeight="1">
      <x:c r="A450" s="14" t="str">
        <x:v>name-kingdom-pylos-palatial-en-preferred</x:v>
      </x:c>
      <x:c r="B450" s="14" t="str">
        <x:v>kingdom-pylos-palatial</x:v>
      </x:c>
      <x:c r="C450" s="14" t="str">
        <x:v>Pylos Palatial State</x:v>
      </x:c>
      <x:c r="D450" s="14" t="str">
        <x:v>en</x:v>
      </x:c>
      <x:c r="E450" s="14" t="str">
        <x:v>Latn</x:v>
      </x:c>
      <x:c r="F450" s="14" t="str">
        <x:v>preferred</x:v>
      </x:c>
      <x:c r="G450" s="20" t="b">
        <x:v>1</x:v>
      </x:c>
      <x:c r="H450" s="21"/>
      <x:c r="I450" s="21"/>
      <x:c r="J450" s="14" t="str">
        <x:v>src-odysseus-00e2d87ae4a8</x:v>
      </x:c>
      <x:c r="K450" s="14" t="str">
        <x:v>reviewed</x:v>
      </x:c>
    </x:row>
    <x:row r="451" ht="26" customHeight="1">
      <x:c r="A451" s="14" t="str">
        <x:v>name-kingdom-pylos-palatial-grc-ancient</x:v>
      </x:c>
      <x:c r="B451" s="14" t="str">
        <x:v>kingdom-pylos-palatial</x:v>
      </x:c>
      <x:c r="C451" s="14" t="str">
        <x:v>Πύλος</x:v>
      </x:c>
      <x:c r="D451" s="14" t="str">
        <x:v>grc</x:v>
      </x:c>
      <x:c r="E451" s="14" t="str">
        <x:v>Grek</x:v>
      </x:c>
      <x:c r="F451" s="14" t="str">
        <x:v>ancient</x:v>
      </x:c>
      <x:c r="G451" s="20" t="b">
        <x:v>0</x:v>
      </x:c>
      <x:c r="H451" s="21"/>
      <x:c r="I451" s="21"/>
      <x:c r="J451" s="14" t="str">
        <x:v>src-odysseus-00e2d87ae4a8</x:v>
      </x:c>
      <x:c r="K451" s="14" t="str">
        <x:v>reviewed</x:v>
      </x:c>
    </x:row>
    <x:row r="452" ht="26" customHeight="1">
      <x:c r="A452" s="14" t="str">
        <x:v>name-kingdom-salamis-cyprus-el-preferred</x:v>
      </x:c>
      <x:c r="B452" s="14" t="str">
        <x:v>kingdom-salamis-cyprus</x:v>
      </x:c>
      <x:c r="C452" s="14" t="str">
        <x:v>Πόλη-βασίλειο της Σαλαμίνας Κύπρου</x:v>
      </x:c>
      <x:c r="D452" s="14" t="str">
        <x:v>el</x:v>
      </x:c>
      <x:c r="E452" s="14" t="str">
        <x:v>Grek</x:v>
      </x:c>
      <x:c r="F452" s="14" t="str">
        <x:v>preferred</x:v>
      </x:c>
      <x:c r="G452" s="20" t="b">
        <x:v>1</x:v>
      </x:c>
      <x:c r="H452" s="21"/>
      <x:c r="I452" s="21"/>
      <x:c r="J452" s="14" t="str">
        <x:v>src-uni-muenster-0a0030be4d2a</x:v>
      </x:c>
      <x:c r="K452" s="14" t="str">
        <x:v>reviewed</x:v>
      </x:c>
    </x:row>
    <x:row r="453" ht="26" customHeight="1">
      <x:c r="A453" s="14" t="str">
        <x:v>name-kingdom-salamis-cyprus-en-preferred</x:v>
      </x:c>
      <x:c r="B453" s="14" t="str">
        <x:v>kingdom-salamis-cyprus</x:v>
      </x:c>
      <x:c r="C453" s="14" t="str">
        <x:v>City-Kingdom of Salamis, Cyprus</x:v>
      </x:c>
      <x:c r="D453" s="14" t="str">
        <x:v>en</x:v>
      </x:c>
      <x:c r="E453" s="14" t="str">
        <x:v>Latn</x:v>
      </x:c>
      <x:c r="F453" s="14" t="str">
        <x:v>preferred</x:v>
      </x:c>
      <x:c r="G453" s="20" t="b">
        <x:v>1</x:v>
      </x:c>
      <x:c r="H453" s="21"/>
      <x:c r="I453" s="21"/>
      <x:c r="J453" s="14" t="str">
        <x:v>src-uni-muenster-0a0030be4d2a</x:v>
      </x:c>
      <x:c r="K453" s="14" t="str">
        <x:v>reviewed</x:v>
      </x:c>
    </x:row>
    <x:row r="454" ht="26" customHeight="1">
      <x:c r="A454" s="14" t="str">
        <x:v>name-kingdom-salamis-cyprus-grc-ancient</x:v>
      </x:c>
      <x:c r="B454" s="14" t="str">
        <x:v>kingdom-salamis-cyprus</x:v>
      </x:c>
      <x:c r="C454" s="14" t="str">
        <x:v>Σαλαμίς</x:v>
      </x:c>
      <x:c r="D454" s="14" t="str">
        <x:v>grc</x:v>
      </x:c>
      <x:c r="E454" s="14" t="str">
        <x:v>Grek</x:v>
      </x:c>
      <x:c r="F454" s="14" t="str">
        <x:v>ancient</x:v>
      </x:c>
      <x:c r="G454" s="20" t="b">
        <x:v>0</x:v>
      </x:c>
      <x:c r="H454" s="21"/>
      <x:c r="I454" s="21"/>
      <x:c r="J454" s="14" t="str">
        <x:v>src-uni-muenster-0a0030be4d2a</x:v>
      </x:c>
      <x:c r="K454" s="14" t="str">
        <x:v>reviewed</x:v>
      </x:c>
    </x:row>
    <x:row r="455" ht="26" customHeight="1">
      <x:c r="A455" s="14" t="str">
        <x:v>name-kingdom-seleucid-el-preferred</x:v>
      </x:c>
      <x:c r="B455" s="14" t="str">
        <x:v>kingdom-seleucid</x:v>
      </x:c>
      <x:c r="C455" s="14" t="str">
        <x:v>Σελευκιδικό Βασίλειο</x:v>
      </x:c>
      <x:c r="D455" s="14" t="str">
        <x:v>el</x:v>
      </x:c>
      <x:c r="E455" s="14" t="str">
        <x:v>Grek</x:v>
      </x:c>
      <x:c r="F455" s="14" t="str">
        <x:v>preferred</x:v>
      </x:c>
      <x:c r="G455" s="20" t="b">
        <x:v>1</x:v>
      </x:c>
      <x:c r="H455" s="21"/>
      <x:c r="I455" s="21"/>
      <x:c r="J455" s="14" t="str">
        <x:v>src-metmuseum-31540f5687cf</x:v>
      </x:c>
      <x:c r="K455" s="14" t="str">
        <x:v>reviewed</x:v>
      </x:c>
    </x:row>
    <x:row r="456" ht="26" customHeight="1">
      <x:c r="A456" s="14" t="str">
        <x:v>name-kingdom-seleucid-en-preferred</x:v>
      </x:c>
      <x:c r="B456" s="14" t="str">
        <x:v>kingdom-seleucid</x:v>
      </x:c>
      <x:c r="C456" s="14" t="str">
        <x:v>Seleucid Empire</x:v>
      </x:c>
      <x:c r="D456" s="14" t="str">
        <x:v>en</x:v>
      </x:c>
      <x:c r="E456" s="14" t="str">
        <x:v>Latn</x:v>
      </x:c>
      <x:c r="F456" s="14" t="str">
        <x:v>preferred</x:v>
      </x:c>
      <x:c r="G456" s="20" t="b">
        <x:v>1</x:v>
      </x:c>
      <x:c r="H456" s="21"/>
      <x:c r="I456" s="21"/>
      <x:c r="J456" s="14" t="str">
        <x:v>src-metmuseum-31540f5687cf</x:v>
      </x:c>
      <x:c r="K456" s="14" t="str">
        <x:v>reviewed</x:v>
      </x:c>
    </x:row>
    <x:row r="457" ht="26" customHeight="1">
      <x:c r="A457" s="14" t="str">
        <x:v>name-kingdom-seleucid-grc-ancient</x:v>
      </x:c>
      <x:c r="B457" s="14" t="str">
        <x:v>kingdom-seleucid</x:v>
      </x:c>
      <x:c r="C457" s="14" t="str">
        <x:v>Βασιλεία τῶν Σελευκιδῶν</x:v>
      </x:c>
      <x:c r="D457" s="14" t="str">
        <x:v>grc</x:v>
      </x:c>
      <x:c r="E457" s="14" t="str">
        <x:v>Grek</x:v>
      </x:c>
      <x:c r="F457" s="14" t="str">
        <x:v>ancient</x:v>
      </x:c>
      <x:c r="G457" s="20" t="b">
        <x:v>0</x:v>
      </x:c>
      <x:c r="H457" s="21"/>
      <x:c r="I457" s="21"/>
      <x:c r="J457" s="14" t="str">
        <x:v>src-metmuseum-31540f5687cf</x:v>
      </x:c>
      <x:c r="K457" s="14" t="str">
        <x:v>reviewed</x:v>
      </x:c>
    </x:row>
    <x:row r="458" ht="26" customHeight="1">
      <x:c r="A458" s="14" t="str">
        <x:v>name-kingdom-syracuse-agathocles-el-preferred</x:v>
      </x:c>
      <x:c r="B458" s="14" t="str">
        <x:v>kingdom-syracuse-agathocles</x:v>
      </x:c>
      <x:c r="C458" s="14" t="str">
        <x:v>Βασίλειο των Συρακουσών του Αγαθοκλή</x:v>
      </x:c>
      <x:c r="D458" s="14" t="str">
        <x:v>el</x:v>
      </x:c>
      <x:c r="E458" s="14" t="str">
        <x:v>Grek</x:v>
      </x:c>
      <x:c r="F458" s="14" t="str">
        <x:v>preferred</x:v>
      </x:c>
      <x:c r="G458" s="20" t="b">
        <x:v>1</x:v>
      </x:c>
      <x:c r="H458" s="21"/>
      <x:c r="I458" s="21"/>
      <x:c r="J458" s="14" t="str">
        <x:v>src-britishmuseum-073d3f0a8ae4</x:v>
      </x:c>
      <x:c r="K458" s="14" t="str">
        <x:v>reviewed</x:v>
      </x:c>
    </x:row>
    <x:row r="459" ht="26" customHeight="1">
      <x:c r="A459" s="14" t="str">
        <x:v>name-kingdom-syracuse-agathocles-en-preferred</x:v>
      </x:c>
      <x:c r="B459" s="14" t="str">
        <x:v>kingdom-syracuse-agathocles</x:v>
      </x:c>
      <x:c r="C459" s="14" t="str">
        <x:v>Kingdom of Syracuse under Agathocles</x:v>
      </x:c>
      <x:c r="D459" s="14" t="str">
        <x:v>en</x:v>
      </x:c>
      <x:c r="E459" s="14" t="str">
        <x:v>Latn</x:v>
      </x:c>
      <x:c r="F459" s="14" t="str">
        <x:v>preferred</x:v>
      </x:c>
      <x:c r="G459" s="20" t="b">
        <x:v>1</x:v>
      </x:c>
      <x:c r="H459" s="21"/>
      <x:c r="I459" s="21"/>
      <x:c r="J459" s="14" t="str">
        <x:v>src-britishmuseum-073d3f0a8ae4</x:v>
      </x:c>
      <x:c r="K459" s="14" t="str">
        <x:v>reviewed</x:v>
      </x:c>
    </x:row>
    <x:row r="460" ht="26" customHeight="1">
      <x:c r="A460" s="14" t="str">
        <x:v>name-kingdom-syracuse-agathocles-grc-ancient</x:v>
      </x:c>
      <x:c r="B460" s="14" t="str">
        <x:v>kingdom-syracuse-agathocles</x:v>
      </x:c>
      <x:c r="C460" s="14" t="str">
        <x:v>Συράκουσαι</x:v>
      </x:c>
      <x:c r="D460" s="14" t="str">
        <x:v>grc</x:v>
      </x:c>
      <x:c r="E460" s="14" t="str">
        <x:v>Grek</x:v>
      </x:c>
      <x:c r="F460" s="14" t="str">
        <x:v>ancient</x:v>
      </x:c>
      <x:c r="G460" s="20" t="b">
        <x:v>0</x:v>
      </x:c>
      <x:c r="H460" s="21"/>
      <x:c r="I460" s="21"/>
      <x:c r="J460" s="14" t="str">
        <x:v>src-britishmuseum-073d3f0a8ae4</x:v>
      </x:c>
      <x:c r="K460" s="14" t="str">
        <x:v>reviewed</x:v>
      </x:c>
    </x:row>
    <x:row r="461" ht="26" customHeight="1">
      <x:c r="A461" s="14" t="str">
        <x:v>name-kingdom-syracuse-hieron-ii-el-preferred</x:v>
      </x:c>
      <x:c r="B461" s="14" t="str">
        <x:v>kingdom-syracuse-hieron-ii</x:v>
      </x:c>
      <x:c r="C461" s="14" t="str">
        <x:v>Βασίλειο των Συρακουσών του Ιέρωνα Β΄</x:v>
      </x:c>
      <x:c r="D461" s="14" t="str">
        <x:v>el</x:v>
      </x:c>
      <x:c r="E461" s="14" t="str">
        <x:v>Grek</x:v>
      </x:c>
      <x:c r="F461" s="14" t="str">
        <x:v>preferred</x:v>
      </x:c>
      <x:c r="G461" s="20" t="b">
        <x:v>1</x:v>
      </x:c>
      <x:c r="H461" s="21"/>
      <x:c r="I461" s="21"/>
      <x:c r="J461" s="14" t="str">
        <x:v>src-britishmuseum-d101eb623c92</x:v>
      </x:c>
      <x:c r="K461" s="14" t="str">
        <x:v>reviewed</x:v>
      </x:c>
    </x:row>
    <x:row r="462" ht="26" customHeight="1">
      <x:c r="A462" s="14" t="str">
        <x:v>name-kingdom-syracuse-hieron-ii-en-preferred</x:v>
      </x:c>
      <x:c r="B462" s="14" t="str">
        <x:v>kingdom-syracuse-hieron-ii</x:v>
      </x:c>
      <x:c r="C462" s="14" t="str">
        <x:v>Kingdom of Syracuse under Hieron II</x:v>
      </x:c>
      <x:c r="D462" s="14" t="str">
        <x:v>en</x:v>
      </x:c>
      <x:c r="E462" s="14" t="str">
        <x:v>Latn</x:v>
      </x:c>
      <x:c r="F462" s="14" t="str">
        <x:v>preferred</x:v>
      </x:c>
      <x:c r="G462" s="20" t="b">
        <x:v>1</x:v>
      </x:c>
      <x:c r="H462" s="21"/>
      <x:c r="I462" s="21"/>
      <x:c r="J462" s="14" t="str">
        <x:v>src-britishmuseum-d101eb623c92</x:v>
      </x:c>
      <x:c r="K462" s="14" t="str">
        <x:v>reviewed</x:v>
      </x:c>
    </x:row>
    <x:row r="463" ht="26" customHeight="1">
      <x:c r="A463" s="14" t="str">
        <x:v>name-kingdom-syracuse-hieron-ii-grc-ancient</x:v>
      </x:c>
      <x:c r="B463" s="14" t="str">
        <x:v>kingdom-syracuse-hieron-ii</x:v>
      </x:c>
      <x:c r="C463" s="14" t="str">
        <x:v>Συράκουσαι</x:v>
      </x:c>
      <x:c r="D463" s="14" t="str">
        <x:v>grc</x:v>
      </x:c>
      <x:c r="E463" s="14" t="str">
        <x:v>Grek</x:v>
      </x:c>
      <x:c r="F463" s="14" t="str">
        <x:v>ancient</x:v>
      </x:c>
      <x:c r="G463" s="20" t="b">
        <x:v>0</x:v>
      </x:c>
      <x:c r="H463" s="21"/>
      <x:c r="I463" s="21"/>
      <x:c r="J463" s="14" t="str">
        <x:v>src-britishmuseum-d101eb623c92</x:v>
      </x:c>
      <x:c r="K463" s="14" t="str">
        <x:v>reviewed</x:v>
      </x:c>
    </x:row>
    <x:row r="464" ht="26" customHeight="1">
      <x:c r="A464" s="14" t="str">
        <x:v>name-kingdom-thebes-palatial-el-preferred</x:v>
      </x:c>
      <x:c r="B464" s="14" t="str">
        <x:v>kingdom-thebes-palatial</x:v>
      </x:c>
      <x:c r="C464" s="14" t="str">
        <x:v>Ανακτορικό κράτος της Θήβας</x:v>
      </x:c>
      <x:c r="D464" s="14" t="str">
        <x:v>el</x:v>
      </x:c>
      <x:c r="E464" s="14" t="str">
        <x:v>Grek</x:v>
      </x:c>
      <x:c r="F464" s="14" t="str">
        <x:v>preferred</x:v>
      </x:c>
      <x:c r="G464" s="20" t="b">
        <x:v>1</x:v>
      </x:c>
      <x:c r="H464" s="21"/>
      <x:c r="I464" s="21"/>
      <x:c r="J464" s="14" t="str">
        <x:v>src-mthv-715d665b63b5</x:v>
      </x:c>
      <x:c r="K464" s="14" t="str">
        <x:v>reviewed</x:v>
      </x:c>
    </x:row>
    <x:row r="465" ht="26" customHeight="1">
      <x:c r="A465" s="14" t="str">
        <x:v>name-kingdom-thebes-palatial-en-preferred</x:v>
      </x:c>
      <x:c r="B465" s="14" t="str">
        <x:v>kingdom-thebes-palatial</x:v>
      </x:c>
      <x:c r="C465" s="14" t="str">
        <x:v>Thebes Palatial State</x:v>
      </x:c>
      <x:c r="D465" s="14" t="str">
        <x:v>en</x:v>
      </x:c>
      <x:c r="E465" s="14" t="str">
        <x:v>Latn</x:v>
      </x:c>
      <x:c r="F465" s="14" t="str">
        <x:v>preferred</x:v>
      </x:c>
      <x:c r="G465" s="20" t="b">
        <x:v>1</x:v>
      </x:c>
      <x:c r="H465" s="21"/>
      <x:c r="I465" s="21"/>
      <x:c r="J465" s="14" t="str">
        <x:v>src-mthv-715d665b63b5</x:v>
      </x:c>
      <x:c r="K465" s="14" t="str">
        <x:v>reviewed</x:v>
      </x:c>
    </x:row>
    <x:row r="466" ht="26" customHeight="1">
      <x:c r="A466" s="14" t="str">
        <x:v>name-kingdom-thebes-palatial-grc-ancient</x:v>
      </x:c>
      <x:c r="B466" s="14" t="str">
        <x:v>kingdom-thebes-palatial</x:v>
      </x:c>
      <x:c r="C466" s="14" t="str">
        <x:v>Θῆβαι</x:v>
      </x:c>
      <x:c r="D466" s="14" t="str">
        <x:v>grc</x:v>
      </x:c>
      <x:c r="E466" s="14" t="str">
        <x:v>Grek</x:v>
      </x:c>
      <x:c r="F466" s="14" t="str">
        <x:v>ancient</x:v>
      </x:c>
      <x:c r="G466" s="20" t="b">
        <x:v>0</x:v>
      </x:c>
      <x:c r="H466" s="21"/>
      <x:c r="I466" s="21"/>
      <x:c r="J466" s="14" t="str">
        <x:v>src-mthv-715d665b63b5</x:v>
      </x:c>
      <x:c r="K466" s="14" t="str">
        <x:v>reviewed</x:v>
      </x:c>
    </x:row>
    <x:row r="467" ht="26" customHeight="1">
      <x:c r="A467" s="14" t="str">
        <x:v>name-kingdom-tiryns-palatial-el-preferred</x:v>
      </x:c>
      <x:c r="B467" s="14" t="str">
        <x:v>kingdom-tiryns-palatial</x:v>
      </x:c>
      <x:c r="C467" s="14" t="str">
        <x:v>Ανακτορικό κράτος της Τίρυνθας</x:v>
      </x:c>
      <x:c r="D467" s="14" t="str">
        <x:v>el</x:v>
      </x:c>
      <x:c r="E467" s="14" t="str">
        <x:v>Grek</x:v>
      </x:c>
      <x:c r="F467" s="14" t="str">
        <x:v>preferred</x:v>
      </x:c>
      <x:c r="G467" s="20" t="b">
        <x:v>1</x:v>
      </x:c>
      <x:c r="H467" s="21"/>
      <x:c r="I467" s="21"/>
      <x:c r="J467" s="14" t="str">
        <x:v>src-whc-6306f630553d</x:v>
      </x:c>
      <x:c r="K467" s="14" t="str">
        <x:v>reviewed</x:v>
      </x:c>
    </x:row>
    <x:row r="468" ht="26" customHeight="1">
      <x:c r="A468" s="14" t="str">
        <x:v>name-kingdom-tiryns-palatial-en-preferred</x:v>
      </x:c>
      <x:c r="B468" s="14" t="str">
        <x:v>kingdom-tiryns-palatial</x:v>
      </x:c>
      <x:c r="C468" s="14" t="str">
        <x:v>Tiryns Palatial State</x:v>
      </x:c>
      <x:c r="D468" s="14" t="str">
        <x:v>en</x:v>
      </x:c>
      <x:c r="E468" s="14" t="str">
        <x:v>Latn</x:v>
      </x:c>
      <x:c r="F468" s="14" t="str">
        <x:v>preferred</x:v>
      </x:c>
      <x:c r="G468" s="20" t="b">
        <x:v>1</x:v>
      </x:c>
      <x:c r="H468" s="21"/>
      <x:c r="I468" s="21"/>
      <x:c r="J468" s="14" t="str">
        <x:v>src-whc-6306f630553d</x:v>
      </x:c>
      <x:c r="K468" s="14" t="str">
        <x:v>reviewed</x:v>
      </x:c>
    </x:row>
    <x:row r="469" ht="26" customHeight="1">
      <x:c r="A469" s="14" t="str">
        <x:v>name-kingdom-tiryns-palatial-grc-ancient</x:v>
      </x:c>
      <x:c r="B469" s="14" t="str">
        <x:v>kingdom-tiryns-palatial</x:v>
      </x:c>
      <x:c r="C469" s="14" t="str">
        <x:v>Τίρυνς</x:v>
      </x:c>
      <x:c r="D469" s="14" t="str">
        <x:v>grc</x:v>
      </x:c>
      <x:c r="E469" s="14" t="str">
        <x:v>Grek</x:v>
      </x:c>
      <x:c r="F469" s="14" t="str">
        <x:v>ancient</x:v>
      </x:c>
      <x:c r="G469" s="20" t="b">
        <x:v>0</x:v>
      </x:c>
      <x:c r="H469" s="21"/>
      <x:c r="I469" s="21"/>
      <x:c r="J469" s="14" t="str">
        <x:v>src-whc-6306f630553d</x:v>
      </x:c>
      <x:c r="K469" s="14" t="str">
        <x:v>reviewed</x:v>
      </x:c>
    </x:row>
    <x:row r="470" ht="26" customHeight="1">
      <x:c r="A470" s="14" t="str">
        <x:v>name-sanctuary-aegina-aphaia-sanctuary-el-preferred</x:v>
      </x:c>
      <x:c r="B470" s="14" t="str">
        <x:v>sanctuary-aegina-aphaia-sanctuary</x:v>
      </x:c>
      <x:c r="C470" s="14" t="str">
        <x:v>Ιερό της Αφαίας στην Αίγινα</x:v>
      </x:c>
      <x:c r="D470" s="14" t="str">
        <x:v>el</x:v>
      </x:c>
      <x:c r="E470" s="14" t="str">
        <x:v>Grek</x:v>
      </x:c>
      <x:c r="F470" s="14" t="str">
        <x:v>preferred</x:v>
      </x:c>
      <x:c r="G470" s="20" t="b">
        <x:v>1</x:v>
      </x:c>
      <x:c r="H470" s="21"/>
      <x:c r="I470" s="21"/>
      <x:c r="J470" s="14" t="str">
        <x:v>src-pleiades-579872</x:v>
      </x:c>
      <x:c r="K470" s="14" t="str">
        <x:v>reviewed</x:v>
      </x:c>
    </x:row>
    <x:row r="471" ht="26" customHeight="1">
      <x:c r="A471" s="14" t="str">
        <x:v>name-sanctuary-aegina-aphaia-sanctuary-en-preferred</x:v>
      </x:c>
      <x:c r="B471" s="14" t="str">
        <x:v>sanctuary-aegina-aphaia-sanctuary</x:v>
      </x:c>
      <x:c r="C471" s="14" t="str">
        <x:v>Sanctuary of Aphaia on Aegina</x:v>
      </x:c>
      <x:c r="D471" s="14" t="str">
        <x:v>en</x:v>
      </x:c>
      <x:c r="E471" s="14" t="str">
        <x:v>Latn</x:v>
      </x:c>
      <x:c r="F471" s="14" t="str">
        <x:v>preferred</x:v>
      </x:c>
      <x:c r="G471" s="20" t="b">
        <x:v>1</x:v>
      </x:c>
      <x:c r="H471" s="21"/>
      <x:c r="I471" s="21"/>
      <x:c r="J471" s="14" t="str">
        <x:v>src-pleiades-579872</x:v>
      </x:c>
      <x:c r="K471" s="14" t="str">
        <x:v>reviewed</x:v>
      </x:c>
    </x:row>
    <x:row r="472" ht="26" customHeight="1">
      <x:c r="A472" s="14" t="str">
        <x:v>name-sanctuary-aegina-aphaia-sanctuary-grc-ancient</x:v>
      </x:c>
      <x:c r="B472" s="14" t="str">
        <x:v>sanctuary-aegina-aphaia-sanctuary</x:v>
      </x:c>
      <x:c r="C472" s="14" t="str">
        <x:v>Ἀφαίας ἱερόν</x:v>
      </x:c>
      <x:c r="D472" s="14" t="str">
        <x:v>grc</x:v>
      </x:c>
      <x:c r="E472" s="14" t="str">
        <x:v>Grek</x:v>
      </x:c>
      <x:c r="F472" s="14" t="str">
        <x:v>ancient</x:v>
      </x:c>
      <x:c r="G472" s="20" t="b">
        <x:v>0</x:v>
      </x:c>
      <x:c r="H472" s="21"/>
      <x:c r="I472" s="21"/>
      <x:c r="J472" s="14" t="str">
        <x:v>src-pleiades-579872</x:v>
      </x:c>
      <x:c r="K472" s="14" t="str">
        <x:v>reviewed</x:v>
      </x:c>
    </x:row>
    <x:row r="473" ht="26" customHeight="1">
      <x:c r="A473" s="14" t="str">
        <x:v>name-sanctuary-akragas-concordia-temple-sanctuary-el-preferred</x:v>
      </x:c>
      <x:c r="B473" s="14" t="str">
        <x:v>sanctuary-akragas-concordia-temple-sanctuary</x:v>
      </x:c>
      <x:c r="C473" s="14" t="str">
        <x:v>Ναός της Ομόνοιας στον Ακράγαντα</x:v>
      </x:c>
      <x:c r="D473" s="14" t="str">
        <x:v>el</x:v>
      </x:c>
      <x:c r="E473" s="14" t="str">
        <x:v>Grek</x:v>
      </x:c>
      <x:c r="F473" s="14" t="str">
        <x:v>preferred</x:v>
      </x:c>
      <x:c r="G473" s="20" t="b">
        <x:v>1</x:v>
      </x:c>
      <x:c r="H473" s="21"/>
      <x:c r="I473" s="21"/>
      <x:c r="J473" s="14" t="str">
        <x:v>src-pleiades-943504072</x:v>
      </x:c>
      <x:c r="K473" s="14" t="str">
        <x:v>reviewed</x:v>
      </x:c>
    </x:row>
    <x:row r="474" ht="26" customHeight="1">
      <x:c r="A474" s="14" t="str">
        <x:v>name-sanctuary-akragas-concordia-temple-sanctuary-en-preferred</x:v>
      </x:c>
      <x:c r="B474" s="14" t="str">
        <x:v>sanctuary-akragas-concordia-temple-sanctuary</x:v>
      </x:c>
      <x:c r="C474" s="14" t="str">
        <x:v>Temple of Concordia at Akragas</x:v>
      </x:c>
      <x:c r="D474" s="14" t="str">
        <x:v>en</x:v>
      </x:c>
      <x:c r="E474" s="14" t="str">
        <x:v>Latn</x:v>
      </x:c>
      <x:c r="F474" s="14" t="str">
        <x:v>preferred</x:v>
      </x:c>
      <x:c r="G474" s="20" t="b">
        <x:v>1</x:v>
      </x:c>
      <x:c r="H474" s="21"/>
      <x:c r="I474" s="21"/>
      <x:c r="J474" s="14" t="str">
        <x:v>src-pleiades-943504072</x:v>
      </x:c>
      <x:c r="K474" s="14" t="str">
        <x:v>reviewed</x:v>
      </x:c>
    </x:row>
    <x:row r="475" ht="26" customHeight="1">
      <x:c r="A475" s="14" t="str">
        <x:v>name-sanctuary-alexandria-serapeum-el-preferred</x:v>
      </x:c>
      <x:c r="B475" s="14" t="str">
        <x:v>sanctuary-alexandria-serapeum</x:v>
      </x:c>
      <x:c r="C475" s="14" t="str">
        <x:v>Σεραπείο Αλεξάνδρειας</x:v>
      </x:c>
      <x:c r="D475" s="14" t="str">
        <x:v>el</x:v>
      </x:c>
      <x:c r="E475" s="14" t="str">
        <x:v>Grek</x:v>
      </x:c>
      <x:c r="F475" s="14" t="str">
        <x:v>preferred</x:v>
      </x:c>
      <x:c r="G475" s="20" t="b">
        <x:v>1</x:v>
      </x:c>
      <x:c r="H475" s="21"/>
      <x:c r="I475" s="21"/>
      <x:c r="J475" s="14" t="str">
        <x:v>src-pleiades-182618516</x:v>
      </x:c>
      <x:c r="K475" s="14" t="str">
        <x:v>reviewed</x:v>
      </x:c>
    </x:row>
    <x:row r="476" ht="26" customHeight="1">
      <x:c r="A476" s="14" t="str">
        <x:v>name-sanctuary-alexandria-serapeum-en-preferred</x:v>
      </x:c>
      <x:c r="B476" s="14" t="str">
        <x:v>sanctuary-alexandria-serapeum</x:v>
      </x:c>
      <x:c r="C476" s="14" t="str">
        <x:v>Serapeum of Alexandria</x:v>
      </x:c>
      <x:c r="D476" s="14" t="str">
        <x:v>en</x:v>
      </x:c>
      <x:c r="E476" s="14" t="str">
        <x:v>Latn</x:v>
      </x:c>
      <x:c r="F476" s="14" t="str">
        <x:v>preferred</x:v>
      </x:c>
      <x:c r="G476" s="20" t="b">
        <x:v>1</x:v>
      </x:c>
      <x:c r="H476" s="21"/>
      <x:c r="I476" s="21"/>
      <x:c r="J476" s="14" t="str">
        <x:v>src-pleiades-182618516</x:v>
      </x:c>
      <x:c r="K476" s="14" t="str">
        <x:v>reviewed</x:v>
      </x:c>
    </x:row>
    <x:row r="477" ht="26" customHeight="1">
      <x:c r="A477" s="14" t="str">
        <x:v>name-sanctuary-alexandria-serapeum-grc-ancient</x:v>
      </x:c>
      <x:c r="B477" s="14" t="str">
        <x:v>sanctuary-alexandria-serapeum</x:v>
      </x:c>
      <x:c r="C477" s="14" t="str">
        <x:v>Σαραπεῖον</x:v>
      </x:c>
      <x:c r="D477" s="14" t="str">
        <x:v>grc</x:v>
      </x:c>
      <x:c r="E477" s="14" t="str">
        <x:v>Grek</x:v>
      </x:c>
      <x:c r="F477" s="14" t="str">
        <x:v>ancient</x:v>
      </x:c>
      <x:c r="G477" s="20" t="b">
        <x:v>0</x:v>
      </x:c>
      <x:c r="H477" s="21"/>
      <x:c r="I477" s="21"/>
      <x:c r="J477" s="14" t="str">
        <x:v>src-pleiades-182618516</x:v>
      </x:c>
      <x:c r="K477" s="14" t="str">
        <x:v>reviewed</x:v>
      </x:c>
    </x:row>
    <x:row r="478" ht="26" customHeight="1">
      <x:c r="A478" s="14" t="str">
        <x:v>name-sanctuary-amyklaion-apollo-sanctuary-el-preferred</x:v>
      </x:c>
      <x:c r="B478" s="14" t="str">
        <x:v>sanctuary-amyklaion-apollo-sanctuary</x:v>
      </x:c>
      <x:c r="C478" s="14" t="str">
        <x:v>Αμυκλαίο</x:v>
      </x:c>
      <x:c r="D478" s="14" t="str">
        <x:v>el</x:v>
      </x:c>
      <x:c r="E478" s="14" t="str">
        <x:v>Grek</x:v>
      </x:c>
      <x:c r="F478" s="14" t="str">
        <x:v>preferred</x:v>
      </x:c>
      <x:c r="G478" s="20" t="b">
        <x:v>1</x:v>
      </x:c>
      <x:c r="H478" s="21"/>
      <x:c r="I478" s="21"/>
      <x:c r="J478" s="14" t="str">
        <x:v>src-pleiades-73644851</x:v>
      </x:c>
      <x:c r="K478" s="14" t="str">
        <x:v>reviewed</x:v>
      </x:c>
    </x:row>
    <x:row r="479" ht="26" customHeight="1">
      <x:c r="A479" s="14" t="str">
        <x:v>name-sanctuary-amyklaion-apollo-sanctuary-en-preferred</x:v>
      </x:c>
      <x:c r="B479" s="14" t="str">
        <x:v>sanctuary-amyklaion-apollo-sanctuary</x:v>
      </x:c>
      <x:c r="C479" s="14" t="str">
        <x:v>Amyklaion Sanctuary of Apollo</x:v>
      </x:c>
      <x:c r="D479" s="14" t="str">
        <x:v>en</x:v>
      </x:c>
      <x:c r="E479" s="14" t="str">
        <x:v>Latn</x:v>
      </x:c>
      <x:c r="F479" s="14" t="str">
        <x:v>preferred</x:v>
      </x:c>
      <x:c r="G479" s="20" t="b">
        <x:v>1</x:v>
      </x:c>
      <x:c r="H479" s="21"/>
      <x:c r="I479" s="21"/>
      <x:c r="J479" s="14" t="str">
        <x:v>src-pleiades-73644851</x:v>
      </x:c>
      <x:c r="K479" s="14" t="str">
        <x:v>reviewed</x:v>
      </x:c>
    </x:row>
    <x:row r="480" ht="26" customHeight="1">
      <x:c r="A480" s="14" t="str">
        <x:v>name-sanctuary-amyklaion-apollo-sanctuary-grc-ancient</x:v>
      </x:c>
      <x:c r="B480" s="14" t="str">
        <x:v>sanctuary-amyklaion-apollo-sanctuary</x:v>
      </x:c>
      <x:c r="C480" s="14" t="str">
        <x:v>Ἀμύκλαι</x:v>
      </x:c>
      <x:c r="D480" s="14" t="str">
        <x:v>grc</x:v>
      </x:c>
      <x:c r="E480" s="14" t="str">
        <x:v>Grek</x:v>
      </x:c>
      <x:c r="F480" s="14" t="str">
        <x:v>ancient</x:v>
      </x:c>
      <x:c r="G480" s="20" t="b">
        <x:v>0</x:v>
      </x:c>
      <x:c r="H480" s="21"/>
      <x:c r="I480" s="21"/>
      <x:c r="J480" s="14" t="str">
        <x:v>src-pleiades-73644851</x:v>
      </x:c>
      <x:c r="K480" s="14" t="str">
        <x:v>reviewed</x:v>
      </x:c>
    </x:row>
    <x:row r="481" ht="26" customHeight="1">
      <x:c r="A481" s="14" t="str">
        <x:v>name-sanctuary-aphrodisias-aphrodite-sanctuary-el-preferred</x:v>
      </x:c>
      <x:c r="B481" s="14" t="str">
        <x:v>sanctuary-aphrodisias-aphrodite-sanctuary</x:v>
      </x:c>
      <x:c r="C481" s="14" t="str">
        <x:v>Ιερό της Αφροδίτης στην Αφροδισιάδα</x:v>
      </x:c>
      <x:c r="D481" s="14" t="str">
        <x:v>el</x:v>
      </x:c>
      <x:c r="E481" s="14" t="str">
        <x:v>Grek</x:v>
      </x:c>
      <x:c r="F481" s="14" t="str">
        <x:v>preferred</x:v>
      </x:c>
      <x:c r="G481" s="20" t="b">
        <x:v>1</x:v>
      </x:c>
      <x:c r="H481" s="21"/>
      <x:c r="I481" s="21"/>
      <x:c r="J481" s="14" t="str">
        <x:v>src-aphrodisias-excavations-68b8b8553e48</x:v>
      </x:c>
      <x:c r="K481" s="14" t="str">
        <x:v>reviewed</x:v>
      </x:c>
    </x:row>
    <x:row r="482" ht="26" customHeight="1">
      <x:c r="A482" s="14" t="str">
        <x:v>name-sanctuary-aphrodisias-aphrodite-sanctuary-en-preferred</x:v>
      </x:c>
      <x:c r="B482" s="14" t="str">
        <x:v>sanctuary-aphrodisias-aphrodite-sanctuary</x:v>
      </x:c>
      <x:c r="C482" s="14" t="str">
        <x:v>Sanctuary of Aphrodite at Aphrodisias</x:v>
      </x:c>
      <x:c r="D482" s="14" t="str">
        <x:v>en</x:v>
      </x:c>
      <x:c r="E482" s="14" t="str">
        <x:v>Latn</x:v>
      </x:c>
      <x:c r="F482" s="14" t="str">
        <x:v>preferred</x:v>
      </x:c>
      <x:c r="G482" s="20" t="b">
        <x:v>1</x:v>
      </x:c>
      <x:c r="H482" s="21"/>
      <x:c r="I482" s="21"/>
      <x:c r="J482" s="14" t="str">
        <x:v>src-aphrodisias-excavations-68b8b8553e48</x:v>
      </x:c>
      <x:c r="K482" s="14" t="str">
        <x:v>reviewed</x:v>
      </x:c>
    </x:row>
    <x:row r="483" ht="26" customHeight="1">
      <x:c r="A483" s="14" t="str">
        <x:v>name-sanctuary-aphrodisias-aphrodite-sanctuary-grc-ancient</x:v>
      </x:c>
      <x:c r="B483" s="14" t="str">
        <x:v>sanctuary-aphrodisias-aphrodite-sanctuary</x:v>
      </x:c>
      <x:c r="C483" s="14" t="str">
        <x:v>Ἀφροδίτης ἱερόν</x:v>
      </x:c>
      <x:c r="D483" s="14" t="str">
        <x:v>grc</x:v>
      </x:c>
      <x:c r="E483" s="14" t="str">
        <x:v>Grek</x:v>
      </x:c>
      <x:c r="F483" s="14" t="str">
        <x:v>ancient</x:v>
      </x:c>
      <x:c r="G483" s="20" t="b">
        <x:v>0</x:v>
      </x:c>
      <x:c r="H483" s="21"/>
      <x:c r="I483" s="21"/>
      <x:c r="J483" s="14" t="str">
        <x:v>src-aphrodisias-excavations-68b8b8553e48</x:v>
      </x:c>
      <x:c r="K483" s="14" t="str">
        <x:v>reviewed</x:v>
      </x:c>
    </x:row>
    <x:row r="484" ht="26" customHeight="1">
      <x:c r="A484" s="14" t="str">
        <x:v>name-sanctuary-apollonia-pontica-apollo-ietros-sanctuary-el-preferred</x:v>
      </x:c>
      <x:c r="B484" s="14" t="str">
        <x:v>sanctuary-apollonia-pontica-apollo-ietros-sanctuary</x:v>
      </x:c>
      <x:c r="C484" s="14" t="str">
        <x:v>Ιερό του Απόλλωνα Ιητρού στην Απολλωνία Ποντική</x:v>
      </x:c>
      <x:c r="D484" s="14" t="str">
        <x:v>el</x:v>
      </x:c>
      <x:c r="E484" s="14" t="str">
        <x:v>Grek</x:v>
      </x:c>
      <x:c r="F484" s="14" t="str">
        <x:v>preferred</x:v>
      </x:c>
      <x:c r="G484" s="20" t="b">
        <x:v>1</x:v>
      </x:c>
      <x:c r="H484" s="21"/>
      <x:c r="I484" s="21"/>
      <x:c r="J484" s="14" t="str">
        <x:v>src-pleiades-216706</x:v>
      </x:c>
      <x:c r="K484" s="14" t="str">
        <x:v>reviewed</x:v>
      </x:c>
    </x:row>
    <x:row r="485" ht="26" customHeight="1">
      <x:c r="A485" s="14" t="str">
        <x:v>name-sanctuary-apollonia-pontica-apollo-ietros-sanctuary-en-preferred</x:v>
      </x:c>
      <x:c r="B485" s="14" t="str">
        <x:v>sanctuary-apollonia-pontica-apollo-ietros-sanctuary</x:v>
      </x:c>
      <x:c r="C485" s="14" t="str">
        <x:v>Sanctuary of Apollo Ietros at Apollonia Pontica</x:v>
      </x:c>
      <x:c r="D485" s="14" t="str">
        <x:v>en</x:v>
      </x:c>
      <x:c r="E485" s="14" t="str">
        <x:v>Latn</x:v>
      </x:c>
      <x:c r="F485" s="14" t="str">
        <x:v>preferred</x:v>
      </x:c>
      <x:c r="G485" s="20" t="b">
        <x:v>1</x:v>
      </x:c>
      <x:c r="H485" s="21"/>
      <x:c r="I485" s="21"/>
      <x:c r="J485" s="14" t="str">
        <x:v>src-pleiades-216706</x:v>
      </x:c>
      <x:c r="K485" s="14" t="str">
        <x:v>reviewed</x:v>
      </x:c>
    </x:row>
    <x:row r="486" ht="26" customHeight="1">
      <x:c r="A486" s="14" t="str">
        <x:v>name-sanctuary-apollonia-pontica-apollo-ietros-sanctuary-grc-ancient</x:v>
      </x:c>
      <x:c r="B486" s="14" t="str">
        <x:v>sanctuary-apollonia-pontica-apollo-ietros-sanctuary</x:v>
      </x:c>
      <x:c r="C486" s="14" t="str">
        <x:v>Ἀπόλλων Ἰητρός</x:v>
      </x:c>
      <x:c r="D486" s="14" t="str">
        <x:v>grc</x:v>
      </x:c>
      <x:c r="E486" s="14" t="str">
        <x:v>Grek</x:v>
      </x:c>
      <x:c r="F486" s="14" t="str">
        <x:v>ancient</x:v>
      </x:c>
      <x:c r="G486" s="20" t="b">
        <x:v>0</x:v>
      </x:c>
      <x:c r="H486" s="21"/>
      <x:c r="I486" s="21"/>
      <x:c r="J486" s="14" t="str">
        <x:v>src-pleiades-216706</x:v>
      </x:c>
      <x:c r="K486" s="14" t="str">
        <x:v>reviewed</x:v>
      </x:c>
    </x:row>
    <x:row r="487" ht="26" customHeight="1">
      <x:c r="A487" s="14" t="str">
        <x:v>name-sanctuary-argive-heraion-el-preferred</x:v>
      </x:c>
      <x:c r="B487" s="14" t="str">
        <x:v>sanctuary-argive-heraion</x:v>
      </x:c>
      <x:c r="C487" s="14" t="str">
        <x:v>Αργείο Ηραίο</x:v>
      </x:c>
      <x:c r="D487" s="14" t="str">
        <x:v>el</x:v>
      </x:c>
      <x:c r="E487" s="14" t="str">
        <x:v>Grek</x:v>
      </x:c>
      <x:c r="F487" s="14" t="str">
        <x:v>preferred</x:v>
      </x:c>
      <x:c r="G487" s="20" t="b">
        <x:v>1</x:v>
      </x:c>
      <x:c r="H487" s="21"/>
      <x:c r="I487" s="21"/>
      <x:c r="J487" s="14" t="str">
        <x:v>src-pleiades-570289</x:v>
      </x:c>
      <x:c r="K487" s="14" t="str">
        <x:v>reviewed</x:v>
      </x:c>
    </x:row>
    <x:row r="488" ht="26" customHeight="1">
      <x:c r="A488" s="14" t="str">
        <x:v>name-sanctuary-argive-heraion-en-preferred</x:v>
      </x:c>
      <x:c r="B488" s="14" t="str">
        <x:v>sanctuary-argive-heraion</x:v>
      </x:c>
      <x:c r="C488" s="14" t="str">
        <x:v>Argive Heraion</x:v>
      </x:c>
      <x:c r="D488" s="14" t="str">
        <x:v>en</x:v>
      </x:c>
      <x:c r="E488" s="14" t="str">
        <x:v>Latn</x:v>
      </x:c>
      <x:c r="F488" s="14" t="str">
        <x:v>preferred</x:v>
      </x:c>
      <x:c r="G488" s="20" t="b">
        <x:v>1</x:v>
      </x:c>
      <x:c r="H488" s="21"/>
      <x:c r="I488" s="21"/>
      <x:c r="J488" s="14" t="str">
        <x:v>src-pleiades-570289</x:v>
      </x:c>
      <x:c r="K488" s="14" t="str">
        <x:v>reviewed</x:v>
      </x:c>
    </x:row>
    <x:row r="489" ht="26" customHeight="1">
      <x:c r="A489" s="14" t="str">
        <x:v>name-sanctuary-argive-heraion-grc-ancient</x:v>
      </x:c>
      <x:c r="B489" s="14" t="str">
        <x:v>sanctuary-argive-heraion</x:v>
      </x:c>
      <x:c r="C489" s="14" t="str">
        <x:v>Ἡραῖον τὸ Ἀργεῖον</x:v>
      </x:c>
      <x:c r="D489" s="14" t="str">
        <x:v>grc</x:v>
      </x:c>
      <x:c r="E489" s="14" t="str">
        <x:v>Grek</x:v>
      </x:c>
      <x:c r="F489" s="14" t="str">
        <x:v>ancient</x:v>
      </x:c>
      <x:c r="G489" s="20" t="b">
        <x:v>0</x:v>
      </x:c>
      <x:c r="H489" s="21"/>
      <x:c r="I489" s="21"/>
      <x:c r="J489" s="14" t="str">
        <x:v>src-pleiades-570289</x:v>
      </x:c>
      <x:c r="K489" s="14" t="str">
        <x:v>reviewed</x:v>
      </x:c>
    </x:row>
    <x:row r="490" ht="26" customHeight="1">
      <x:c r="A490" s="14" t="str">
        <x:v>name-sanctuary-athens-acropolis-sacred-center-el-preferred</x:v>
      </x:c>
      <x:c r="B490" s="14" t="str">
        <x:v>sanctuary-athens-acropolis-sacred-center</x:v>
      </x:c>
      <x:c r="C490" s="14" t="str">
        <x:v>Ιερό κέντρο της Ακρόπολης Αθηνών</x:v>
      </x:c>
      <x:c r="D490" s="14" t="str">
        <x:v>el</x:v>
      </x:c>
      <x:c r="E490" s="14" t="str">
        <x:v>Grek</x:v>
      </x:c>
      <x:c r="F490" s="14" t="str">
        <x:v>preferred</x:v>
      </x:c>
      <x:c r="G490" s="20" t="b">
        <x:v>1</x:v>
      </x:c>
      <x:c r="H490" s="21"/>
      <x:c r="I490" s="21"/>
      <x:c r="J490" s="14" t="str">
        <x:v>src-pleiades-638356144</x:v>
      </x:c>
      <x:c r="K490" s="14" t="str">
        <x:v>reviewed</x:v>
      </x:c>
    </x:row>
    <x:row r="491" ht="26" customHeight="1">
      <x:c r="A491" s="14" t="str">
        <x:v>name-sanctuary-athens-acropolis-sacred-center-en-preferred</x:v>
      </x:c>
      <x:c r="B491" s="14" t="str">
        <x:v>sanctuary-athens-acropolis-sacred-center</x:v>
      </x:c>
      <x:c r="C491" s="14" t="str">
        <x:v>Sacred Center of the Athenian Acropolis</x:v>
      </x:c>
      <x:c r="D491" s="14" t="str">
        <x:v>en</x:v>
      </x:c>
      <x:c r="E491" s="14" t="str">
        <x:v>Latn</x:v>
      </x:c>
      <x:c r="F491" s="14" t="str">
        <x:v>preferred</x:v>
      </x:c>
      <x:c r="G491" s="20" t="b">
        <x:v>1</x:v>
      </x:c>
      <x:c r="H491" s="21"/>
      <x:c r="I491" s="21"/>
      <x:c r="J491" s="14" t="str">
        <x:v>src-pleiades-638356144</x:v>
      </x:c>
      <x:c r="K491" s="14" t="str">
        <x:v>reviewed</x:v>
      </x:c>
    </x:row>
    <x:row r="492" ht="26" customHeight="1">
      <x:c r="A492" s="14" t="str">
        <x:v>name-sanctuary-athens-acropolis-sacred-center-grc-ancient</x:v>
      </x:c>
      <x:c r="B492" s="14" t="str">
        <x:v>sanctuary-athens-acropolis-sacred-center</x:v>
      </x:c>
      <x:c r="C492" s="14" t="str">
        <x:v>Ἀκρόπολις Ἀθηνῶν</x:v>
      </x:c>
      <x:c r="D492" s="14" t="str">
        <x:v>grc</x:v>
      </x:c>
      <x:c r="E492" s="14" t="str">
        <x:v>Grek</x:v>
      </x:c>
      <x:c r="F492" s="14" t="str">
        <x:v>ancient</x:v>
      </x:c>
      <x:c r="G492" s="20" t="b">
        <x:v>0</x:v>
      </x:c>
      <x:c r="H492" s="21"/>
      <x:c r="I492" s="21"/>
      <x:c r="J492" s="14" t="str">
        <x:v>src-pleiades-638356144</x:v>
      </x:c>
      <x:c r="K492" s="14" t="str">
        <x:v>reviewed</x:v>
      </x:c>
    </x:row>
    <x:row r="493" ht="26" customHeight="1">
      <x:c r="A493" s="14" t="str">
        <x:v>name-sanctuary-bassae-apollo-epikourios-el-preferred</x:v>
      </x:c>
      <x:c r="B493" s="14" t="str">
        <x:v>sanctuary-bassae-apollo-epikourios</x:v>
      </x:c>
      <x:c r="C493" s="14" t="str">
        <x:v>Ναός Επικουρίου Απόλλωνα στις Βάσσες</x:v>
      </x:c>
      <x:c r="D493" s="14" t="str">
        <x:v>el</x:v>
      </x:c>
      <x:c r="E493" s="14" t="str">
        <x:v>Grek</x:v>
      </x:c>
      <x:c r="F493" s="14" t="str">
        <x:v>preferred</x:v>
      </x:c>
      <x:c r="G493" s="20" t="b">
        <x:v>1</x:v>
      </x:c>
      <x:c r="H493" s="21"/>
      <x:c r="I493" s="21"/>
      <x:c r="J493" s="14" t="str">
        <x:v>src-pleiades-570148</x:v>
      </x:c>
      <x:c r="K493" s="14" t="str">
        <x:v>reviewed</x:v>
      </x:c>
    </x:row>
    <x:row r="494" ht="26" customHeight="1">
      <x:c r="A494" s="14" t="str">
        <x:v>name-sanctuary-bassae-apollo-epikourios-en-preferred</x:v>
      </x:c>
      <x:c r="B494" s="14" t="str">
        <x:v>sanctuary-bassae-apollo-epikourios</x:v>
      </x:c>
      <x:c r="C494" s="14" t="str">
        <x:v>Temple of Apollo Epikourios at Bassae</x:v>
      </x:c>
      <x:c r="D494" s="14" t="str">
        <x:v>en</x:v>
      </x:c>
      <x:c r="E494" s="14" t="str">
        <x:v>Latn</x:v>
      </x:c>
      <x:c r="F494" s="14" t="str">
        <x:v>preferred</x:v>
      </x:c>
      <x:c r="G494" s="20" t="b">
        <x:v>1</x:v>
      </x:c>
      <x:c r="H494" s="21"/>
      <x:c r="I494" s="21"/>
      <x:c r="J494" s="14" t="str">
        <x:v>src-pleiades-570148</x:v>
      </x:c>
      <x:c r="K494" s="14" t="str">
        <x:v>reviewed</x:v>
      </x:c>
    </x:row>
    <x:row r="495" ht="26" customHeight="1">
      <x:c r="A495" s="14" t="str">
        <x:v>name-sanctuary-bassae-apollo-epikourios-grc-ancient</x:v>
      </x:c>
      <x:c r="B495" s="14" t="str">
        <x:v>sanctuary-bassae-apollo-epikourios</x:v>
      </x:c>
      <x:c r="C495" s="14" t="str">
        <x:v>Βάσσαι</x:v>
      </x:c>
      <x:c r="D495" s="14" t="str">
        <x:v>grc</x:v>
      </x:c>
      <x:c r="E495" s="14" t="str">
        <x:v>Grek</x:v>
      </x:c>
      <x:c r="F495" s="14" t="str">
        <x:v>ancient</x:v>
      </x:c>
      <x:c r="G495" s="20" t="b">
        <x:v>0</x:v>
      </x:c>
      <x:c r="H495" s="21"/>
      <x:c r="I495" s="21"/>
      <x:c r="J495" s="14" t="str">
        <x:v>src-pleiades-570148</x:v>
      </x:c>
      <x:c r="K495" s="14" t="str">
        <x:v>reviewed</x:v>
      </x:c>
    </x:row>
    <x:row r="496" ht="26" customHeight="1">
      <x:c r="A496" s="14" t="str">
        <x:v>name-sanctuary-brauron-artemis-sanctuary-el-preferred</x:v>
      </x:c>
      <x:c r="B496" s="14" t="str">
        <x:v>sanctuary-brauron-artemis-sanctuary</x:v>
      </x:c>
      <x:c r="C496" s="14" t="str">
        <x:v>Ιερό της Αρτέμιδος στη Βραυρώνα</x:v>
      </x:c>
      <x:c r="D496" s="14" t="str">
        <x:v>el</x:v>
      </x:c>
      <x:c r="E496" s="14" t="str">
        <x:v>Grek</x:v>
      </x:c>
      <x:c r="F496" s="14" t="str">
        <x:v>preferred</x:v>
      </x:c>
      <x:c r="G496" s="20" t="b">
        <x:v>1</x:v>
      </x:c>
      <x:c r="H496" s="21"/>
      <x:c r="I496" s="21"/>
      <x:c r="J496" s="14" t="str">
        <x:v>src-pleiades-579879</x:v>
      </x:c>
      <x:c r="K496" s="14" t="str">
        <x:v>reviewed</x:v>
      </x:c>
    </x:row>
    <x:row r="497" ht="26" customHeight="1">
      <x:c r="A497" s="14" t="str">
        <x:v>name-sanctuary-brauron-artemis-sanctuary-en-preferred</x:v>
      </x:c>
      <x:c r="B497" s="14" t="str">
        <x:v>sanctuary-brauron-artemis-sanctuary</x:v>
      </x:c>
      <x:c r="C497" s="14" t="str">
        <x:v>Sanctuary of Artemis at Brauron</x:v>
      </x:c>
      <x:c r="D497" s="14" t="str">
        <x:v>en</x:v>
      </x:c>
      <x:c r="E497" s="14" t="str">
        <x:v>Latn</x:v>
      </x:c>
      <x:c r="F497" s="14" t="str">
        <x:v>preferred</x:v>
      </x:c>
      <x:c r="G497" s="20" t="b">
        <x:v>1</x:v>
      </x:c>
      <x:c r="H497" s="21"/>
      <x:c r="I497" s="21"/>
      <x:c r="J497" s="14" t="str">
        <x:v>src-pleiades-579879</x:v>
      </x:c>
      <x:c r="K497" s="14" t="str">
        <x:v>reviewed</x:v>
      </x:c>
    </x:row>
    <x:row r="498" ht="26" customHeight="1">
      <x:c r="A498" s="14" t="str">
        <x:v>name-sanctuary-brauron-artemis-sanctuary-grc-ancient</x:v>
      </x:c>
      <x:c r="B498" s="14" t="str">
        <x:v>sanctuary-brauron-artemis-sanctuary</x:v>
      </x:c>
      <x:c r="C498" s="14" t="str">
        <x:v>Βραυρών</x:v>
      </x:c>
      <x:c r="D498" s="14" t="str">
        <x:v>grc</x:v>
      </x:c>
      <x:c r="E498" s="14" t="str">
        <x:v>Grek</x:v>
      </x:c>
      <x:c r="F498" s="14" t="str">
        <x:v>ancient</x:v>
      </x:c>
      <x:c r="G498" s="20" t="b">
        <x:v>0</x:v>
      </x:c>
      <x:c r="H498" s="21"/>
      <x:c r="I498" s="21"/>
      <x:c r="J498" s="14" t="str">
        <x:v>src-pleiades-579879</x:v>
      </x:c>
      <x:c r="K498" s="14" t="str">
        <x:v>reviewed</x:v>
      </x:c>
    </x:row>
    <x:row r="499" ht="26" customHeight="1">
      <x:c r="A499" s="14" t="str">
        <x:v>name-sanctuary-chersonesos-parthenos-sanctuary-el-preferred</x:v>
      </x:c>
      <x:c r="B499" s="14" t="str">
        <x:v>sanctuary-chersonesos-parthenos-sanctuary</x:v>
      </x:c>
      <x:c r="C499" s="14" t="str">
        <x:v>Ιερό της Παρθένου στη Χερσόνησο</x:v>
      </x:c>
      <x:c r="D499" s="14" t="str">
        <x:v>el</x:v>
      </x:c>
      <x:c r="E499" s="14" t="str">
        <x:v>Grek</x:v>
      </x:c>
      <x:c r="F499" s="14" t="str">
        <x:v>preferred</x:v>
      </x:c>
      <x:c r="G499" s="20" t="b">
        <x:v>1</x:v>
      </x:c>
      <x:c r="H499" s="21"/>
      <x:c r="I499" s="21"/>
      <x:c r="J499" s="14" t="str">
        <x:v>src-whc-329a28f5c851</x:v>
      </x:c>
      <x:c r="K499" s="14" t="str">
        <x:v>reviewed</x:v>
      </x:c>
    </x:row>
    <x:row r="500" ht="26" customHeight="1">
      <x:c r="A500" s="14" t="str">
        <x:v>name-sanctuary-chersonesos-parthenos-sanctuary-en-preferred</x:v>
      </x:c>
      <x:c r="B500" s="14" t="str">
        <x:v>sanctuary-chersonesos-parthenos-sanctuary</x:v>
      </x:c>
      <x:c r="C500" s="14" t="str">
        <x:v>Sanctuary of Parthenos at Tauric Chersonesos</x:v>
      </x:c>
      <x:c r="D500" s="14" t="str">
        <x:v>en</x:v>
      </x:c>
      <x:c r="E500" s="14" t="str">
        <x:v>Latn</x:v>
      </x:c>
      <x:c r="F500" s="14" t="str">
        <x:v>preferred</x:v>
      </x:c>
      <x:c r="G500" s="20" t="b">
        <x:v>1</x:v>
      </x:c>
      <x:c r="H500" s="21"/>
      <x:c r="I500" s="21"/>
      <x:c r="J500" s="14" t="str">
        <x:v>src-whc-329a28f5c851</x:v>
      </x:c>
      <x:c r="K500" s="14" t="str">
        <x:v>reviewed</x:v>
      </x:c>
    </x:row>
    <x:row r="501" ht="26" customHeight="1">
      <x:c r="A501" s="14" t="str">
        <x:v>name-sanctuary-chersonesos-parthenos-sanctuary-grc-ancient</x:v>
      </x:c>
      <x:c r="B501" s="14" t="str">
        <x:v>sanctuary-chersonesos-parthenos-sanctuary</x:v>
      </x:c>
      <x:c r="C501" s="14" t="str">
        <x:v>Παρθένου ἱερόν</x:v>
      </x:c>
      <x:c r="D501" s="14" t="str">
        <x:v>grc</x:v>
      </x:c>
      <x:c r="E501" s="14" t="str">
        <x:v>Grek</x:v>
      </x:c>
      <x:c r="F501" s="14" t="str">
        <x:v>ancient</x:v>
      </x:c>
      <x:c r="G501" s="20" t="b">
        <x:v>0</x:v>
      </x:c>
      <x:c r="H501" s="21"/>
      <x:c r="I501" s="21"/>
      <x:c r="J501" s="14" t="str">
        <x:v>src-whc-329a28f5c851</x:v>
      </x:c>
      <x:c r="K501" s="14" t="str">
        <x:v>reviewed</x:v>
      </x:c>
    </x:row>
    <x:row r="502" ht="26" customHeight="1">
      <x:c r="A502" s="14" t="str">
        <x:v>name-sanctuary-claros-apollo-oracle-el-preferred</x:v>
      </x:c>
      <x:c r="B502" s="14" t="str">
        <x:v>sanctuary-claros-apollo-oracle</x:v>
      </x:c>
      <x:c r="C502" s="14" t="str">
        <x:v>Μαντείο του Απόλλωνα στην Κλάρο</x:v>
      </x:c>
      <x:c r="D502" s="14" t="str">
        <x:v>el</x:v>
      </x:c>
      <x:c r="E502" s="14" t="str">
        <x:v>Grek</x:v>
      </x:c>
      <x:c r="F502" s="14" t="str">
        <x:v>preferred</x:v>
      </x:c>
      <x:c r="G502" s="20" t="b">
        <x:v>1</x:v>
      </x:c>
      <x:c r="H502" s="21"/>
      <x:c r="I502" s="21"/>
      <x:c r="J502" s="14" t="str">
        <x:v>src-pleiades-599719</x:v>
      </x:c>
      <x:c r="K502" s="14" t="str">
        <x:v>reviewed</x:v>
      </x:c>
    </x:row>
    <x:row r="503" ht="26" customHeight="1">
      <x:c r="A503" s="14" t="str">
        <x:v>name-sanctuary-claros-apollo-oracle-en-preferred</x:v>
      </x:c>
      <x:c r="B503" s="14" t="str">
        <x:v>sanctuary-claros-apollo-oracle</x:v>
      </x:c>
      <x:c r="C503" s="14" t="str">
        <x:v>Oracle of Apollo at Claros</x:v>
      </x:c>
      <x:c r="D503" s="14" t="str">
        <x:v>en</x:v>
      </x:c>
      <x:c r="E503" s="14" t="str">
        <x:v>Latn</x:v>
      </x:c>
      <x:c r="F503" s="14" t="str">
        <x:v>preferred</x:v>
      </x:c>
      <x:c r="G503" s="20" t="b">
        <x:v>1</x:v>
      </x:c>
      <x:c r="H503" s="21"/>
      <x:c r="I503" s="21"/>
      <x:c r="J503" s="14" t="str">
        <x:v>src-pleiades-599719</x:v>
      </x:c>
      <x:c r="K503" s="14" t="str">
        <x:v>reviewed</x:v>
      </x:c>
    </x:row>
    <x:row r="504" ht="26" customHeight="1">
      <x:c r="A504" s="14" t="str">
        <x:v>name-sanctuary-claros-apollo-oracle-grc-ancient</x:v>
      </x:c>
      <x:c r="B504" s="14" t="str">
        <x:v>sanctuary-claros-apollo-oracle</x:v>
      </x:c>
      <x:c r="C504" s="14" t="str">
        <x:v>Κλάρος</x:v>
      </x:c>
      <x:c r="D504" s="14" t="str">
        <x:v>grc</x:v>
      </x:c>
      <x:c r="E504" s="14" t="str">
        <x:v>Grek</x:v>
      </x:c>
      <x:c r="F504" s="14" t="str">
        <x:v>ancient</x:v>
      </x:c>
      <x:c r="G504" s="20" t="b">
        <x:v>0</x:v>
      </x:c>
      <x:c r="H504" s="21"/>
      <x:c r="I504" s="21"/>
      <x:c r="J504" s="14" t="str">
        <x:v>src-pleiades-599719</x:v>
      </x:c>
      <x:c r="K504" s="14" t="str">
        <x:v>reviewed</x:v>
      </x:c>
    </x:row>
    <x:row r="505" ht="26" customHeight="1">
      <x:c r="A505" s="14" t="str">
        <x:v>name-sanctuary-crete-idaion-antron-el-preferred</x:v>
      </x:c>
      <x:c r="B505" s="14" t="str">
        <x:v>sanctuary-crete-idaion-antron</x:v>
      </x:c>
      <x:c r="C505" s="14" t="str">
        <x:v>Ιδαίο Άντρο</x:v>
      </x:c>
      <x:c r="D505" s="14" t="str">
        <x:v>el</x:v>
      </x:c>
      <x:c r="E505" s="14" t="str">
        <x:v>Grek</x:v>
      </x:c>
      <x:c r="F505" s="14" t="str">
        <x:v>preferred</x:v>
      </x:c>
      <x:c r="G505" s="20" t="b">
        <x:v>1</x:v>
      </x:c>
      <x:c r="H505" s="21"/>
      <x:c r="I505" s="21"/>
      <x:c r="J505" s="14" t="str">
        <x:v>src-pleiades-589817</x:v>
      </x:c>
      <x:c r="K505" s="14" t="str">
        <x:v>reviewed</x:v>
      </x:c>
    </x:row>
    <x:row r="506" ht="26" customHeight="1">
      <x:c r="A506" s="14" t="str">
        <x:v>name-sanctuary-crete-idaion-antron-en-preferred</x:v>
      </x:c>
      <x:c r="B506" s="14" t="str">
        <x:v>sanctuary-crete-idaion-antron</x:v>
      </x:c>
      <x:c r="C506" s="14" t="str">
        <x:v>Idaean Cave Sanctuary</x:v>
      </x:c>
      <x:c r="D506" s="14" t="str">
        <x:v>en</x:v>
      </x:c>
      <x:c r="E506" s="14" t="str">
        <x:v>Latn</x:v>
      </x:c>
      <x:c r="F506" s="14" t="str">
        <x:v>preferred</x:v>
      </x:c>
      <x:c r="G506" s="20" t="b">
        <x:v>1</x:v>
      </x:c>
      <x:c r="H506" s="21"/>
      <x:c r="I506" s="21"/>
      <x:c r="J506" s="14" t="str">
        <x:v>src-pleiades-589817</x:v>
      </x:c>
      <x:c r="K506" s="14" t="str">
        <x:v>reviewed</x:v>
      </x:c>
    </x:row>
    <x:row r="507" ht="26" customHeight="1">
      <x:c r="A507" s="14" t="str">
        <x:v>name-sanctuary-crete-idaion-antron-grc-ancient</x:v>
      </x:c>
      <x:c r="B507" s="14" t="str">
        <x:v>sanctuary-crete-idaion-antron</x:v>
      </x:c>
      <x:c r="C507" s="14" t="str">
        <x:v>Ἰδαῖον Ἄντρον</x:v>
      </x:c>
      <x:c r="D507" s="14" t="str">
        <x:v>grc</x:v>
      </x:c>
      <x:c r="E507" s="14" t="str">
        <x:v>Grek</x:v>
      </x:c>
      <x:c r="F507" s="14" t="str">
        <x:v>ancient</x:v>
      </x:c>
      <x:c r="G507" s="20" t="b">
        <x:v>0</x:v>
      </x:c>
      <x:c r="H507" s="21"/>
      <x:c r="I507" s="21"/>
      <x:c r="J507" s="14" t="str">
        <x:v>src-pleiades-589817</x:v>
      </x:c>
      <x:c r="K507" s="14" t="str">
        <x:v>reviewed</x:v>
      </x:c>
    </x:row>
    <x:row r="508" ht="26" customHeight="1">
      <x:c r="A508" s="14" t="str">
        <x:v>name-sanctuary-crete-iuktas-peak-sanctuary-el-preferred</x:v>
      </x:c>
      <x:c r="B508" s="14" t="str">
        <x:v>sanctuary-crete-iuktas-peak-sanctuary</x:v>
      </x:c>
      <x:c r="C508" s="14" t="str">
        <x:v>Ιερό κορυφής Γιούχτα</x:v>
      </x:c>
      <x:c r="D508" s="14" t="str">
        <x:v>el</x:v>
      </x:c>
      <x:c r="E508" s="14" t="str">
        <x:v>Grek</x:v>
      </x:c>
      <x:c r="F508" s="14" t="str">
        <x:v>preferred</x:v>
      </x:c>
      <x:c r="G508" s="20" t="b">
        <x:v>1</x:v>
      </x:c>
      <x:c r="H508" s="21"/>
      <x:c r="I508" s="21"/>
      <x:c r="J508" s="14" t="str">
        <x:v>src-pleiades-559217802</x:v>
      </x:c>
      <x:c r="K508" s="14" t="str">
        <x:v>reviewed</x:v>
      </x:c>
    </x:row>
    <x:row r="509" ht="26" customHeight="1">
      <x:c r="A509" s="14" t="str">
        <x:v>name-sanctuary-crete-iuktas-peak-sanctuary-en-preferred</x:v>
      </x:c>
      <x:c r="B509" s="14" t="str">
        <x:v>sanctuary-crete-iuktas-peak-sanctuary</x:v>
      </x:c>
      <x:c r="C509" s="14" t="str">
        <x:v>Iuktas Peak Sanctuary</x:v>
      </x:c>
      <x:c r="D509" s="14" t="str">
        <x:v>en</x:v>
      </x:c>
      <x:c r="E509" s="14" t="str">
        <x:v>Latn</x:v>
      </x:c>
      <x:c r="F509" s="14" t="str">
        <x:v>preferred</x:v>
      </x:c>
      <x:c r="G509" s="20" t="b">
        <x:v>1</x:v>
      </x:c>
      <x:c r="H509" s="21"/>
      <x:c r="I509" s="21"/>
      <x:c r="J509" s="14" t="str">
        <x:v>src-pleiades-559217802</x:v>
      </x:c>
      <x:c r="K509" s="14" t="str">
        <x:v>reviewed</x:v>
      </x:c>
    </x:row>
    <x:row r="510" ht="26" customHeight="1">
      <x:c r="A510" s="14" t="str">
        <x:v>name-sanctuary-crete-iuktas-peak-sanctuary-grc-ancient</x:v>
      </x:c>
      <x:c r="B510" s="14" t="str">
        <x:v>sanctuary-crete-iuktas-peak-sanctuary</x:v>
      </x:c>
      <x:c r="C510" s="14" t="str">
        <x:v>Ἰυκτός</x:v>
      </x:c>
      <x:c r="D510" s="14" t="str">
        <x:v>grc</x:v>
      </x:c>
      <x:c r="E510" s="14" t="str">
        <x:v>Grek</x:v>
      </x:c>
      <x:c r="F510" s="14" t="str">
        <x:v>ancient</x:v>
      </x:c>
      <x:c r="G510" s="20" t="b">
        <x:v>0</x:v>
      </x:c>
      <x:c r="H510" s="21"/>
      <x:c r="I510" s="21"/>
      <x:c r="J510" s="14" t="str">
        <x:v>src-pleiades-559217802</x:v>
      </x:c>
      <x:c r="K510" s="14" t="str">
        <x:v>reviewed</x:v>
      </x:c>
    </x:row>
    <x:row r="511" ht="26" customHeight="1">
      <x:c r="A511" s="14" t="str">
        <x:v>name-sanctuary-croton-hera-lacinia-sanctuary-el-preferred</x:v>
      </x:c>
      <x:c r="B511" s="14" t="str">
        <x:v>sanctuary-croton-hera-lacinia-sanctuary</x:v>
      </x:c>
      <x:c r="C511" s="14" t="str">
        <x:v>Ιερό της Ήρας Λακινίας</x:v>
      </x:c>
      <x:c r="D511" s="14" t="str">
        <x:v>el</x:v>
      </x:c>
      <x:c r="E511" s="14" t="str">
        <x:v>Grek</x:v>
      </x:c>
      <x:c r="F511" s="14" t="str">
        <x:v>preferred</x:v>
      </x:c>
      <x:c r="G511" s="20" t="b">
        <x:v>1</x:v>
      </x:c>
      <x:c r="H511" s="21"/>
      <x:c r="I511" s="21"/>
      <x:c r="J511" s="14" t="str">
        <x:v>src-pleiades-452332</x:v>
      </x:c>
      <x:c r="K511" s="14" t="str">
        <x:v>reviewed</x:v>
      </x:c>
    </x:row>
    <x:row r="512" ht="26" customHeight="1">
      <x:c r="A512" s="14" t="str">
        <x:v>name-sanctuary-croton-hera-lacinia-sanctuary-en-preferred</x:v>
      </x:c>
      <x:c r="B512" s="14" t="str">
        <x:v>sanctuary-croton-hera-lacinia-sanctuary</x:v>
      </x:c>
      <x:c r="C512" s="14" t="str">
        <x:v>Sanctuary of Hera Lacinia</x:v>
      </x:c>
      <x:c r="D512" s="14" t="str">
        <x:v>en</x:v>
      </x:c>
      <x:c r="E512" s="14" t="str">
        <x:v>Latn</x:v>
      </x:c>
      <x:c r="F512" s="14" t="str">
        <x:v>preferred</x:v>
      </x:c>
      <x:c r="G512" s="20" t="b">
        <x:v>1</x:v>
      </x:c>
      <x:c r="H512" s="21"/>
      <x:c r="I512" s="21"/>
      <x:c r="J512" s="14" t="str">
        <x:v>src-pleiades-452332</x:v>
      </x:c>
      <x:c r="K512" s="14" t="str">
        <x:v>reviewed</x:v>
      </x:c>
    </x:row>
    <x:row r="513" ht="26" customHeight="1">
      <x:c r="A513" s="14" t="str">
        <x:v>name-sanctuary-croton-hera-lacinia-sanctuary-grc-ancient</x:v>
      </x:c>
      <x:c r="B513" s="14" t="str">
        <x:v>sanctuary-croton-hera-lacinia-sanctuary</x:v>
      </x:c>
      <x:c r="C513" s="14" t="str">
        <x:v>Ἡραῖον Λακίνιον</x:v>
      </x:c>
      <x:c r="D513" s="14" t="str">
        <x:v>grc</x:v>
      </x:c>
      <x:c r="E513" s="14" t="str">
        <x:v>Grek</x:v>
      </x:c>
      <x:c r="F513" s="14" t="str">
        <x:v>ancient</x:v>
      </x:c>
      <x:c r="G513" s="20" t="b">
        <x:v>0</x:v>
      </x:c>
      <x:c r="H513" s="21"/>
      <x:c r="I513" s="21"/>
      <x:c r="J513" s="14" t="str">
        <x:v>src-pleiades-452332</x:v>
      </x:c>
      <x:c r="K513" s="14" t="str">
        <x:v>reviewed</x:v>
      </x:c>
    </x:row>
    <x:row r="514" ht="26" customHeight="1">
      <x:c r="A514" s="14" t="str">
        <x:v>name-sanctuary-cyrene-apollo-sanctuary-el-preferred</x:v>
      </x:c>
      <x:c r="B514" s="14" t="str">
        <x:v>sanctuary-cyrene-apollo-sanctuary</x:v>
      </x:c>
      <x:c r="C514" s="14" t="str">
        <x:v>Ιερό του Απόλλωνα στην Κυρήνη</x:v>
      </x:c>
      <x:c r="D514" s="14" t="str">
        <x:v>el</x:v>
      </x:c>
      <x:c r="E514" s="14" t="str">
        <x:v>Grek</x:v>
      </x:c>
      <x:c r="F514" s="14" t="str">
        <x:v>preferred</x:v>
      </x:c>
      <x:c r="G514" s="20" t="b">
        <x:v>1</x:v>
      </x:c>
      <x:c r="H514" s="21"/>
      <x:c r="I514" s="21"/>
      <x:c r="J514" s="14" t="str">
        <x:v>src-pleiades-464482220</x:v>
      </x:c>
      <x:c r="K514" s="14" t="str">
        <x:v>reviewed</x:v>
      </x:c>
    </x:row>
    <x:row r="515" ht="26" customHeight="1">
      <x:c r="A515" s="14" t="str">
        <x:v>name-sanctuary-cyrene-apollo-sanctuary-en-preferred</x:v>
      </x:c>
      <x:c r="B515" s="14" t="str">
        <x:v>sanctuary-cyrene-apollo-sanctuary</x:v>
      </x:c>
      <x:c r="C515" s="14" t="str">
        <x:v>Sanctuary of Apollo at Cyrene</x:v>
      </x:c>
      <x:c r="D515" s="14" t="str">
        <x:v>en</x:v>
      </x:c>
      <x:c r="E515" s="14" t="str">
        <x:v>Latn</x:v>
      </x:c>
      <x:c r="F515" s="14" t="str">
        <x:v>preferred</x:v>
      </x:c>
      <x:c r="G515" s="20" t="b">
        <x:v>1</x:v>
      </x:c>
      <x:c r="H515" s="21"/>
      <x:c r="I515" s="21"/>
      <x:c r="J515" s="14" t="str">
        <x:v>src-pleiades-464482220</x:v>
      </x:c>
      <x:c r="K515" s="14" t="str">
        <x:v>reviewed</x:v>
      </x:c>
    </x:row>
    <x:row r="516" ht="26" customHeight="1">
      <x:c r="A516" s="14" t="str">
        <x:v>name-sanctuary-cyrene-apollo-sanctuary-grc-ancient</x:v>
      </x:c>
      <x:c r="B516" s="14" t="str">
        <x:v>sanctuary-cyrene-apollo-sanctuary</x:v>
      </x:c>
      <x:c r="C516" s="14" t="str">
        <x:v>Ἀπόλλωνος Καρνείου ἱερόν</x:v>
      </x:c>
      <x:c r="D516" s="14" t="str">
        <x:v>grc</x:v>
      </x:c>
      <x:c r="E516" s="14" t="str">
        <x:v>Grek</x:v>
      </x:c>
      <x:c r="F516" s="14" t="str">
        <x:v>ancient</x:v>
      </x:c>
      <x:c r="G516" s="20" t="b">
        <x:v>0</x:v>
      </x:c>
      <x:c r="H516" s="21"/>
      <x:c r="I516" s="21"/>
      <x:c r="J516" s="14" t="str">
        <x:v>src-pleiades-464482220</x:v>
      </x:c>
      <x:c r="K516" s="14" t="str">
        <x:v>reviewed</x:v>
      </x:c>
    </x:row>
    <x:row r="517" ht="26" customHeight="1">
      <x:c r="A517" s="14" t="str">
        <x:v>name-sanctuary-cyrene-zeus-sanctuary-el-preferred</x:v>
      </x:c>
      <x:c r="B517" s="14" t="str">
        <x:v>sanctuary-cyrene-zeus-sanctuary</x:v>
      </x:c>
      <x:c r="C517" s="14" t="str">
        <x:v>Ιερό του Διός στην Κυρήνη</x:v>
      </x:c>
      <x:c r="D517" s="14" t="str">
        <x:v>el</x:v>
      </x:c>
      <x:c r="E517" s="14" t="str">
        <x:v>Grek</x:v>
      </x:c>
      <x:c r="F517" s="14" t="str">
        <x:v>preferred</x:v>
      </x:c>
      <x:c r="G517" s="20" t="b">
        <x:v>1</x:v>
      </x:c>
      <x:c r="H517" s="21"/>
      <x:c r="I517" s="21"/>
      <x:c r="J517" s="14" t="str">
        <x:v>src-pleiades-103565779</x:v>
      </x:c>
      <x:c r="K517" s="14" t="str">
        <x:v>reviewed</x:v>
      </x:c>
    </x:row>
    <x:row r="518" ht="26" customHeight="1">
      <x:c r="A518" s="14" t="str">
        <x:v>name-sanctuary-cyrene-zeus-sanctuary-en-preferred</x:v>
      </x:c>
      <x:c r="B518" s="14" t="str">
        <x:v>sanctuary-cyrene-zeus-sanctuary</x:v>
      </x:c>
      <x:c r="C518" s="14" t="str">
        <x:v>Temple of Zeus at Cyrene</x:v>
      </x:c>
      <x:c r="D518" s="14" t="str">
        <x:v>en</x:v>
      </x:c>
      <x:c r="E518" s="14" t="str">
        <x:v>Latn</x:v>
      </x:c>
      <x:c r="F518" s="14" t="str">
        <x:v>preferred</x:v>
      </x:c>
      <x:c r="G518" s="20" t="b">
        <x:v>1</x:v>
      </x:c>
      <x:c r="H518" s="21"/>
      <x:c r="I518" s="21"/>
      <x:c r="J518" s="14" t="str">
        <x:v>src-pleiades-103565779</x:v>
      </x:c>
      <x:c r="K518" s="14" t="str">
        <x:v>reviewed</x:v>
      </x:c>
    </x:row>
    <x:row r="519" ht="26" customHeight="1">
      <x:c r="A519" s="14" t="str">
        <x:v>name-sanctuary-cyrene-zeus-sanctuary-grc-ancient</x:v>
      </x:c>
      <x:c r="B519" s="14" t="str">
        <x:v>sanctuary-cyrene-zeus-sanctuary</x:v>
      </x:c>
      <x:c r="C519" s="14" t="str">
        <x:v>Διὸς ἱερόν</x:v>
      </x:c>
      <x:c r="D519" s="14" t="str">
        <x:v>grc</x:v>
      </x:c>
      <x:c r="E519" s="14" t="str">
        <x:v>Grek</x:v>
      </x:c>
      <x:c r="F519" s="14" t="str">
        <x:v>ancient</x:v>
      </x:c>
      <x:c r="G519" s="20" t="b">
        <x:v>0</x:v>
      </x:c>
      <x:c r="H519" s="21"/>
      <x:c r="I519" s="21"/>
      <x:c r="J519" s="14" t="str">
        <x:v>src-pleiades-103565779</x:v>
      </x:c>
      <x:c r="K519" s="14" t="str">
        <x:v>reviewed</x:v>
      </x:c>
    </x:row>
    <x:row r="520" ht="26" customHeight="1">
      <x:c r="A520" s="14" t="str">
        <x:v>name-sanctuary-delos-apollo-sanctuary-el-preferred</x:v>
      </x:c>
      <x:c r="B520" s="14" t="str">
        <x:v>sanctuary-delos-apollo-sanctuary</x:v>
      </x:c>
      <x:c r="C520" s="14" t="str">
        <x:v>Ιερό του Απόλλωνα στη Δήλο</x:v>
      </x:c>
      <x:c r="D520" s="14" t="str">
        <x:v>el</x:v>
      </x:c>
      <x:c r="E520" s="14" t="str">
        <x:v>Grek</x:v>
      </x:c>
      <x:c r="F520" s="14" t="str">
        <x:v>preferred</x:v>
      </x:c>
      <x:c r="G520" s="20" t="b">
        <x:v>1</x:v>
      </x:c>
      <x:c r="H520" s="21"/>
      <x:c r="I520" s="21"/>
      <x:c r="J520" s="14" t="str">
        <x:v>src-pleiades-599506</x:v>
      </x:c>
      <x:c r="K520" s="14" t="str">
        <x:v>reviewed</x:v>
      </x:c>
    </x:row>
    <x:row r="521" ht="26" customHeight="1">
      <x:c r="A521" s="14" t="str">
        <x:v>name-sanctuary-delos-apollo-sanctuary-en-preferred</x:v>
      </x:c>
      <x:c r="B521" s="14" t="str">
        <x:v>sanctuary-delos-apollo-sanctuary</x:v>
      </x:c>
      <x:c r="C521" s="14" t="str">
        <x:v>Sanctuary of Apollo on Delos</x:v>
      </x:c>
      <x:c r="D521" s="14" t="str">
        <x:v>en</x:v>
      </x:c>
      <x:c r="E521" s="14" t="str">
        <x:v>Latn</x:v>
      </x:c>
      <x:c r="F521" s="14" t="str">
        <x:v>preferred</x:v>
      </x:c>
      <x:c r="G521" s="20" t="b">
        <x:v>1</x:v>
      </x:c>
      <x:c r="H521" s="21"/>
      <x:c r="I521" s="21"/>
      <x:c r="J521" s="14" t="str">
        <x:v>src-pleiades-599506</x:v>
      </x:c>
      <x:c r="K521" s="14" t="str">
        <x:v>reviewed</x:v>
      </x:c>
    </x:row>
    <x:row r="522" ht="26" customHeight="1">
      <x:c r="A522" s="14" t="str">
        <x:v>name-sanctuary-delos-apollo-sanctuary-grc-ancient</x:v>
      </x:c>
      <x:c r="B522" s="14" t="str">
        <x:v>sanctuary-delos-apollo-sanctuary</x:v>
      </x:c>
      <x:c r="C522" s="14" t="str">
        <x:v>Δῆλος</x:v>
      </x:c>
      <x:c r="D522" s="14" t="str">
        <x:v>grc</x:v>
      </x:c>
      <x:c r="E522" s="14" t="str">
        <x:v>Grek</x:v>
      </x:c>
      <x:c r="F522" s="14" t="str">
        <x:v>ancient</x:v>
      </x:c>
      <x:c r="G522" s="20" t="b">
        <x:v>0</x:v>
      </x:c>
      <x:c r="H522" s="21"/>
      <x:c r="I522" s="21"/>
      <x:c r="J522" s="14" t="str">
        <x:v>src-pleiades-599506</x:v>
      </x:c>
      <x:c r="K522" s="14" t="str">
        <x:v>reviewed</x:v>
      </x:c>
    </x:row>
    <x:row r="523" ht="26" customHeight="1">
      <x:c r="A523" s="14" t="str">
        <x:v>name-sanctuary-delphi-apollo-sanctuary-el-preferred</x:v>
      </x:c>
      <x:c r="B523" s="14" t="str">
        <x:v>sanctuary-delphi-apollo-sanctuary</x:v>
      </x:c>
      <x:c r="C523" s="14" t="str">
        <x:v>Ιερό του Απόλλωνα στους Δελφούς</x:v>
      </x:c>
      <x:c r="D523" s="14" t="str">
        <x:v>el</x:v>
      </x:c>
      <x:c r="E523" s="14" t="str">
        <x:v>Grek</x:v>
      </x:c>
      <x:c r="F523" s="14" t="str">
        <x:v>preferred</x:v>
      </x:c>
      <x:c r="G523" s="20" t="b">
        <x:v>1</x:v>
      </x:c>
      <x:c r="H523" s="21"/>
      <x:c r="I523" s="21"/>
      <x:c r="J523" s="14" t="str">
        <x:v>src-pleiades-540726</x:v>
      </x:c>
      <x:c r="K523" s="14" t="str">
        <x:v>reviewed</x:v>
      </x:c>
    </x:row>
    <x:row r="524" ht="26" customHeight="1">
      <x:c r="A524" s="14" t="str">
        <x:v>name-sanctuary-delphi-apollo-sanctuary-en-preferred</x:v>
      </x:c>
      <x:c r="B524" s="14" t="str">
        <x:v>sanctuary-delphi-apollo-sanctuary</x:v>
      </x:c>
      <x:c r="C524" s="14" t="str">
        <x:v>Sanctuary of Apollo at Delphi</x:v>
      </x:c>
      <x:c r="D524" s="14" t="str">
        <x:v>en</x:v>
      </x:c>
      <x:c r="E524" s="14" t="str">
        <x:v>Latn</x:v>
      </x:c>
      <x:c r="F524" s="14" t="str">
        <x:v>preferred</x:v>
      </x:c>
      <x:c r="G524" s="20" t="b">
        <x:v>1</x:v>
      </x:c>
      <x:c r="H524" s="21"/>
      <x:c r="I524" s="21"/>
      <x:c r="J524" s="14" t="str">
        <x:v>src-pleiades-540726</x:v>
      </x:c>
      <x:c r="K524" s="14" t="str">
        <x:v>reviewed</x:v>
      </x:c>
    </x:row>
    <x:row r="525" ht="26" customHeight="1">
      <x:c r="A525" s="14" t="str">
        <x:v>name-sanctuary-delphi-apollo-sanctuary-grc-ancient</x:v>
      </x:c>
      <x:c r="B525" s="14" t="str">
        <x:v>sanctuary-delphi-apollo-sanctuary</x:v>
      </x:c>
      <x:c r="C525" s="14" t="str">
        <x:v>Δελφοί</x:v>
      </x:c>
      <x:c r="D525" s="14" t="str">
        <x:v>grc</x:v>
      </x:c>
      <x:c r="E525" s="14" t="str">
        <x:v>Grek</x:v>
      </x:c>
      <x:c r="F525" s="14" t="str">
        <x:v>ancient</x:v>
      </x:c>
      <x:c r="G525" s="20" t="b">
        <x:v>0</x:v>
      </x:c>
      <x:c r="H525" s="21"/>
      <x:c r="I525" s="21"/>
      <x:c r="J525" s="14" t="str">
        <x:v>src-pleiades-540726</x:v>
      </x:c>
      <x:c r="K525" s="14" t="str">
        <x:v>reviewed</x:v>
      </x:c>
    </x:row>
    <x:row r="526" ht="26" customHeight="1">
      <x:c r="A526" s="14" t="str">
        <x:v>name-sanctuary-delphi-athena-pronaia-sanctuary-el-preferred</x:v>
      </x:c>
      <x:c r="B526" s="14" t="str">
        <x:v>sanctuary-delphi-athena-pronaia-sanctuary</x:v>
      </x:c>
      <x:c r="C526" s="14" t="str">
        <x:v>Ιερό της Αθηνάς Προναίας στους Δελφούς</x:v>
      </x:c>
      <x:c r="D526" s="14" t="str">
        <x:v>el</x:v>
      </x:c>
      <x:c r="E526" s="14" t="str">
        <x:v>Grek</x:v>
      </x:c>
      <x:c r="F526" s="14" t="str">
        <x:v>preferred</x:v>
      </x:c>
      <x:c r="G526" s="20" t="b">
        <x:v>1</x:v>
      </x:c>
      <x:c r="H526" s="21"/>
      <x:c r="I526" s="21"/>
      <x:c r="J526" s="14" t="str">
        <x:v>src-pleiades-513711610</x:v>
      </x:c>
      <x:c r="K526" s="14" t="str">
        <x:v>reviewed</x:v>
      </x:c>
    </x:row>
    <x:row r="527" ht="26" customHeight="1">
      <x:c r="A527" s="14" t="str">
        <x:v>name-sanctuary-delphi-athena-pronaia-sanctuary-en-preferred</x:v>
      </x:c>
      <x:c r="B527" s="14" t="str">
        <x:v>sanctuary-delphi-athena-pronaia-sanctuary</x:v>
      </x:c>
      <x:c r="C527" s="14" t="str">
        <x:v>Sanctuary of Athena Pronaia at Delphi</x:v>
      </x:c>
      <x:c r="D527" s="14" t="str">
        <x:v>en</x:v>
      </x:c>
      <x:c r="E527" s="14" t="str">
        <x:v>Latn</x:v>
      </x:c>
      <x:c r="F527" s="14" t="str">
        <x:v>preferred</x:v>
      </x:c>
      <x:c r="G527" s="20" t="b">
        <x:v>1</x:v>
      </x:c>
      <x:c r="H527" s="21"/>
      <x:c r="I527" s="21"/>
      <x:c r="J527" s="14" t="str">
        <x:v>src-pleiades-513711610</x:v>
      </x:c>
      <x:c r="K527" s="14" t="str">
        <x:v>reviewed</x:v>
      </x:c>
    </x:row>
    <x:row r="528" ht="26" customHeight="1">
      <x:c r="A528" s="14" t="str">
        <x:v>name-sanctuary-delphi-athena-pronaia-sanctuary-grc-ancient</x:v>
      </x:c>
      <x:c r="B528" s="14" t="str">
        <x:v>sanctuary-delphi-athena-pronaia-sanctuary</x:v>
      </x:c>
      <x:c r="C528" s="14" t="str">
        <x:v>Ἀθηνᾶ Προναία</x:v>
      </x:c>
      <x:c r="D528" s="14" t="str">
        <x:v>grc</x:v>
      </x:c>
      <x:c r="E528" s="14" t="str">
        <x:v>Grek</x:v>
      </x:c>
      <x:c r="F528" s="14" t="str">
        <x:v>ancient</x:v>
      </x:c>
      <x:c r="G528" s="20" t="b">
        <x:v>0</x:v>
      </x:c>
      <x:c r="H528" s="21"/>
      <x:c r="I528" s="21"/>
      <x:c r="J528" s="14" t="str">
        <x:v>src-pleiades-513711610</x:v>
      </x:c>
      <x:c r="K528" s="14" t="str">
        <x:v>reviewed</x:v>
      </x:c>
    </x:row>
    <x:row r="529" ht="26" customHeight="1">
      <x:c r="A529" s="14" t="str">
        <x:v>name-sanctuary-despotiko-apollo-sanctuary-el-preferred</x:v>
      </x:c>
      <x:c r="B529" s="14" t="str">
        <x:v>sanctuary-despotiko-apollo-sanctuary</x:v>
      </x:c>
      <x:c r="C529" s="14" t="str">
        <x:v>Ιερό του Απόλλωνα στο Δεσποτικό</x:v>
      </x:c>
      <x:c r="D529" s="14" t="str">
        <x:v>el</x:v>
      </x:c>
      <x:c r="E529" s="14" t="str">
        <x:v>Grek</x:v>
      </x:c>
      <x:c r="F529" s="14" t="str">
        <x:v>preferred</x:v>
      </x:c>
      <x:c r="G529" s="20" t="b">
        <x:v>1</x:v>
      </x:c>
      <x:c r="H529" s="21"/>
      <x:c r="I529" s="21"/>
      <x:c r="J529" s="14" t="str">
        <x:v>src-pleiades-854812387</x:v>
      </x:c>
      <x:c r="K529" s="14" t="str">
        <x:v>reviewed</x:v>
      </x:c>
    </x:row>
    <x:row r="530" ht="26" customHeight="1">
      <x:c r="A530" s="14" t="str">
        <x:v>name-sanctuary-despotiko-apollo-sanctuary-en-preferred</x:v>
      </x:c>
      <x:c r="B530" s="14" t="str">
        <x:v>sanctuary-despotiko-apollo-sanctuary</x:v>
      </x:c>
      <x:c r="C530" s="14" t="str">
        <x:v>Sanctuary of Apollo at Despotiko</x:v>
      </x:c>
      <x:c r="D530" s="14" t="str">
        <x:v>en</x:v>
      </x:c>
      <x:c r="E530" s="14" t="str">
        <x:v>Latn</x:v>
      </x:c>
      <x:c r="F530" s="14" t="str">
        <x:v>preferred</x:v>
      </x:c>
      <x:c r="G530" s="20" t="b">
        <x:v>1</x:v>
      </x:c>
      <x:c r="H530" s="21"/>
      <x:c r="I530" s="21"/>
      <x:c r="J530" s="14" t="str">
        <x:v>src-pleiades-854812387</x:v>
      </x:c>
      <x:c r="K530" s="14" t="str">
        <x:v>reviewed</x:v>
      </x:c>
    </x:row>
    <x:row r="531" ht="26" customHeight="1">
      <x:c r="A531" s="14" t="str">
        <x:v>name-sanctuary-didyma-apollo-oracle-el-preferred</x:v>
      </x:c>
      <x:c r="B531" s="14" t="str">
        <x:v>sanctuary-didyma-apollo-oracle</x:v>
      </x:c>
      <x:c r="C531" s="14" t="str">
        <x:v>Μαντείο του Απόλλωνα στα Δίδυμα</x:v>
      </x:c>
      <x:c r="D531" s="14" t="str">
        <x:v>el</x:v>
      </x:c>
      <x:c r="E531" s="14" t="str">
        <x:v>Grek</x:v>
      </x:c>
      <x:c r="F531" s="14" t="str">
        <x:v>preferred</x:v>
      </x:c>
      <x:c r="G531" s="20" t="b">
        <x:v>1</x:v>
      </x:c>
      <x:c r="H531" s="21"/>
      <x:c r="I531" s="21"/>
      <x:c r="J531" s="14" t="str">
        <x:v>src-pleiades-599593</x:v>
      </x:c>
      <x:c r="K531" s="14" t="str">
        <x:v>reviewed</x:v>
      </x:c>
    </x:row>
    <x:row r="532" ht="26" customHeight="1">
      <x:c r="A532" s="14" t="str">
        <x:v>name-sanctuary-didyma-apollo-oracle-en-preferred</x:v>
      </x:c>
      <x:c r="B532" s="14" t="str">
        <x:v>sanctuary-didyma-apollo-oracle</x:v>
      </x:c>
      <x:c r="C532" s="14" t="str">
        <x:v>Oracle of Apollo at Didyma</x:v>
      </x:c>
      <x:c r="D532" s="14" t="str">
        <x:v>en</x:v>
      </x:c>
      <x:c r="E532" s="14" t="str">
        <x:v>Latn</x:v>
      </x:c>
      <x:c r="F532" s="14" t="str">
        <x:v>preferred</x:v>
      </x:c>
      <x:c r="G532" s="20" t="b">
        <x:v>1</x:v>
      </x:c>
      <x:c r="H532" s="21"/>
      <x:c r="I532" s="21"/>
      <x:c r="J532" s="14" t="str">
        <x:v>src-pleiades-599593</x:v>
      </x:c>
      <x:c r="K532" s="14" t="str">
        <x:v>reviewed</x:v>
      </x:c>
    </x:row>
    <x:row r="533" ht="26" customHeight="1">
      <x:c r="A533" s="14" t="str">
        <x:v>name-sanctuary-didyma-apollo-oracle-grc-ancient</x:v>
      </x:c>
      <x:c r="B533" s="14" t="str">
        <x:v>sanctuary-didyma-apollo-oracle</x:v>
      </x:c>
      <x:c r="C533" s="14" t="str">
        <x:v>Δίδυμα</x:v>
      </x:c>
      <x:c r="D533" s="14" t="str">
        <x:v>grc</x:v>
      </x:c>
      <x:c r="E533" s="14" t="str">
        <x:v>Grek</x:v>
      </x:c>
      <x:c r="F533" s="14" t="str">
        <x:v>ancient</x:v>
      </x:c>
      <x:c r="G533" s="20" t="b">
        <x:v>0</x:v>
      </x:c>
      <x:c r="H533" s="21"/>
      <x:c r="I533" s="21"/>
      <x:c r="J533" s="14" t="str">
        <x:v>src-pleiades-599593</x:v>
      </x:c>
      <x:c r="K533" s="14" t="str">
        <x:v>reviewed</x:v>
      </x:c>
    </x:row>
    <x:row r="534" ht="26" customHeight="1">
      <x:c r="A534" s="14" t="str">
        <x:v>name-sanctuary-dodona-zeus-oracle-el-preferred</x:v>
      </x:c>
      <x:c r="B534" s="14" t="str">
        <x:v>sanctuary-dodona-zeus-oracle</x:v>
      </x:c>
      <x:c r="C534" s="14" t="str">
        <x:v>Μαντείο του Δία στη Δωδώνη</x:v>
      </x:c>
      <x:c r="D534" s="14" t="str">
        <x:v>el</x:v>
      </x:c>
      <x:c r="E534" s="14" t="str">
        <x:v>Grek</x:v>
      </x:c>
      <x:c r="F534" s="14" t="str">
        <x:v>preferred</x:v>
      </x:c>
      <x:c r="G534" s="20" t="b">
        <x:v>1</x:v>
      </x:c>
      <x:c r="H534" s="21"/>
      <x:c r="I534" s="21"/>
      <x:c r="J534" s="14" t="str">
        <x:v>src-pleiades-530843</x:v>
      </x:c>
      <x:c r="K534" s="14" t="str">
        <x:v>reviewed</x:v>
      </x:c>
    </x:row>
    <x:row r="535" ht="26" customHeight="1">
      <x:c r="A535" s="14" t="str">
        <x:v>name-sanctuary-dodona-zeus-oracle-en-preferred</x:v>
      </x:c>
      <x:c r="B535" s="14" t="str">
        <x:v>sanctuary-dodona-zeus-oracle</x:v>
      </x:c>
      <x:c r="C535" s="14" t="str">
        <x:v>Oracle of Zeus at Dodona</x:v>
      </x:c>
      <x:c r="D535" s="14" t="str">
        <x:v>en</x:v>
      </x:c>
      <x:c r="E535" s="14" t="str">
        <x:v>Latn</x:v>
      </x:c>
      <x:c r="F535" s="14" t="str">
        <x:v>preferred</x:v>
      </x:c>
      <x:c r="G535" s="20" t="b">
        <x:v>1</x:v>
      </x:c>
      <x:c r="H535" s="21"/>
      <x:c r="I535" s="21"/>
      <x:c r="J535" s="14" t="str">
        <x:v>src-pleiades-530843</x:v>
      </x:c>
      <x:c r="K535" s="14" t="str">
        <x:v>reviewed</x:v>
      </x:c>
    </x:row>
    <x:row r="536" ht="26" customHeight="1">
      <x:c r="A536" s="14" t="str">
        <x:v>name-sanctuary-dodona-zeus-oracle-grc-ancient</x:v>
      </x:c>
      <x:c r="B536" s="14" t="str">
        <x:v>sanctuary-dodona-zeus-oracle</x:v>
      </x:c>
      <x:c r="C536" s="14" t="str">
        <x:v>Δωδώνη</x:v>
      </x:c>
      <x:c r="D536" s="14" t="str">
        <x:v>grc</x:v>
      </x:c>
      <x:c r="E536" s="14" t="str">
        <x:v>Grek</x:v>
      </x:c>
      <x:c r="F536" s="14" t="str">
        <x:v>ancient</x:v>
      </x:c>
      <x:c r="G536" s="20" t="b">
        <x:v>0</x:v>
      </x:c>
      <x:c r="H536" s="21"/>
      <x:c r="I536" s="21"/>
      <x:c r="J536" s="14" t="str">
        <x:v>src-pleiades-530843</x:v>
      </x:c>
      <x:c r="K536" s="14" t="str">
        <x:v>reviewed</x:v>
      </x:c>
    </x:row>
    <x:row r="537" ht="26" customHeight="1">
      <x:c r="A537" s="14" t="str">
        <x:v>name-sanctuary-eleusis-demeter-sanctuary-el-preferred</x:v>
      </x:c>
      <x:c r="B537" s="14" t="str">
        <x:v>sanctuary-eleusis-demeter-sanctuary</x:v>
      </x:c>
      <x:c r="C537" s="14" t="str">
        <x:v>Ιερό της Δήμητρας στην Ελευσίνα</x:v>
      </x:c>
      <x:c r="D537" s="14" t="str">
        <x:v>el</x:v>
      </x:c>
      <x:c r="E537" s="14" t="str">
        <x:v>Grek</x:v>
      </x:c>
      <x:c r="F537" s="14" t="str">
        <x:v>preferred</x:v>
      </x:c>
      <x:c r="G537" s="20" t="b">
        <x:v>1</x:v>
      </x:c>
      <x:c r="H537" s="21"/>
      <x:c r="I537" s="21"/>
      <x:c r="J537" s="14" t="str">
        <x:v>src-pleiades-579910</x:v>
      </x:c>
      <x:c r="K537" s="14" t="str">
        <x:v>reviewed</x:v>
      </x:c>
    </x:row>
    <x:row r="538" ht="26" customHeight="1">
      <x:c r="A538" s="14" t="str">
        <x:v>name-sanctuary-eleusis-demeter-sanctuary-en-preferred</x:v>
      </x:c>
      <x:c r="B538" s="14" t="str">
        <x:v>sanctuary-eleusis-demeter-sanctuary</x:v>
      </x:c>
      <x:c r="C538" s="14" t="str">
        <x:v>Sanctuary of Demeter at Eleusis</x:v>
      </x:c>
      <x:c r="D538" s="14" t="str">
        <x:v>en</x:v>
      </x:c>
      <x:c r="E538" s="14" t="str">
        <x:v>Latn</x:v>
      </x:c>
      <x:c r="F538" s="14" t="str">
        <x:v>preferred</x:v>
      </x:c>
      <x:c r="G538" s="20" t="b">
        <x:v>1</x:v>
      </x:c>
      <x:c r="H538" s="21"/>
      <x:c r="I538" s="21"/>
      <x:c r="J538" s="14" t="str">
        <x:v>src-pleiades-579910</x:v>
      </x:c>
      <x:c r="K538" s="14" t="str">
        <x:v>reviewed</x:v>
      </x:c>
    </x:row>
    <x:row r="539" ht="26" customHeight="1">
      <x:c r="A539" s="14" t="str">
        <x:v>name-sanctuary-eleusis-demeter-sanctuary-grc-ancient</x:v>
      </x:c>
      <x:c r="B539" s="14" t="str">
        <x:v>sanctuary-eleusis-demeter-sanctuary</x:v>
      </x:c>
      <x:c r="C539" s="14" t="str">
        <x:v>Ἐλευσίς</x:v>
      </x:c>
      <x:c r="D539" s="14" t="str">
        <x:v>grc</x:v>
      </x:c>
      <x:c r="E539" s="14" t="str">
        <x:v>Grek</x:v>
      </x:c>
      <x:c r="F539" s="14" t="str">
        <x:v>ancient</x:v>
      </x:c>
      <x:c r="G539" s="20" t="b">
        <x:v>0</x:v>
      </x:c>
      <x:c r="H539" s="21"/>
      <x:c r="I539" s="21"/>
      <x:c r="J539" s="14" t="str">
        <x:v>src-pleiades-579910</x:v>
      </x:c>
      <x:c r="K539" s="14" t="str">
        <x:v>reviewed</x:v>
      </x:c>
    </x:row>
    <x:row r="540" ht="26" customHeight="1">
      <x:c r="A540" s="14" t="str">
        <x:v>name-sanctuary-ephesus-artemis-sanctuary-el-preferred</x:v>
      </x:c>
      <x:c r="B540" s="14" t="str">
        <x:v>sanctuary-ephesus-artemis-sanctuary</x:v>
      </x:c>
      <x:c r="C540" s="14" t="str">
        <x:v>Αρτεμίσιο Εφέσου</x:v>
      </x:c>
      <x:c r="D540" s="14" t="str">
        <x:v>el</x:v>
      </x:c>
      <x:c r="E540" s="14" t="str">
        <x:v>Grek</x:v>
      </x:c>
      <x:c r="F540" s="14" t="str">
        <x:v>preferred</x:v>
      </x:c>
      <x:c r="G540" s="20" t="b">
        <x:v>1</x:v>
      </x:c>
      <x:c r="H540" s="21"/>
      <x:c r="I540" s="21"/>
      <x:c r="J540" s="14" t="str">
        <x:v>src-pleiades-873985034</x:v>
      </x:c>
      <x:c r="K540" s="14" t="str">
        <x:v>reviewed</x:v>
      </x:c>
    </x:row>
    <x:row r="541" ht="26" customHeight="1">
      <x:c r="A541" s="14" t="str">
        <x:v>name-sanctuary-ephesus-artemis-sanctuary-en-preferred</x:v>
      </x:c>
      <x:c r="B541" s="14" t="str">
        <x:v>sanctuary-ephesus-artemis-sanctuary</x:v>
      </x:c>
      <x:c r="C541" s="14" t="str">
        <x:v>Artemision of Ephesus</x:v>
      </x:c>
      <x:c r="D541" s="14" t="str">
        <x:v>en</x:v>
      </x:c>
      <x:c r="E541" s="14" t="str">
        <x:v>Latn</x:v>
      </x:c>
      <x:c r="F541" s="14" t="str">
        <x:v>preferred</x:v>
      </x:c>
      <x:c r="G541" s="20" t="b">
        <x:v>1</x:v>
      </x:c>
      <x:c r="H541" s="21"/>
      <x:c r="I541" s="21"/>
      <x:c r="J541" s="14" t="str">
        <x:v>src-pleiades-873985034</x:v>
      </x:c>
      <x:c r="K541" s="14" t="str">
        <x:v>reviewed</x:v>
      </x:c>
    </x:row>
    <x:row r="542" ht="26" customHeight="1">
      <x:c r="A542" s="14" t="str">
        <x:v>name-sanctuary-ephesus-artemis-sanctuary-grc-ancient</x:v>
      </x:c>
      <x:c r="B542" s="14" t="str">
        <x:v>sanctuary-ephesus-artemis-sanctuary</x:v>
      </x:c>
      <x:c r="C542" s="14" t="str">
        <x:v>Ἀρτεμίσιον Ἐφέσου</x:v>
      </x:c>
      <x:c r="D542" s="14" t="str">
        <x:v>grc</x:v>
      </x:c>
      <x:c r="E542" s="14" t="str">
        <x:v>Grek</x:v>
      </x:c>
      <x:c r="F542" s="14" t="str">
        <x:v>ancient</x:v>
      </x:c>
      <x:c r="G542" s="20" t="b">
        <x:v>0</x:v>
      </x:c>
      <x:c r="H542" s="21"/>
      <x:c r="I542" s="21"/>
      <x:c r="J542" s="14" t="str">
        <x:v>src-pleiades-873985034</x:v>
      </x:c>
      <x:c r="K542" s="14" t="str">
        <x:v>reviewed</x:v>
      </x:c>
    </x:row>
    <x:row r="543" ht="26" customHeight="1">
      <x:c r="A543" s="14" t="str">
        <x:v>name-sanctuary-epidauros-asklepios-sanctuary-el-preferred</x:v>
      </x:c>
      <x:c r="B543" s="14" t="str">
        <x:v>sanctuary-epidauros-asklepios-sanctuary</x:v>
      </x:c>
      <x:c r="C543" s="14" t="str">
        <x:v>Ασκληπιείο Επιδαύρου</x:v>
      </x:c>
      <x:c r="D543" s="14" t="str">
        <x:v>el</x:v>
      </x:c>
      <x:c r="E543" s="14" t="str">
        <x:v>Grek</x:v>
      </x:c>
      <x:c r="F543" s="14" t="str">
        <x:v>preferred</x:v>
      </x:c>
      <x:c r="G543" s="20" t="b">
        <x:v>1</x:v>
      </x:c>
      <x:c r="H543" s="21"/>
      <x:c r="I543" s="21"/>
      <x:c r="J543" s="14" t="str">
        <x:v>src-pleiades-570127</x:v>
      </x:c>
      <x:c r="K543" s="14" t="str">
        <x:v>reviewed</x:v>
      </x:c>
    </x:row>
    <x:row r="544" ht="26" customHeight="1">
      <x:c r="A544" s="14" t="str">
        <x:v>name-sanctuary-epidauros-asklepios-sanctuary-en-preferred</x:v>
      </x:c>
      <x:c r="B544" s="14" t="str">
        <x:v>sanctuary-epidauros-asklepios-sanctuary</x:v>
      </x:c>
      <x:c r="C544" s="14" t="str">
        <x:v>Sanctuary of Asklepios at Epidauros</x:v>
      </x:c>
      <x:c r="D544" s="14" t="str">
        <x:v>en</x:v>
      </x:c>
      <x:c r="E544" s="14" t="str">
        <x:v>Latn</x:v>
      </x:c>
      <x:c r="F544" s="14" t="str">
        <x:v>preferred</x:v>
      </x:c>
      <x:c r="G544" s="20" t="b">
        <x:v>1</x:v>
      </x:c>
      <x:c r="H544" s="21"/>
      <x:c r="I544" s="21"/>
      <x:c r="J544" s="14" t="str">
        <x:v>src-pleiades-570127</x:v>
      </x:c>
      <x:c r="K544" s="14" t="str">
        <x:v>reviewed</x:v>
      </x:c>
    </x:row>
    <x:row r="545" ht="26" customHeight="1">
      <x:c r="A545" s="14" t="str">
        <x:v>name-sanctuary-epidauros-asklepios-sanctuary-grc-ancient</x:v>
      </x:c>
      <x:c r="B545" s="14" t="str">
        <x:v>sanctuary-epidauros-asklepios-sanctuary</x:v>
      </x:c>
      <x:c r="C545" s="14" t="str">
        <x:v>Ἀσκληπιεῖον Ἐπιδαύρου</x:v>
      </x:c>
      <x:c r="D545" s="14" t="str">
        <x:v>grc</x:v>
      </x:c>
      <x:c r="E545" s="14" t="str">
        <x:v>Grek</x:v>
      </x:c>
      <x:c r="F545" s="14" t="str">
        <x:v>ancient</x:v>
      </x:c>
      <x:c r="G545" s="20" t="b">
        <x:v>0</x:v>
      </x:c>
      <x:c r="H545" s="21"/>
      <x:c r="I545" s="21"/>
      <x:c r="J545" s="14" t="str">
        <x:v>src-pleiades-570127</x:v>
      </x:c>
      <x:c r="K545" s="14" t="str">
        <x:v>reviewed</x:v>
      </x:c>
    </x:row>
    <x:row r="546" ht="26" customHeight="1">
      <x:c r="A546" s="14" t="str">
        <x:v>name-sanctuary-foce-del-sele-heraion-el-preferred</x:v>
      </x:c>
      <x:c r="B546" s="14" t="str">
        <x:v>sanctuary-foce-del-sele-heraion</x:v>
      </x:c>
      <x:c r="C546" s="14" t="str">
        <x:v>Ηραίο στις εκβολές του Σέλε</x:v>
      </x:c>
      <x:c r="D546" s="14" t="str">
        <x:v>el</x:v>
      </x:c>
      <x:c r="E546" s="14" t="str">
        <x:v>Grek</x:v>
      </x:c>
      <x:c r="F546" s="14" t="str">
        <x:v>preferred</x:v>
      </x:c>
      <x:c r="G546" s="20" t="b">
        <x:v>1</x:v>
      </x:c>
      <x:c r="H546" s="21"/>
      <x:c r="I546" s="21"/>
      <x:c r="J546" s="14" t="str">
        <x:v>src-pleiades-442610</x:v>
      </x:c>
      <x:c r="K546" s="14" t="str">
        <x:v>reviewed</x:v>
      </x:c>
    </x:row>
    <x:row r="547" ht="26" customHeight="1">
      <x:c r="A547" s="14" t="str">
        <x:v>name-sanctuary-foce-del-sele-heraion-en-preferred</x:v>
      </x:c>
      <x:c r="B547" s="14" t="str">
        <x:v>sanctuary-foce-del-sele-heraion</x:v>
      </x:c>
      <x:c r="C547" s="14" t="str">
        <x:v>Heraion at Foce del Sele</x:v>
      </x:c>
      <x:c r="D547" s="14" t="str">
        <x:v>en</x:v>
      </x:c>
      <x:c r="E547" s="14" t="str">
        <x:v>Latn</x:v>
      </x:c>
      <x:c r="F547" s="14" t="str">
        <x:v>preferred</x:v>
      </x:c>
      <x:c r="G547" s="20" t="b">
        <x:v>1</x:v>
      </x:c>
      <x:c r="H547" s="21"/>
      <x:c r="I547" s="21"/>
      <x:c r="J547" s="14" t="str">
        <x:v>src-pleiades-442610</x:v>
      </x:c>
      <x:c r="K547" s="14" t="str">
        <x:v>reviewed</x:v>
      </x:c>
    </x:row>
    <x:row r="548" ht="26" customHeight="1">
      <x:c r="A548" s="14" t="str">
        <x:v>name-sanctuary-foce-del-sele-heraion-grc-ancient</x:v>
      </x:c>
      <x:c r="B548" s="14" t="str">
        <x:v>sanctuary-foce-del-sele-heraion</x:v>
      </x:c>
      <x:c r="C548" s="14" t="str">
        <x:v>Ἡραῖον Ποσειδωνίας</x:v>
      </x:c>
      <x:c r="D548" s="14" t="str">
        <x:v>grc</x:v>
      </x:c>
      <x:c r="E548" s="14" t="str">
        <x:v>Grek</x:v>
      </x:c>
      <x:c r="F548" s="14" t="str">
        <x:v>ancient</x:v>
      </x:c>
      <x:c r="G548" s="20" t="b">
        <x:v>0</x:v>
      </x:c>
      <x:c r="H548" s="21"/>
      <x:c r="I548" s="21"/>
      <x:c r="J548" s="14" t="str">
        <x:v>src-pleiades-442610</x:v>
      </x:c>
      <x:c r="K548" s="14" t="str">
        <x:v>reviewed</x:v>
      </x:c>
    </x:row>
    <x:row r="549" ht="26" customHeight="1">
      <x:c r="A549" s="14" t="str">
        <x:v>name-sanctuary-golgoi-aphrodite-sanctuary-el-preferred</x:v>
      </x:c>
      <x:c r="B549" s="14" t="str">
        <x:v>sanctuary-golgoi-aphrodite-sanctuary</x:v>
      </x:c>
      <x:c r="C549" s="14" t="str">
        <x:v>Ιερό της Αφροδίτης Γολγίας</x:v>
      </x:c>
      <x:c r="D549" s="14" t="str">
        <x:v>el</x:v>
      </x:c>
      <x:c r="E549" s="14" t="str">
        <x:v>Grek</x:v>
      </x:c>
      <x:c r="F549" s="14" t="str">
        <x:v>preferred</x:v>
      </x:c>
      <x:c r="G549" s="20" t="b">
        <x:v>1</x:v>
      </x:c>
      <x:c r="H549" s="21"/>
      <x:c r="I549" s="21"/>
      <x:c r="J549" s="14" t="str">
        <x:v>src-pleiades-707470</x:v>
      </x:c>
      <x:c r="K549" s="14" t="str">
        <x:v>reviewed</x:v>
      </x:c>
    </x:row>
    <x:row r="550" ht="26" customHeight="1">
      <x:c r="A550" s="14" t="str">
        <x:v>name-sanctuary-golgoi-aphrodite-sanctuary-en-preferred</x:v>
      </x:c>
      <x:c r="B550" s="14" t="str">
        <x:v>sanctuary-golgoi-aphrodite-sanctuary</x:v>
      </x:c>
      <x:c r="C550" s="14" t="str">
        <x:v>Sanctuary of Aphrodite Golgia</x:v>
      </x:c>
      <x:c r="D550" s="14" t="str">
        <x:v>en</x:v>
      </x:c>
      <x:c r="E550" s="14" t="str">
        <x:v>Latn</x:v>
      </x:c>
      <x:c r="F550" s="14" t="str">
        <x:v>preferred</x:v>
      </x:c>
      <x:c r="G550" s="20" t="b">
        <x:v>1</x:v>
      </x:c>
      <x:c r="H550" s="21"/>
      <x:c r="I550" s="21"/>
      <x:c r="J550" s="14" t="str">
        <x:v>src-pleiades-707470</x:v>
      </x:c>
      <x:c r="K550" s="14" t="str">
        <x:v>reviewed</x:v>
      </x:c>
    </x:row>
    <x:row r="551" ht="26" customHeight="1">
      <x:c r="A551" s="14" t="str">
        <x:v>name-sanctuary-golgoi-aphrodite-sanctuary-grc-ancient</x:v>
      </x:c>
      <x:c r="B551" s="14" t="str">
        <x:v>sanctuary-golgoi-aphrodite-sanctuary</x:v>
      </x:c>
      <x:c r="C551" s="14" t="str">
        <x:v>Γόλγοι</x:v>
      </x:c>
      <x:c r="D551" s="14" t="str">
        <x:v>grc</x:v>
      </x:c>
      <x:c r="E551" s="14" t="str">
        <x:v>Grek</x:v>
      </x:c>
      <x:c r="F551" s="14" t="str">
        <x:v>ancient</x:v>
      </x:c>
      <x:c r="G551" s="20" t="b">
        <x:v>0</x:v>
      </x:c>
      <x:c r="H551" s="21"/>
      <x:c r="I551" s="21"/>
      <x:c r="J551" s="14" t="str">
        <x:v>src-pleiades-707470</x:v>
      </x:c>
      <x:c r="K551" s="14" t="str">
        <x:v>reviewed</x:v>
      </x:c>
    </x:row>
    <x:row r="552" ht="26" customHeight="1">
      <x:c r="A552" s="14" t="str">
        <x:v>name-sanctuary-gyroulas-demeter-sanctuary-el-preferred</x:v>
      </x:c>
      <x:c r="B552" s="14" t="str">
        <x:v>sanctuary-gyroulas-demeter-sanctuary</x:v>
      </x:c>
      <x:c r="C552" s="14" t="str">
        <x:v>Ιερό Δήμητρας και Απόλλωνα στον Γύρουλα</x:v>
      </x:c>
      <x:c r="D552" s="14" t="str">
        <x:v>el</x:v>
      </x:c>
      <x:c r="E552" s="14" t="str">
        <x:v>Grek</x:v>
      </x:c>
      <x:c r="F552" s="14" t="str">
        <x:v>preferred</x:v>
      </x:c>
      <x:c r="G552" s="20" t="b">
        <x:v>1</x:v>
      </x:c>
      <x:c r="H552" s="21"/>
      <x:c r="I552" s="21"/>
      <x:c r="J552" s="14" t="str">
        <x:v>src-pleiades-599631</x:v>
      </x:c>
      <x:c r="K552" s="14" t="str">
        <x:v>reviewed</x:v>
      </x:c>
    </x:row>
    <x:row r="553" ht="26" customHeight="1">
      <x:c r="A553" s="14" t="str">
        <x:v>name-sanctuary-gyroulas-demeter-sanctuary-en-preferred</x:v>
      </x:c>
      <x:c r="B553" s="14" t="str">
        <x:v>sanctuary-gyroulas-demeter-sanctuary</x:v>
      </x:c>
      <x:c r="C553" s="14" t="str">
        <x:v>Sanctuary of Demeter and Apollo at Gyroulas</x:v>
      </x:c>
      <x:c r="D553" s="14" t="str">
        <x:v>en</x:v>
      </x:c>
      <x:c r="E553" s="14" t="str">
        <x:v>Latn</x:v>
      </x:c>
      <x:c r="F553" s="14" t="str">
        <x:v>preferred</x:v>
      </x:c>
      <x:c r="G553" s="20" t="b">
        <x:v>1</x:v>
      </x:c>
      <x:c r="H553" s="21"/>
      <x:c r="I553" s="21"/>
      <x:c r="J553" s="14" t="str">
        <x:v>src-pleiades-599631</x:v>
      </x:c>
      <x:c r="K553" s="14" t="str">
        <x:v>reviewed</x:v>
      </x:c>
    </x:row>
    <x:row r="554" ht="26" customHeight="1">
      <x:c r="A554" s="14" t="str">
        <x:v>name-sanctuary-hierapolis-ploutonion-el-preferred</x:v>
      </x:c>
      <x:c r="B554" s="14" t="str">
        <x:v>sanctuary-hierapolis-ploutonion</x:v>
      </x:c>
      <x:c r="C554" s="14" t="str">
        <x:v>Πλουτώνιο Ιεράπολης</x:v>
      </x:c>
      <x:c r="D554" s="14" t="str">
        <x:v>el</x:v>
      </x:c>
      <x:c r="E554" s="14" t="str">
        <x:v>Grek</x:v>
      </x:c>
      <x:c r="F554" s="14" t="str">
        <x:v>preferred</x:v>
      </x:c>
      <x:c r="G554" s="20" t="b">
        <x:v>1</x:v>
      </x:c>
      <x:c r="H554" s="21"/>
      <x:c r="I554" s="21"/>
      <x:c r="J554" s="14" t="str">
        <x:v>src-pleiades-232079424</x:v>
      </x:c>
      <x:c r="K554" s="14" t="str">
        <x:v>reviewed</x:v>
      </x:c>
    </x:row>
    <x:row r="555" ht="26" customHeight="1">
      <x:c r="A555" s="14" t="str">
        <x:v>name-sanctuary-hierapolis-ploutonion-en-preferred</x:v>
      </x:c>
      <x:c r="B555" s="14" t="str">
        <x:v>sanctuary-hierapolis-ploutonion</x:v>
      </x:c>
      <x:c r="C555" s="14" t="str">
        <x:v>Ploutonion at Hierapolis</x:v>
      </x:c>
      <x:c r="D555" s="14" t="str">
        <x:v>en</x:v>
      </x:c>
      <x:c r="E555" s="14" t="str">
        <x:v>Latn</x:v>
      </x:c>
      <x:c r="F555" s="14" t="str">
        <x:v>preferred</x:v>
      </x:c>
      <x:c r="G555" s="20" t="b">
        <x:v>1</x:v>
      </x:c>
      <x:c r="H555" s="21"/>
      <x:c r="I555" s="21"/>
      <x:c r="J555" s="14" t="str">
        <x:v>src-pleiades-232079424</x:v>
      </x:c>
      <x:c r="K555" s="14" t="str">
        <x:v>reviewed</x:v>
      </x:c>
    </x:row>
    <x:row r="556" ht="26" customHeight="1">
      <x:c r="A556" s="14" t="str">
        <x:v>name-sanctuary-hierapolis-ploutonion-grc-ancient</x:v>
      </x:c>
      <x:c r="B556" s="14" t="str">
        <x:v>sanctuary-hierapolis-ploutonion</x:v>
      </x:c>
      <x:c r="C556" s="14" t="str">
        <x:v>Πλουτώνιον</x:v>
      </x:c>
      <x:c r="D556" s="14" t="str">
        <x:v>grc</x:v>
      </x:c>
      <x:c r="E556" s="14" t="str">
        <x:v>Grek</x:v>
      </x:c>
      <x:c r="F556" s="14" t="str">
        <x:v>ancient</x:v>
      </x:c>
      <x:c r="G556" s="20" t="b">
        <x:v>0</x:v>
      </x:c>
      <x:c r="H556" s="21"/>
      <x:c r="I556" s="21"/>
      <x:c r="J556" s="14" t="str">
        <x:v>src-pleiades-232079424</x:v>
      </x:c>
      <x:c r="K556" s="14" t="str">
        <x:v>reviewed</x:v>
      </x:c>
    </x:row>
    <x:row r="557" ht="26" customHeight="1">
      <x:c r="A557" s="14" t="str">
        <x:v>name-sanctuary-histria-sacred-zone-el-preferred</x:v>
      </x:c>
      <x:c r="B557" s="14" t="str">
        <x:v>sanctuary-histria-sacred-zone</x:v>
      </x:c>
      <x:c r="C557" s="14" t="str">
        <x:v>Ιερή ζώνη της Ιστρίας</x:v>
      </x:c>
      <x:c r="D557" s="14" t="str">
        <x:v>el</x:v>
      </x:c>
      <x:c r="E557" s="14" t="str">
        <x:v>Grek</x:v>
      </x:c>
      <x:c r="F557" s="14" t="str">
        <x:v>preferred</x:v>
      </x:c>
      <x:c r="G557" s="20" t="b">
        <x:v>1</x:v>
      </x:c>
      <x:c r="H557" s="21"/>
      <x:c r="I557" s="21"/>
      <x:c r="J557" s="14" t="str">
        <x:v>src-pleiades-216839</x:v>
      </x:c>
      <x:c r="K557" s="14" t="str">
        <x:v>reviewed</x:v>
      </x:c>
    </x:row>
    <x:row r="558" ht="26" customHeight="1">
      <x:c r="A558" s="14" t="str">
        <x:v>name-sanctuary-histria-sacred-zone-en-preferred</x:v>
      </x:c>
      <x:c r="B558" s="14" t="str">
        <x:v>sanctuary-histria-sacred-zone</x:v>
      </x:c>
      <x:c r="C558" s="14" t="str">
        <x:v>Sacred Zone of Histria</x:v>
      </x:c>
      <x:c r="D558" s="14" t="str">
        <x:v>en</x:v>
      </x:c>
      <x:c r="E558" s="14" t="str">
        <x:v>Latn</x:v>
      </x:c>
      <x:c r="F558" s="14" t="str">
        <x:v>preferred</x:v>
      </x:c>
      <x:c r="G558" s="20" t="b">
        <x:v>1</x:v>
      </x:c>
      <x:c r="H558" s="21"/>
      <x:c r="I558" s="21"/>
      <x:c r="J558" s="14" t="str">
        <x:v>src-pleiades-216839</x:v>
      </x:c>
      <x:c r="K558" s="14" t="str">
        <x:v>reviewed</x:v>
      </x:c>
    </x:row>
    <x:row r="559" ht="26" customHeight="1">
      <x:c r="A559" s="14" t="str">
        <x:v>name-sanctuary-histria-sacred-zone-grc-ancient</x:v>
      </x:c>
      <x:c r="B559" s="14" t="str">
        <x:v>sanctuary-histria-sacred-zone</x:v>
      </x:c>
      <x:c r="C559" s="14" t="str">
        <x:v>Ἰστρίη</x:v>
      </x:c>
      <x:c r="D559" s="14" t="str">
        <x:v>grc</x:v>
      </x:c>
      <x:c r="E559" s="14" t="str">
        <x:v>Grek</x:v>
      </x:c>
      <x:c r="F559" s="14" t="str">
        <x:v>ancient</x:v>
      </x:c>
      <x:c r="G559" s="20" t="b">
        <x:v>0</x:v>
      </x:c>
      <x:c r="H559" s="21"/>
      <x:c r="I559" s="21"/>
      <x:c r="J559" s="14" t="str">
        <x:v>src-pleiades-216839</x:v>
      </x:c>
      <x:c r="K559" s="14" t="str">
        <x:v>reviewed</x:v>
      </x:c>
    </x:row>
    <x:row r="560" ht="26" customHeight="1">
      <x:c r="A560" s="14" t="str">
        <x:v>name-sanctuary-hyria-dionysos-sanctuary-el-preferred</x:v>
      </x:c>
      <x:c r="B560" s="14" t="str">
        <x:v>sanctuary-hyria-dionysos-sanctuary</x:v>
      </x:c>
      <x:c r="C560" s="14" t="str">
        <x:v>Ιερό του Διονύσου στα Ύρια Νάξου</x:v>
      </x:c>
      <x:c r="D560" s="14" t="str">
        <x:v>el</x:v>
      </x:c>
      <x:c r="E560" s="14" t="str">
        <x:v>Grek</x:v>
      </x:c>
      <x:c r="F560" s="14" t="str">
        <x:v>preferred</x:v>
      </x:c>
      <x:c r="G560" s="20" t="b">
        <x:v>1</x:v>
      </x:c>
      <x:c r="H560" s="21"/>
      <x:c r="I560" s="21"/>
      <x:c r="J560" s="14" t="str">
        <x:v>src-pleiades-599661</x:v>
      </x:c>
      <x:c r="K560" s="14" t="str">
        <x:v>reviewed</x:v>
      </x:c>
    </x:row>
    <x:row r="561" ht="26" customHeight="1">
      <x:c r="A561" s="14" t="str">
        <x:v>name-sanctuary-hyria-dionysos-sanctuary-en-preferred</x:v>
      </x:c>
      <x:c r="B561" s="14" t="str">
        <x:v>sanctuary-hyria-dionysos-sanctuary</x:v>
      </x:c>
      <x:c r="C561" s="14" t="str">
        <x:v>Sanctuary of Dionysos at Hyria</x:v>
      </x:c>
      <x:c r="D561" s="14" t="str">
        <x:v>en</x:v>
      </x:c>
      <x:c r="E561" s="14" t="str">
        <x:v>Latn</x:v>
      </x:c>
      <x:c r="F561" s="14" t="str">
        <x:v>preferred</x:v>
      </x:c>
      <x:c r="G561" s="20" t="b">
        <x:v>1</x:v>
      </x:c>
      <x:c r="H561" s="21"/>
      <x:c r="I561" s="21"/>
      <x:c r="J561" s="14" t="str">
        <x:v>src-pleiades-599661</x:v>
      </x:c>
      <x:c r="K561" s="14" t="str">
        <x:v>reviewed</x:v>
      </x:c>
    </x:row>
    <x:row r="562" ht="26" customHeight="1">
      <x:c r="A562" s="14" t="str">
        <x:v>name-sanctuary-hyria-dionysos-sanctuary-grc-ancient</x:v>
      </x:c>
      <x:c r="B562" s="14" t="str">
        <x:v>sanctuary-hyria-dionysos-sanctuary</x:v>
      </x:c>
      <x:c r="C562" s="14" t="str">
        <x:v>Ὕρια</x:v>
      </x:c>
      <x:c r="D562" s="14" t="str">
        <x:v>grc</x:v>
      </x:c>
      <x:c r="E562" s="14" t="str">
        <x:v>Grek</x:v>
      </x:c>
      <x:c r="F562" s="14" t="str">
        <x:v>ancient</x:v>
      </x:c>
      <x:c r="G562" s="20" t="b">
        <x:v>0</x:v>
      </x:c>
      <x:c r="H562" s="21"/>
      <x:c r="I562" s="21"/>
      <x:c r="J562" s="14" t="str">
        <x:v>src-pleiades-599661</x:v>
      </x:c>
      <x:c r="K562" s="14" t="str">
        <x:v>reviewed</x:v>
      </x:c>
    </x:row>
    <x:row r="563" ht="26" customHeight="1">
      <x:c r="A563" s="14" t="str">
        <x:v>name-sanctuary-isthmia-poseidon-sanctuary-el-preferred</x:v>
      </x:c>
      <x:c r="B563" s="14" t="str">
        <x:v>sanctuary-isthmia-poseidon-sanctuary</x:v>
      </x:c>
      <x:c r="C563" s="14" t="str">
        <x:v>Ιερό του Ποσειδώνα στα Ίσθμια</x:v>
      </x:c>
      <x:c r="D563" s="14" t="str">
        <x:v>el</x:v>
      </x:c>
      <x:c r="E563" s="14" t="str">
        <x:v>Grek</x:v>
      </x:c>
      <x:c r="F563" s="14" t="str">
        <x:v>preferred</x:v>
      </x:c>
      <x:c r="G563" s="20" t="b">
        <x:v>1</x:v>
      </x:c>
      <x:c r="H563" s="21"/>
      <x:c r="I563" s="21"/>
      <x:c r="J563" s="14" t="str">
        <x:v>src-pleiades-570316</x:v>
      </x:c>
      <x:c r="K563" s="14" t="str">
        <x:v>reviewed</x:v>
      </x:c>
    </x:row>
    <x:row r="564" ht="26" customHeight="1">
      <x:c r="A564" s="14" t="str">
        <x:v>name-sanctuary-isthmia-poseidon-sanctuary-en-preferred</x:v>
      </x:c>
      <x:c r="B564" s="14" t="str">
        <x:v>sanctuary-isthmia-poseidon-sanctuary</x:v>
      </x:c>
      <x:c r="C564" s="14" t="str">
        <x:v>Sanctuary of Poseidon at Isthmia</x:v>
      </x:c>
      <x:c r="D564" s="14" t="str">
        <x:v>en</x:v>
      </x:c>
      <x:c r="E564" s="14" t="str">
        <x:v>Latn</x:v>
      </x:c>
      <x:c r="F564" s="14" t="str">
        <x:v>preferred</x:v>
      </x:c>
      <x:c r="G564" s="20" t="b">
        <x:v>1</x:v>
      </x:c>
      <x:c r="H564" s="21"/>
      <x:c r="I564" s="21"/>
      <x:c r="J564" s="14" t="str">
        <x:v>src-pleiades-570316</x:v>
      </x:c>
      <x:c r="K564" s="14" t="str">
        <x:v>reviewed</x:v>
      </x:c>
    </x:row>
    <x:row r="565" ht="26" customHeight="1">
      <x:c r="A565" s="14" t="str">
        <x:v>name-sanctuary-isthmia-poseidon-sanctuary-grc-ancient</x:v>
      </x:c>
      <x:c r="B565" s="14" t="str">
        <x:v>sanctuary-isthmia-poseidon-sanctuary</x:v>
      </x:c>
      <x:c r="C565" s="14" t="str">
        <x:v>Ἴσθμια</x:v>
      </x:c>
      <x:c r="D565" s="14" t="str">
        <x:v>grc</x:v>
      </x:c>
      <x:c r="E565" s="14" t="str">
        <x:v>Grek</x:v>
      </x:c>
      <x:c r="F565" s="14" t="str">
        <x:v>ancient</x:v>
      </x:c>
      <x:c r="G565" s="20" t="b">
        <x:v>0</x:v>
      </x:c>
      <x:c r="H565" s="21"/>
      <x:c r="I565" s="21"/>
      <x:c r="J565" s="14" t="str">
        <x:v>src-pleiades-570316</x:v>
      </x:c>
      <x:c r="K565" s="14" t="str">
        <x:v>reviewed</x:v>
      </x:c>
    </x:row>
    <x:row r="566" ht="26" customHeight="1">
      <x:c r="A566" s="14" t="str">
        <x:v>name-sanctuary-kalapodi-artemis-apollo-sanctuary-el-preferred</x:v>
      </x:c>
      <x:c r="B566" s="14" t="str">
        <x:v>sanctuary-kalapodi-artemis-apollo-sanctuary</x:v>
      </x:c>
      <x:c r="C566" s="14" t="str">
        <x:v>Ιερό Αρτέμιδος και Απόλλωνα στο Καλαπόδι</x:v>
      </x:c>
      <x:c r="D566" s="14" t="str">
        <x:v>el</x:v>
      </x:c>
      <x:c r="E566" s="14" t="str">
        <x:v>Grek</x:v>
      </x:c>
      <x:c r="F566" s="14" t="str">
        <x:v>preferred</x:v>
      </x:c>
      <x:c r="G566" s="20" t="b">
        <x:v>1</x:v>
      </x:c>
      <x:c r="H566" s="21"/>
      <x:c r="I566" s="21"/>
      <x:c r="J566" s="14" t="str">
        <x:v>src-pleiades-955675680</x:v>
      </x:c>
      <x:c r="K566" s="14" t="str">
        <x:v>reviewed</x:v>
      </x:c>
    </x:row>
    <x:row r="567" ht="26" customHeight="1">
      <x:c r="A567" s="14" t="str">
        <x:v>name-sanctuary-kalapodi-artemis-apollo-sanctuary-en-preferred</x:v>
      </x:c>
      <x:c r="B567" s="14" t="str">
        <x:v>sanctuary-kalapodi-artemis-apollo-sanctuary</x:v>
      </x:c>
      <x:c r="C567" s="14" t="str">
        <x:v>Sanctuary of Artemis and Apollo at Kalapodi</x:v>
      </x:c>
      <x:c r="D567" s="14" t="str">
        <x:v>en</x:v>
      </x:c>
      <x:c r="E567" s="14" t="str">
        <x:v>Latn</x:v>
      </x:c>
      <x:c r="F567" s="14" t="str">
        <x:v>preferred</x:v>
      </x:c>
      <x:c r="G567" s="20" t="b">
        <x:v>1</x:v>
      </x:c>
      <x:c r="H567" s="21"/>
      <x:c r="I567" s="21"/>
      <x:c r="J567" s="14" t="str">
        <x:v>src-pleiades-955675680</x:v>
      </x:c>
      <x:c r="K567" s="14" t="str">
        <x:v>reviewed</x:v>
      </x:c>
    </x:row>
    <x:row r="568" ht="26" customHeight="1">
      <x:c r="A568" s="14" t="str">
        <x:v>name-sanctuary-kalapodi-artemis-apollo-sanctuary-grc-ancient</x:v>
      </x:c>
      <x:c r="B568" s="14" t="str">
        <x:v>sanctuary-kalapodi-artemis-apollo-sanctuary</x:v>
      </x:c>
      <x:c r="C568" s="14" t="str">
        <x:v>Ἄβαι</x:v>
      </x:c>
      <x:c r="D568" s="14" t="str">
        <x:v>grc</x:v>
      </x:c>
      <x:c r="E568" s="14" t="str">
        <x:v>Grek</x:v>
      </x:c>
      <x:c r="F568" s="14" t="str">
        <x:v>ancient</x:v>
      </x:c>
      <x:c r="G568" s="20" t="b">
        <x:v>0</x:v>
      </x:c>
      <x:c r="H568" s="21"/>
      <x:c r="I568" s="21"/>
      <x:c r="J568" s="14" t="str">
        <x:v>src-pleiades-955675680</x:v>
      </x:c>
      <x:c r="K568" s="14" t="str">
        <x:v>reviewed</x:v>
      </x:c>
    </x:row>
    <x:row r="569" ht="26" customHeight="1">
      <x:c r="A569" s="14" t="str">
        <x:v>name-sanctuary-kos-asklepieion-el-preferred</x:v>
      </x:c>
      <x:c r="B569" s="14" t="str">
        <x:v>sanctuary-kos-asklepieion</x:v>
      </x:c>
      <x:c r="C569" s="14" t="str">
        <x:v>Ασκληπιείο Κω</x:v>
      </x:c>
      <x:c r="D569" s="14" t="str">
        <x:v>el</x:v>
      </x:c>
      <x:c r="E569" s="14" t="str">
        <x:v>Grek</x:v>
      </x:c>
      <x:c r="F569" s="14" t="str">
        <x:v>preferred</x:v>
      </x:c>
      <x:c r="G569" s="20" t="b">
        <x:v>1</x:v>
      </x:c>
      <x:c r="H569" s="21"/>
      <x:c r="I569" s="21"/>
      <x:c r="J569" s="14" t="str">
        <x:v>src-pleiades-599528</x:v>
      </x:c>
      <x:c r="K569" s="14" t="str">
        <x:v>reviewed</x:v>
      </x:c>
    </x:row>
    <x:row r="570" ht="26" customHeight="1">
      <x:c r="A570" s="14" t="str">
        <x:v>name-sanctuary-kos-asklepieion-en-preferred</x:v>
      </x:c>
      <x:c r="B570" s="14" t="str">
        <x:v>sanctuary-kos-asklepieion</x:v>
      </x:c>
      <x:c r="C570" s="14" t="str">
        <x:v>Asklepieion of Kos</x:v>
      </x:c>
      <x:c r="D570" s="14" t="str">
        <x:v>en</x:v>
      </x:c>
      <x:c r="E570" s="14" t="str">
        <x:v>Latn</x:v>
      </x:c>
      <x:c r="F570" s="14" t="str">
        <x:v>preferred</x:v>
      </x:c>
      <x:c r="G570" s="20" t="b">
        <x:v>1</x:v>
      </x:c>
      <x:c r="H570" s="21"/>
      <x:c r="I570" s="21"/>
      <x:c r="J570" s="14" t="str">
        <x:v>src-pleiades-599528</x:v>
      </x:c>
      <x:c r="K570" s="14" t="str">
        <x:v>reviewed</x:v>
      </x:c>
    </x:row>
    <x:row r="571" ht="26" customHeight="1">
      <x:c r="A571" s="14" t="str">
        <x:v>name-sanctuary-kos-asklepieion-grc-ancient</x:v>
      </x:c>
      <x:c r="B571" s="14" t="str">
        <x:v>sanctuary-kos-asklepieion</x:v>
      </x:c>
      <x:c r="C571" s="14" t="str">
        <x:v>Ἀσκληπιεῖον Κῷον</x:v>
      </x:c>
      <x:c r="D571" s="14" t="str">
        <x:v>grc</x:v>
      </x:c>
      <x:c r="E571" s="14" t="str">
        <x:v>Grek</x:v>
      </x:c>
      <x:c r="F571" s="14" t="str">
        <x:v>ancient</x:v>
      </x:c>
      <x:c r="G571" s="20" t="b">
        <x:v>0</x:v>
      </x:c>
      <x:c r="H571" s="21"/>
      <x:c r="I571" s="21"/>
      <x:c r="J571" s="14" t="str">
        <x:v>src-pleiades-599528</x:v>
      </x:c>
      <x:c r="K571" s="14" t="str">
        <x:v>reviewed</x:v>
      </x:c>
    </x:row>
    <x:row r="572" ht="26" customHeight="1">
      <x:c r="A572" s="14" t="str">
        <x:v>name-sanctuary-kourion-apollo-hylates-sanctuary-el-preferred</x:v>
      </x:c>
      <x:c r="B572" s="14" t="str">
        <x:v>sanctuary-kourion-apollo-hylates-sanctuary</x:v>
      </x:c>
      <x:c r="C572" s="14" t="str">
        <x:v>Ιερό του Απόλλωνα Υλάτη</x:v>
      </x:c>
      <x:c r="D572" s="14" t="str">
        <x:v>el</x:v>
      </x:c>
      <x:c r="E572" s="14" t="str">
        <x:v>Grek</x:v>
      </x:c>
      <x:c r="F572" s="14" t="str">
        <x:v>preferred</x:v>
      </x:c>
      <x:c r="G572" s="20" t="b">
        <x:v>1</x:v>
      </x:c>
      <x:c r="H572" s="21"/>
      <x:c r="I572" s="21"/>
      <x:c r="J572" s="14" t="str">
        <x:v>src-pleiades-707476</x:v>
      </x:c>
      <x:c r="K572" s="14" t="str">
        <x:v>reviewed</x:v>
      </x:c>
    </x:row>
    <x:row r="573" ht="26" customHeight="1">
      <x:c r="A573" s="14" t="str">
        <x:v>name-sanctuary-kourion-apollo-hylates-sanctuary-en-preferred</x:v>
      </x:c>
      <x:c r="B573" s="14" t="str">
        <x:v>sanctuary-kourion-apollo-hylates-sanctuary</x:v>
      </x:c>
      <x:c r="C573" s="14" t="str">
        <x:v>Sanctuary of Apollo Hylates</x:v>
      </x:c>
      <x:c r="D573" s="14" t="str">
        <x:v>en</x:v>
      </x:c>
      <x:c r="E573" s="14" t="str">
        <x:v>Latn</x:v>
      </x:c>
      <x:c r="F573" s="14" t="str">
        <x:v>preferred</x:v>
      </x:c>
      <x:c r="G573" s="20" t="b">
        <x:v>1</x:v>
      </x:c>
      <x:c r="H573" s="21"/>
      <x:c r="I573" s="21"/>
      <x:c r="J573" s="14" t="str">
        <x:v>src-pleiades-707476</x:v>
      </x:c>
      <x:c r="K573" s="14" t="str">
        <x:v>reviewed</x:v>
      </x:c>
    </x:row>
    <x:row r="574" ht="26" customHeight="1">
      <x:c r="A574" s="14" t="str">
        <x:v>name-sanctuary-kourion-apollo-hylates-sanctuary-grc-ancient</x:v>
      </x:c>
      <x:c r="B574" s="14" t="str">
        <x:v>sanctuary-kourion-apollo-hylates-sanctuary</x:v>
      </x:c>
      <x:c r="C574" s="14" t="str">
        <x:v>Ἀπόλλων Ὑλάτης</x:v>
      </x:c>
      <x:c r="D574" s="14" t="str">
        <x:v>grc</x:v>
      </x:c>
      <x:c r="E574" s="14" t="str">
        <x:v>Grek</x:v>
      </x:c>
      <x:c r="F574" s="14" t="str">
        <x:v>ancient</x:v>
      </x:c>
      <x:c r="G574" s="20" t="b">
        <x:v>0</x:v>
      </x:c>
      <x:c r="H574" s="21"/>
      <x:c r="I574" s="21"/>
      <x:c r="J574" s="14" t="str">
        <x:v>src-pleiades-707476</x:v>
      </x:c>
      <x:c r="K574" s="14" t="str">
        <x:v>reviewed</x:v>
      </x:c>
    </x:row>
    <x:row r="575" ht="26" customHeight="1">
      <x:c r="A575" s="14" t="str">
        <x:v>name-sanctuary-labraunda-zeus-sanctuary-el-preferred</x:v>
      </x:c>
      <x:c r="B575" s="14" t="str">
        <x:v>sanctuary-labraunda-zeus-sanctuary</x:v>
      </x:c>
      <x:c r="C575" s="14" t="str">
        <x:v>Ιερό του Διός στα Λάβρανδα</x:v>
      </x:c>
      <x:c r="D575" s="14" t="str">
        <x:v>el</x:v>
      </x:c>
      <x:c r="E575" s="14" t="str">
        <x:v>Grek</x:v>
      </x:c>
      <x:c r="F575" s="14" t="str">
        <x:v>preferred</x:v>
      </x:c>
      <x:c r="G575" s="20" t="b">
        <x:v>1</x:v>
      </x:c>
      <x:c r="H575" s="21"/>
      <x:c r="I575" s="21"/>
      <x:c r="J575" s="14" t="str">
        <x:v>src-pleiades-599745</x:v>
      </x:c>
      <x:c r="K575" s="14" t="str">
        <x:v>reviewed</x:v>
      </x:c>
    </x:row>
    <x:row r="576" ht="26" customHeight="1">
      <x:c r="A576" s="14" t="str">
        <x:v>name-sanctuary-labraunda-zeus-sanctuary-en-preferred</x:v>
      </x:c>
      <x:c r="B576" s="14" t="str">
        <x:v>sanctuary-labraunda-zeus-sanctuary</x:v>
      </x:c>
      <x:c r="C576" s="14" t="str">
        <x:v>Sanctuary of Zeus at Labraunda</x:v>
      </x:c>
      <x:c r="D576" s="14" t="str">
        <x:v>en</x:v>
      </x:c>
      <x:c r="E576" s="14" t="str">
        <x:v>Latn</x:v>
      </x:c>
      <x:c r="F576" s="14" t="str">
        <x:v>preferred</x:v>
      </x:c>
      <x:c r="G576" s="20" t="b">
        <x:v>1</x:v>
      </x:c>
      <x:c r="H576" s="21"/>
      <x:c r="I576" s="21"/>
      <x:c r="J576" s="14" t="str">
        <x:v>src-pleiades-599745</x:v>
      </x:c>
      <x:c r="K576" s="14" t="str">
        <x:v>reviewed</x:v>
      </x:c>
    </x:row>
    <x:row r="577" ht="26" customHeight="1">
      <x:c r="A577" s="14" t="str">
        <x:v>name-sanctuary-labraunda-zeus-sanctuary-grc-ancient</x:v>
      </x:c>
      <x:c r="B577" s="14" t="str">
        <x:v>sanctuary-labraunda-zeus-sanctuary</x:v>
      </x:c>
      <x:c r="C577" s="14" t="str">
        <x:v>Λάβρανδα</x:v>
      </x:c>
      <x:c r="D577" s="14" t="str">
        <x:v>grc</x:v>
      </x:c>
      <x:c r="E577" s="14" t="str">
        <x:v>Grek</x:v>
      </x:c>
      <x:c r="F577" s="14" t="str">
        <x:v>ancient</x:v>
      </x:c>
      <x:c r="G577" s="20" t="b">
        <x:v>0</x:v>
      </x:c>
      <x:c r="H577" s="21"/>
      <x:c r="I577" s="21"/>
      <x:c r="J577" s="14" t="str">
        <x:v>src-pleiades-599745</x:v>
      </x:c>
      <x:c r="K577" s="14" t="str">
        <x:v>reviewed</x:v>
      </x:c>
    </x:row>
    <x:row r="578" ht="26" customHeight="1">
      <x:c r="A578" s="14" t="str">
        <x:v>name-sanctuary-lagina-hekate-sanctuary-el-preferred</x:v>
      </x:c>
      <x:c r="B578" s="14" t="str">
        <x:v>sanctuary-lagina-hekate-sanctuary</x:v>
      </x:c>
      <x:c r="C578" s="14" t="str">
        <x:v>Εκάτειο Λαγίνων</x:v>
      </x:c>
      <x:c r="D578" s="14" t="str">
        <x:v>el</x:v>
      </x:c>
      <x:c r="E578" s="14" t="str">
        <x:v>Grek</x:v>
      </x:c>
      <x:c r="F578" s="14" t="str">
        <x:v>preferred</x:v>
      </x:c>
      <x:c r="G578" s="20" t="b">
        <x:v>1</x:v>
      </x:c>
      <x:c r="H578" s="21"/>
      <x:c r="I578" s="21"/>
      <x:c r="J578" s="14" t="str">
        <x:v>src-pleiades-376215160</x:v>
      </x:c>
      <x:c r="K578" s="14" t="str">
        <x:v>reviewed</x:v>
      </x:c>
    </x:row>
    <x:row r="579" ht="26" customHeight="1">
      <x:c r="A579" s="14" t="str">
        <x:v>name-sanctuary-lagina-hekate-sanctuary-en-preferred</x:v>
      </x:c>
      <x:c r="B579" s="14" t="str">
        <x:v>sanctuary-lagina-hekate-sanctuary</x:v>
      </x:c>
      <x:c r="C579" s="14" t="str">
        <x:v>Sanctuary of Hekate at Lagina</x:v>
      </x:c>
      <x:c r="D579" s="14" t="str">
        <x:v>en</x:v>
      </x:c>
      <x:c r="E579" s="14" t="str">
        <x:v>Latn</x:v>
      </x:c>
      <x:c r="F579" s="14" t="str">
        <x:v>preferred</x:v>
      </x:c>
      <x:c r="G579" s="20" t="b">
        <x:v>1</x:v>
      </x:c>
      <x:c r="H579" s="21"/>
      <x:c r="I579" s="21"/>
      <x:c r="J579" s="14" t="str">
        <x:v>src-pleiades-376215160</x:v>
      </x:c>
      <x:c r="K579" s="14" t="str">
        <x:v>reviewed</x:v>
      </x:c>
    </x:row>
    <x:row r="580" ht="26" customHeight="1">
      <x:c r="A580" s="14" t="str">
        <x:v>name-sanctuary-lagina-hekate-sanctuary-grc-ancient</x:v>
      </x:c>
      <x:c r="B580" s="14" t="str">
        <x:v>sanctuary-lagina-hekate-sanctuary</x:v>
      </x:c>
      <x:c r="C580" s="14" t="str">
        <x:v>Ἑκάτειον</x:v>
      </x:c>
      <x:c r="D580" s="14" t="str">
        <x:v>grc</x:v>
      </x:c>
      <x:c r="E580" s="14" t="str">
        <x:v>Grek</x:v>
      </x:c>
      <x:c r="F580" s="14" t="str">
        <x:v>ancient</x:v>
      </x:c>
      <x:c r="G580" s="20" t="b">
        <x:v>0</x:v>
      </x:c>
      <x:c r="H580" s="21"/>
      <x:c r="I580" s="21"/>
      <x:c r="J580" s="14" t="str">
        <x:v>src-pleiades-376215160</x:v>
      </x:c>
      <x:c r="K580" s="14" t="str">
        <x:v>reviewed</x:v>
      </x:c>
    </x:row>
    <x:row r="581" ht="26" customHeight="1">
      <x:c r="A581" s="14" t="str">
        <x:v>name-sanctuary-lemnos-kabeirion-el-preferred</x:v>
      </x:c>
      <x:c r="B581" s="14" t="str">
        <x:v>sanctuary-lemnos-kabeirion</x:v>
      </x:c>
      <x:c r="C581" s="14" t="str">
        <x:v>Καβείριο Λήμνου</x:v>
      </x:c>
      <x:c r="D581" s="14" t="str">
        <x:v>el</x:v>
      </x:c>
      <x:c r="E581" s="14" t="str">
        <x:v>Grek</x:v>
      </x:c>
      <x:c r="F581" s="14" t="str">
        <x:v>preferred</x:v>
      </x:c>
      <x:c r="G581" s="20" t="b">
        <x:v>1</x:v>
      </x:c>
      <x:c r="H581" s="21"/>
      <x:c r="I581" s="21"/>
      <x:c r="J581" s="14" t="str">
        <x:v>src-pleiades-550604</x:v>
      </x:c>
      <x:c r="K581" s="14" t="str">
        <x:v>reviewed</x:v>
      </x:c>
    </x:row>
    <x:row r="582" ht="26" customHeight="1">
      <x:c r="A582" s="14" t="str">
        <x:v>name-sanctuary-lemnos-kabeirion-en-preferred</x:v>
      </x:c>
      <x:c r="B582" s="14" t="str">
        <x:v>sanctuary-lemnos-kabeirion</x:v>
      </x:c>
      <x:c r="C582" s="14" t="str">
        <x:v>Kabeirion of Lemnos</x:v>
      </x:c>
      <x:c r="D582" s="14" t="str">
        <x:v>en</x:v>
      </x:c>
      <x:c r="E582" s="14" t="str">
        <x:v>Latn</x:v>
      </x:c>
      <x:c r="F582" s="14" t="str">
        <x:v>preferred</x:v>
      </x:c>
      <x:c r="G582" s="20" t="b">
        <x:v>1</x:v>
      </x:c>
      <x:c r="H582" s="21"/>
      <x:c r="I582" s="21"/>
      <x:c r="J582" s="14" t="str">
        <x:v>src-pleiades-550604</x:v>
      </x:c>
      <x:c r="K582" s="14" t="str">
        <x:v>reviewed</x:v>
      </x:c>
    </x:row>
    <x:row r="583" ht="26" customHeight="1">
      <x:c r="A583" s="14" t="str">
        <x:v>name-sanctuary-lemnos-kabeirion-grc-ancient</x:v>
      </x:c>
      <x:c r="B583" s="14" t="str">
        <x:v>sanctuary-lemnos-kabeirion</x:v>
      </x:c>
      <x:c r="C583" s="14" t="str">
        <x:v>Καβείριον</x:v>
      </x:c>
      <x:c r="D583" s="14" t="str">
        <x:v>grc</x:v>
      </x:c>
      <x:c r="E583" s="14" t="str">
        <x:v>Grek</x:v>
      </x:c>
      <x:c r="F583" s="14" t="str">
        <x:v>ancient</x:v>
      </x:c>
      <x:c r="G583" s="20" t="b">
        <x:v>0</x:v>
      </x:c>
      <x:c r="H583" s="21"/>
      <x:c r="I583" s="21"/>
      <x:c r="J583" s="14" t="str">
        <x:v>src-pleiades-550604</x:v>
      </x:c>
      <x:c r="K583" s="14" t="str">
        <x:v>reviewed</x:v>
      </x:c>
    </x:row>
    <x:row r="584" ht="26" customHeight="1">
      <x:c r="A584" s="14" t="str">
        <x:v>name-sanctuary-letoon-lycian-sanctuary-el-preferred</x:v>
      </x:c>
      <x:c r="B584" s="14" t="str">
        <x:v>sanctuary-letoon-lycian-sanctuary</x:v>
      </x:c>
      <x:c r="C584" s="14" t="str">
        <x:v>Λητώο της Λυκίας</x:v>
      </x:c>
      <x:c r="D584" s="14" t="str">
        <x:v>el</x:v>
      </x:c>
      <x:c r="E584" s="14" t="str">
        <x:v>Grek</x:v>
      </x:c>
      <x:c r="F584" s="14" t="str">
        <x:v>preferred</x:v>
      </x:c>
      <x:c r="G584" s="20" t="b">
        <x:v>1</x:v>
      </x:c>
      <x:c r="H584" s="21"/>
      <x:c r="I584" s="21"/>
      <x:c r="J584" s="14" t="str">
        <x:v>src-pleiades-638958</x:v>
      </x:c>
      <x:c r="K584" s="14" t="str">
        <x:v>reviewed</x:v>
      </x:c>
    </x:row>
    <x:row r="585" ht="26" customHeight="1">
      <x:c r="A585" s="14" t="str">
        <x:v>name-sanctuary-letoon-lycian-sanctuary-en-preferred</x:v>
      </x:c>
      <x:c r="B585" s="14" t="str">
        <x:v>sanctuary-letoon-lycian-sanctuary</x:v>
      </x:c>
      <x:c r="C585" s="14" t="str">
        <x:v>Letoon Sanctuary</x:v>
      </x:c>
      <x:c r="D585" s="14" t="str">
        <x:v>en</x:v>
      </x:c>
      <x:c r="E585" s="14" t="str">
        <x:v>Latn</x:v>
      </x:c>
      <x:c r="F585" s="14" t="str">
        <x:v>preferred</x:v>
      </x:c>
      <x:c r="G585" s="20" t="b">
        <x:v>1</x:v>
      </x:c>
      <x:c r="H585" s="21"/>
      <x:c r="I585" s="21"/>
      <x:c r="J585" s="14" t="str">
        <x:v>src-pleiades-638958</x:v>
      </x:c>
      <x:c r="K585" s="14" t="str">
        <x:v>reviewed</x:v>
      </x:c>
    </x:row>
    <x:row r="586" ht="26" customHeight="1">
      <x:c r="A586" s="14" t="str">
        <x:v>name-sanctuary-letoon-lycian-sanctuary-grc-ancient</x:v>
      </x:c>
      <x:c r="B586" s="14" t="str">
        <x:v>sanctuary-letoon-lycian-sanctuary</x:v>
      </x:c>
      <x:c r="C586" s="14" t="str">
        <x:v>Λητῷον</x:v>
      </x:c>
      <x:c r="D586" s="14" t="str">
        <x:v>grc</x:v>
      </x:c>
      <x:c r="E586" s="14" t="str">
        <x:v>Grek</x:v>
      </x:c>
      <x:c r="F586" s="14" t="str">
        <x:v>ancient</x:v>
      </x:c>
      <x:c r="G586" s="20" t="b">
        <x:v>0</x:v>
      </x:c>
      <x:c r="H586" s="21"/>
      <x:c r="I586" s="21"/>
      <x:c r="J586" s="14" t="str">
        <x:v>src-pleiades-638958</x:v>
      </x:c>
      <x:c r="K586" s="14" t="str">
        <x:v>reviewed</x:v>
      </x:c>
    </x:row>
    <x:row r="587" ht="26" customHeight="1">
      <x:c r="A587" s="14" t="str">
        <x:v>name-sanctuary-lindos-athena-sanctuary-el-preferred</x:v>
      </x:c>
      <x:c r="B587" s="14" t="str">
        <x:v>sanctuary-lindos-athena-sanctuary</x:v>
      </x:c>
      <x:c r="C587" s="14" t="str">
        <x:v>Ιερό της Αθηνάς Λινδίας</x:v>
      </x:c>
      <x:c r="D587" s="14" t="str">
        <x:v>el</x:v>
      </x:c>
      <x:c r="E587" s="14" t="str">
        <x:v>Grek</x:v>
      </x:c>
      <x:c r="F587" s="14" t="str">
        <x:v>preferred</x:v>
      </x:c>
      <x:c r="G587" s="20" t="b">
        <x:v>1</x:v>
      </x:c>
      <x:c r="H587" s="21"/>
      <x:c r="I587" s="21"/>
      <x:c r="J587" s="14" t="str">
        <x:v>src-pleiades-414067217</x:v>
      </x:c>
      <x:c r="K587" s="14" t="str">
        <x:v>reviewed</x:v>
      </x:c>
    </x:row>
    <x:row r="588" ht="26" customHeight="1">
      <x:c r="A588" s="14" t="str">
        <x:v>name-sanctuary-lindos-athena-sanctuary-en-preferred</x:v>
      </x:c>
      <x:c r="B588" s="14" t="str">
        <x:v>sanctuary-lindos-athena-sanctuary</x:v>
      </x:c>
      <x:c r="C588" s="14" t="str">
        <x:v>Sanctuary of Athena Lindia</x:v>
      </x:c>
      <x:c r="D588" s="14" t="str">
        <x:v>en</x:v>
      </x:c>
      <x:c r="E588" s="14" t="str">
        <x:v>Latn</x:v>
      </x:c>
      <x:c r="F588" s="14" t="str">
        <x:v>preferred</x:v>
      </x:c>
      <x:c r="G588" s="20" t="b">
        <x:v>1</x:v>
      </x:c>
      <x:c r="H588" s="21"/>
      <x:c r="I588" s="21"/>
      <x:c r="J588" s="14" t="str">
        <x:v>src-pleiades-414067217</x:v>
      </x:c>
      <x:c r="K588" s="14" t="str">
        <x:v>reviewed</x:v>
      </x:c>
    </x:row>
    <x:row r="589" ht="26" customHeight="1">
      <x:c r="A589" s="14" t="str">
        <x:v>name-sanctuary-lindos-athena-sanctuary-grc-ancient</x:v>
      </x:c>
      <x:c r="B589" s="14" t="str">
        <x:v>sanctuary-lindos-athena-sanctuary</x:v>
      </x:c>
      <x:c r="C589" s="14" t="str">
        <x:v>Ἀθηνᾶ Λινδία</x:v>
      </x:c>
      <x:c r="D589" s="14" t="str">
        <x:v>grc</x:v>
      </x:c>
      <x:c r="E589" s="14" t="str">
        <x:v>Grek</x:v>
      </x:c>
      <x:c r="F589" s="14" t="str">
        <x:v>ancient</x:v>
      </x:c>
      <x:c r="G589" s="20" t="b">
        <x:v>0</x:v>
      </x:c>
      <x:c r="H589" s="21"/>
      <x:c r="I589" s="21"/>
      <x:c r="J589" s="14" t="str">
        <x:v>src-pleiades-414067217</x:v>
      </x:c>
      <x:c r="K589" s="14" t="str">
        <x:v>reviewed</x:v>
      </x:c>
    </x:row>
    <x:row r="590" ht="26" customHeight="1">
      <x:c r="A590" s="14" t="str">
        <x:v>name-sanctuary-locri-mannella-persephone-sanctuary-el-preferred</x:v>
      </x:c>
      <x:c r="B590" s="14" t="str">
        <x:v>sanctuary-locri-mannella-persephone-sanctuary</x:v>
      </x:c>
      <x:c r="C590" s="14" t="str">
        <x:v>Ιερό της Περσεφόνης στη Mannella</x:v>
      </x:c>
      <x:c r="D590" s="14" t="str">
        <x:v>el</x:v>
      </x:c>
      <x:c r="E590" s="14" t="str">
        <x:v>Grek</x:v>
      </x:c>
      <x:c r="F590" s="14" t="str">
        <x:v>preferred</x:v>
      </x:c>
      <x:c r="G590" s="20" t="b">
        <x:v>1</x:v>
      </x:c>
      <x:c r="H590" s="21"/>
      <x:c r="I590" s="21"/>
      <x:c r="J590" s="14" t="str">
        <x:v>src-museoarcheologicoreggiocalabria-a34e7a2bfa16</x:v>
      </x:c>
      <x:c r="K590" s="14" t="str">
        <x:v>reviewed</x:v>
      </x:c>
    </x:row>
    <x:row r="591" ht="26" customHeight="1">
      <x:c r="A591" s="14" t="str">
        <x:v>name-sanctuary-locri-mannella-persephone-sanctuary-en-preferred</x:v>
      </x:c>
      <x:c r="B591" s="14" t="str">
        <x:v>sanctuary-locri-mannella-persephone-sanctuary</x:v>
      </x:c>
      <x:c r="C591" s="14" t="str">
        <x:v>Sanctuary of Persephone at Mannella</x:v>
      </x:c>
      <x:c r="D591" s="14" t="str">
        <x:v>en</x:v>
      </x:c>
      <x:c r="E591" s="14" t="str">
        <x:v>Latn</x:v>
      </x:c>
      <x:c r="F591" s="14" t="str">
        <x:v>preferred</x:v>
      </x:c>
      <x:c r="G591" s="20" t="b">
        <x:v>1</x:v>
      </x:c>
      <x:c r="H591" s="21"/>
      <x:c r="I591" s="21"/>
      <x:c r="J591" s="14" t="str">
        <x:v>src-museoarcheologicoreggiocalabria-a34e7a2bfa16</x:v>
      </x:c>
      <x:c r="K591" s="14" t="str">
        <x:v>reviewed</x:v>
      </x:c>
    </x:row>
    <x:row r="592" ht="26" customHeight="1">
      <x:c r="A592" s="14" t="str">
        <x:v>name-sanctuary-locri-mannella-persephone-sanctuary-grc-ancient</x:v>
      </x:c>
      <x:c r="B592" s="14" t="str">
        <x:v>sanctuary-locri-mannella-persephone-sanctuary</x:v>
      </x:c>
      <x:c r="C592" s="14" t="str">
        <x:v>Περσεφόνειον</x:v>
      </x:c>
      <x:c r="D592" s="14" t="str">
        <x:v>grc</x:v>
      </x:c>
      <x:c r="E592" s="14" t="str">
        <x:v>Grek</x:v>
      </x:c>
      <x:c r="F592" s="14" t="str">
        <x:v>ancient</x:v>
      </x:c>
      <x:c r="G592" s="20" t="b">
        <x:v>0</x:v>
      </x:c>
      <x:c r="H592" s="21"/>
      <x:c r="I592" s="21"/>
      <x:c r="J592" s="14" t="str">
        <x:v>src-museoarcheologicoreggiocalabria-a34e7a2bfa16</x:v>
      </x:c>
      <x:c r="K592" s="14" t="str">
        <x:v>reviewed</x:v>
      </x:c>
    </x:row>
    <x:row r="593" ht="26" customHeight="1">
      <x:c r="A593" s="14" t="str">
        <x:v>name-sanctuary-magnesia-artemis-leukophryene-el-preferred</x:v>
      </x:c>
      <x:c r="B593" s="14" t="str">
        <x:v>sanctuary-magnesia-artemis-leukophryene</x:v>
      </x:c>
      <x:c r="C593" s="14" t="str">
        <x:v>Ιερό της Αρτέμιδος Λευκοφρυηνής</x:v>
      </x:c>
      <x:c r="D593" s="14" t="str">
        <x:v>el</x:v>
      </x:c>
      <x:c r="E593" s="14" t="str">
        <x:v>Grek</x:v>
      </x:c>
      <x:c r="F593" s="14" t="str">
        <x:v>preferred</x:v>
      </x:c>
      <x:c r="G593" s="20" t="b">
        <x:v>1</x:v>
      </x:c>
      <x:c r="H593" s="21"/>
      <x:c r="I593" s="21"/>
      <x:c r="J593" s="14" t="str">
        <x:v>src-pleiades-599778</x:v>
      </x:c>
      <x:c r="K593" s="14" t="str">
        <x:v>reviewed</x:v>
      </x:c>
    </x:row>
    <x:row r="594" ht="26" customHeight="1">
      <x:c r="A594" s="14" t="str">
        <x:v>name-sanctuary-magnesia-artemis-leukophryene-en-preferred</x:v>
      </x:c>
      <x:c r="B594" s="14" t="str">
        <x:v>sanctuary-magnesia-artemis-leukophryene</x:v>
      </x:c>
      <x:c r="C594" s="14" t="str">
        <x:v>Sanctuary of Artemis Leukophryene</x:v>
      </x:c>
      <x:c r="D594" s="14" t="str">
        <x:v>en</x:v>
      </x:c>
      <x:c r="E594" s="14" t="str">
        <x:v>Latn</x:v>
      </x:c>
      <x:c r="F594" s="14" t="str">
        <x:v>preferred</x:v>
      </x:c>
      <x:c r="G594" s="20" t="b">
        <x:v>1</x:v>
      </x:c>
      <x:c r="H594" s="21"/>
      <x:c r="I594" s="21"/>
      <x:c r="J594" s="14" t="str">
        <x:v>src-pleiades-599778</x:v>
      </x:c>
      <x:c r="K594" s="14" t="str">
        <x:v>reviewed</x:v>
      </x:c>
    </x:row>
    <x:row r="595" ht="26" customHeight="1">
      <x:c r="A595" s="14" t="str">
        <x:v>name-sanctuary-magnesia-artemis-leukophryene-grc-ancient</x:v>
      </x:c>
      <x:c r="B595" s="14" t="str">
        <x:v>sanctuary-magnesia-artemis-leukophryene</x:v>
      </x:c>
      <x:c r="C595" s="14" t="str">
        <x:v>Ἀρτέμιδος Λευκοφρυηνῆς ἱερόν</x:v>
      </x:c>
      <x:c r="D595" s="14" t="str">
        <x:v>grc</x:v>
      </x:c>
      <x:c r="E595" s="14" t="str">
        <x:v>Grek</x:v>
      </x:c>
      <x:c r="F595" s="14" t="str">
        <x:v>ancient</x:v>
      </x:c>
      <x:c r="G595" s="20" t="b">
        <x:v>0</x:v>
      </x:c>
      <x:c r="H595" s="21"/>
      <x:c r="I595" s="21"/>
      <x:c r="J595" s="14" t="str">
        <x:v>src-pleiades-599778</x:v>
      </x:c>
      <x:c r="K595" s="14" t="str">
        <x:v>reviewed</x:v>
      </x:c>
    </x:row>
    <x:row r="596" ht="26" customHeight="1">
      <x:c r="A596" s="14" t="str">
        <x:v>name-sanctuary-menelaion-sparta-el-preferred</x:v>
      </x:c>
      <x:c r="B596" s="14" t="str">
        <x:v>sanctuary-menelaion-sparta</x:v>
      </x:c>
      <x:c r="C596" s="14" t="str">
        <x:v>Μενελάειο</x:v>
      </x:c>
      <x:c r="D596" s="14" t="str">
        <x:v>el</x:v>
      </x:c>
      <x:c r="E596" s="14" t="str">
        <x:v>Grek</x:v>
      </x:c>
      <x:c r="F596" s="14" t="str">
        <x:v>preferred</x:v>
      </x:c>
      <x:c r="G596" s="20" t="b">
        <x:v>1</x:v>
      </x:c>
      <x:c r="H596" s="21"/>
      <x:c r="I596" s="21"/>
      <x:c r="J596" s="14" t="str">
        <x:v>src-pleiades-570477</x:v>
      </x:c>
      <x:c r="K596" s="14" t="str">
        <x:v>reviewed</x:v>
      </x:c>
    </x:row>
    <x:row r="597" ht="26" customHeight="1">
      <x:c r="A597" s="14" t="str">
        <x:v>name-sanctuary-menelaion-sparta-en-preferred</x:v>
      </x:c>
      <x:c r="B597" s="14" t="str">
        <x:v>sanctuary-menelaion-sparta</x:v>
      </x:c>
      <x:c r="C597" s="14" t="str">
        <x:v>Menelaion Sanctuary</x:v>
      </x:c>
      <x:c r="D597" s="14" t="str">
        <x:v>en</x:v>
      </x:c>
      <x:c r="E597" s="14" t="str">
        <x:v>Latn</x:v>
      </x:c>
      <x:c r="F597" s="14" t="str">
        <x:v>preferred</x:v>
      </x:c>
      <x:c r="G597" s="20" t="b">
        <x:v>1</x:v>
      </x:c>
      <x:c r="H597" s="21"/>
      <x:c r="I597" s="21"/>
      <x:c r="J597" s="14" t="str">
        <x:v>src-pleiades-570477</x:v>
      </x:c>
      <x:c r="K597" s="14" t="str">
        <x:v>reviewed</x:v>
      </x:c>
    </x:row>
    <x:row r="598" ht="26" customHeight="1">
      <x:c r="A598" s="14" t="str">
        <x:v>name-sanctuary-menelaion-sparta-grc-ancient</x:v>
      </x:c>
      <x:c r="B598" s="14" t="str">
        <x:v>sanctuary-menelaion-sparta</x:v>
      </x:c>
      <x:c r="C598" s="14" t="str">
        <x:v>Μενελάειον</x:v>
      </x:c>
      <x:c r="D598" s="14" t="str">
        <x:v>grc</x:v>
      </x:c>
      <x:c r="E598" s="14" t="str">
        <x:v>Grek</x:v>
      </x:c>
      <x:c r="F598" s="14" t="str">
        <x:v>ancient</x:v>
      </x:c>
      <x:c r="G598" s="20" t="b">
        <x:v>0</x:v>
      </x:c>
      <x:c r="H598" s="21"/>
      <x:c r="I598" s="21"/>
      <x:c r="J598" s="14" t="str">
        <x:v>src-pleiades-570477</x:v>
      </x:c>
      <x:c r="K598" s="14" t="str">
        <x:v>reviewed</x:v>
      </x:c>
    </x:row>
    <x:row r="599" ht="26" customHeight="1">
      <x:c r="A599" s="14" t="str">
        <x:v>name-sanctuary-metapontum-tavole-palatine-heraion-el-preferred</x:v>
      </x:c>
      <x:c r="B599" s="14" t="str">
        <x:v>sanctuary-metapontum-tavole-palatine-heraion</x:v>
      </x:c>
      <x:c r="C599" s="14" t="str">
        <x:v>Ηραίο των Tavole Palatine</x:v>
      </x:c>
      <x:c r="D599" s="14" t="str">
        <x:v>el</x:v>
      </x:c>
      <x:c r="E599" s="14" t="str">
        <x:v>Grek</x:v>
      </x:c>
      <x:c r="F599" s="14" t="str">
        <x:v>preferred</x:v>
      </x:c>
      <x:c r="G599" s="20" t="b">
        <x:v>1</x:v>
      </x:c>
      <x:c r="H599" s="21"/>
      <x:c r="I599" s="21"/>
      <x:c r="J599" s="14" t="str">
        <x:v>src-pleiades-442611</x:v>
      </x:c>
      <x:c r="K599" s="14" t="str">
        <x:v>reviewed</x:v>
      </x:c>
    </x:row>
    <x:row r="600" ht="26" customHeight="1">
      <x:c r="A600" s="14" t="str">
        <x:v>name-sanctuary-metapontum-tavole-palatine-heraion-en-preferred</x:v>
      </x:c>
      <x:c r="B600" s="14" t="str">
        <x:v>sanctuary-metapontum-tavole-palatine-heraion</x:v>
      </x:c>
      <x:c r="C600" s="14" t="str">
        <x:v>Hera Sanctuary at Tavole Palatine</x:v>
      </x:c>
      <x:c r="D600" s="14" t="str">
        <x:v>en</x:v>
      </x:c>
      <x:c r="E600" s="14" t="str">
        <x:v>Latn</x:v>
      </x:c>
      <x:c r="F600" s="14" t="str">
        <x:v>preferred</x:v>
      </x:c>
      <x:c r="G600" s="20" t="b">
        <x:v>1</x:v>
      </x:c>
      <x:c r="H600" s="21"/>
      <x:c r="I600" s="21"/>
      <x:c r="J600" s="14" t="str">
        <x:v>src-pleiades-442611</x:v>
      </x:c>
      <x:c r="K600" s="14" t="str">
        <x:v>reviewed</x:v>
      </x:c>
    </x:row>
    <x:row r="601" ht="26" customHeight="1">
      <x:c r="A601" s="14" t="str">
        <x:v>name-sanctuary-metapontum-tavole-palatine-heraion-grc-ancient</x:v>
      </x:c>
      <x:c r="B601" s="14" t="str">
        <x:v>sanctuary-metapontum-tavole-palatine-heraion</x:v>
      </x:c>
      <x:c r="C601" s="14" t="str">
        <x:v>Ἡραῖον Μεταποντίου</x:v>
      </x:c>
      <x:c r="D601" s="14" t="str">
        <x:v>grc</x:v>
      </x:c>
      <x:c r="E601" s="14" t="str">
        <x:v>Grek</x:v>
      </x:c>
      <x:c r="F601" s="14" t="str">
        <x:v>ancient</x:v>
      </x:c>
      <x:c r="G601" s="20" t="b">
        <x:v>0</x:v>
      </x:c>
      <x:c r="H601" s="21"/>
      <x:c r="I601" s="21"/>
      <x:c r="J601" s="14" t="str">
        <x:v>src-pleiades-442611</x:v>
      </x:c>
      <x:c r="K601" s="14" t="str">
        <x:v>reviewed</x:v>
      </x:c>
    </x:row>
    <x:row r="602" ht="26" customHeight="1">
      <x:c r="A602" s="14" t="str">
        <x:v>name-sanctuary-mount-lykaion-zeus-sanctuary-el-preferred</x:v>
      </x:c>
      <x:c r="B602" s="14" t="str">
        <x:v>sanctuary-mount-lykaion-zeus-sanctuary</x:v>
      </x:c>
      <x:c r="C602" s="14" t="str">
        <x:v>Ιερό του Λυκαίου Διός</x:v>
      </x:c>
      <x:c r="D602" s="14" t="str">
        <x:v>el</x:v>
      </x:c>
      <x:c r="E602" s="14" t="str">
        <x:v>Grek</x:v>
      </x:c>
      <x:c r="F602" s="14" t="str">
        <x:v>preferred</x:v>
      </x:c>
      <x:c r="G602" s="20" t="b">
        <x:v>1</x:v>
      </x:c>
      <x:c r="H602" s="21"/>
      <x:c r="I602" s="21"/>
      <x:c r="J602" s="14" t="str">
        <x:v>src-pleiades-570764</x:v>
      </x:c>
      <x:c r="K602" s="14" t="str">
        <x:v>reviewed</x:v>
      </x:c>
    </x:row>
    <x:row r="603" ht="26" customHeight="1">
      <x:c r="A603" s="14" t="str">
        <x:v>name-sanctuary-mount-lykaion-zeus-sanctuary-en-preferred</x:v>
      </x:c>
      <x:c r="B603" s="14" t="str">
        <x:v>sanctuary-mount-lykaion-zeus-sanctuary</x:v>
      </x:c>
      <x:c r="C603" s="14" t="str">
        <x:v>Sanctuary of Zeus on Mount Lykaion</x:v>
      </x:c>
      <x:c r="D603" s="14" t="str">
        <x:v>en</x:v>
      </x:c>
      <x:c r="E603" s="14" t="str">
        <x:v>Latn</x:v>
      </x:c>
      <x:c r="F603" s="14" t="str">
        <x:v>preferred</x:v>
      </x:c>
      <x:c r="G603" s="20" t="b">
        <x:v>1</x:v>
      </x:c>
      <x:c r="H603" s="21"/>
      <x:c r="I603" s="21"/>
      <x:c r="J603" s="14" t="str">
        <x:v>src-pleiades-570764</x:v>
      </x:c>
      <x:c r="K603" s="14" t="str">
        <x:v>reviewed</x:v>
      </x:c>
    </x:row>
    <x:row r="604" ht="26" customHeight="1">
      <x:c r="A604" s="14" t="str">
        <x:v>name-sanctuary-mount-lykaion-zeus-sanctuary-grc-ancient</x:v>
      </x:c>
      <x:c r="B604" s="14" t="str">
        <x:v>sanctuary-mount-lykaion-zeus-sanctuary</x:v>
      </x:c>
      <x:c r="C604" s="14" t="str">
        <x:v>Λύκαιον</x:v>
      </x:c>
      <x:c r="D604" s="14" t="str">
        <x:v>grc</x:v>
      </x:c>
      <x:c r="E604" s="14" t="str">
        <x:v>Grek</x:v>
      </x:c>
      <x:c r="F604" s="14" t="str">
        <x:v>ancient</x:v>
      </x:c>
      <x:c r="G604" s="20" t="b">
        <x:v>0</x:v>
      </x:c>
      <x:c r="H604" s="21"/>
      <x:c r="I604" s="21"/>
      <x:c r="J604" s="14" t="str">
        <x:v>src-pleiades-570764</x:v>
      </x:c>
      <x:c r="K604" s="14" t="str">
        <x:v>reviewed</x:v>
      </x:c>
    </x:row>
    <x:row r="605" ht="26" customHeight="1">
      <x:c r="A605" s="14" t="str">
        <x:v>name-sanctuary-naukratis-hellenion-el-preferred</x:v>
      </x:c>
      <x:c r="B605" s="14" t="str">
        <x:v>sanctuary-naukratis-hellenion</x:v>
      </x:c>
      <x:c r="C605" s="14" t="str">
        <x:v>Ελλήνιο της Ναυκράτιδος</x:v>
      </x:c>
      <x:c r="D605" s="14" t="str">
        <x:v>el</x:v>
      </x:c>
      <x:c r="E605" s="14" t="str">
        <x:v>Grek</x:v>
      </x:c>
      <x:c r="F605" s="14" t="str">
        <x:v>preferred</x:v>
      </x:c>
      <x:c r="G605" s="20" t="b">
        <x:v>1</x:v>
      </x:c>
      <x:c r="H605" s="21"/>
      <x:c r="I605" s="21"/>
      <x:c r="J605" s="14" t="str">
        <x:v>src-britishmuseum-4626abd5cbdd</x:v>
      </x:c>
      <x:c r="K605" s="14" t="str">
        <x:v>reviewed</x:v>
      </x:c>
    </x:row>
    <x:row r="606" ht="26" customHeight="1">
      <x:c r="A606" s="14" t="str">
        <x:v>name-sanctuary-naukratis-hellenion-en-preferred</x:v>
      </x:c>
      <x:c r="B606" s="14" t="str">
        <x:v>sanctuary-naukratis-hellenion</x:v>
      </x:c>
      <x:c r="C606" s="14" t="str">
        <x:v>Hellenion at Naukratis</x:v>
      </x:c>
      <x:c r="D606" s="14" t="str">
        <x:v>en</x:v>
      </x:c>
      <x:c r="E606" s="14" t="str">
        <x:v>Latn</x:v>
      </x:c>
      <x:c r="F606" s="14" t="str">
        <x:v>preferred</x:v>
      </x:c>
      <x:c r="G606" s="20" t="b">
        <x:v>1</x:v>
      </x:c>
      <x:c r="H606" s="21"/>
      <x:c r="I606" s="21"/>
      <x:c r="J606" s="14" t="str">
        <x:v>src-britishmuseum-4626abd5cbdd</x:v>
      </x:c>
      <x:c r="K606" s="14" t="str">
        <x:v>reviewed</x:v>
      </x:c>
    </x:row>
    <x:row r="607" ht="26" customHeight="1">
      <x:c r="A607" s="14" t="str">
        <x:v>name-sanctuary-naukratis-hellenion-grc-ancient</x:v>
      </x:c>
      <x:c r="B607" s="14" t="str">
        <x:v>sanctuary-naukratis-hellenion</x:v>
      </x:c>
      <x:c r="C607" s="14" t="str">
        <x:v>Ἑλλήνιον</x:v>
      </x:c>
      <x:c r="D607" s="14" t="str">
        <x:v>grc</x:v>
      </x:c>
      <x:c r="E607" s="14" t="str">
        <x:v>Grek</x:v>
      </x:c>
      <x:c r="F607" s="14" t="str">
        <x:v>ancient</x:v>
      </x:c>
      <x:c r="G607" s="20" t="b">
        <x:v>0</x:v>
      </x:c>
      <x:c r="H607" s="21"/>
      <x:c r="I607" s="21"/>
      <x:c r="J607" s="14" t="str">
        <x:v>src-britishmuseum-4626abd5cbdd</x:v>
      </x:c>
      <x:c r="K607" s="14" t="str">
        <x:v>reviewed</x:v>
      </x:c>
    </x:row>
    <x:row r="608" ht="26" customHeight="1">
      <x:c r="A608" s="14" t="str">
        <x:v>name-sanctuary-nemea-zeus-sanctuary-el-preferred</x:v>
      </x:c>
      <x:c r="B608" s="14" t="str">
        <x:v>sanctuary-nemea-zeus-sanctuary</x:v>
      </x:c>
      <x:c r="C608" s="14" t="str">
        <x:v>Ιερό του Νεμείου Διός</x:v>
      </x:c>
      <x:c r="D608" s="14" t="str">
        <x:v>el</x:v>
      </x:c>
      <x:c r="E608" s="14" t="str">
        <x:v>Grek</x:v>
      </x:c>
      <x:c r="F608" s="14" t="str">
        <x:v>preferred</x:v>
      </x:c>
      <x:c r="G608" s="20" t="b">
        <x:v>1</x:v>
      </x:c>
      <x:c r="H608" s="21"/>
      <x:c r="I608" s="21"/>
      <x:c r="J608" s="14" t="str">
        <x:v>src-pleiades-570504</x:v>
      </x:c>
      <x:c r="K608" s="14" t="str">
        <x:v>reviewed</x:v>
      </x:c>
    </x:row>
    <x:row r="609" ht="26" customHeight="1">
      <x:c r="A609" s="14" t="str">
        <x:v>name-sanctuary-nemea-zeus-sanctuary-en-preferred</x:v>
      </x:c>
      <x:c r="B609" s="14" t="str">
        <x:v>sanctuary-nemea-zeus-sanctuary</x:v>
      </x:c>
      <x:c r="C609" s="14" t="str">
        <x:v>Sanctuary of Nemean Zeus</x:v>
      </x:c>
      <x:c r="D609" s="14" t="str">
        <x:v>en</x:v>
      </x:c>
      <x:c r="E609" s="14" t="str">
        <x:v>Latn</x:v>
      </x:c>
      <x:c r="F609" s="14" t="str">
        <x:v>preferred</x:v>
      </x:c>
      <x:c r="G609" s="20" t="b">
        <x:v>1</x:v>
      </x:c>
      <x:c r="H609" s="21"/>
      <x:c r="I609" s="21"/>
      <x:c r="J609" s="14" t="str">
        <x:v>src-pleiades-570504</x:v>
      </x:c>
      <x:c r="K609" s="14" t="str">
        <x:v>reviewed</x:v>
      </x:c>
    </x:row>
    <x:row r="610" ht="26" customHeight="1">
      <x:c r="A610" s="14" t="str">
        <x:v>name-sanctuary-nemea-zeus-sanctuary-grc-ancient</x:v>
      </x:c>
      <x:c r="B610" s="14" t="str">
        <x:v>sanctuary-nemea-zeus-sanctuary</x:v>
      </x:c>
      <x:c r="C610" s="14" t="str">
        <x:v>Νεμέα</x:v>
      </x:c>
      <x:c r="D610" s="14" t="str">
        <x:v>grc</x:v>
      </x:c>
      <x:c r="E610" s="14" t="str">
        <x:v>Grek</x:v>
      </x:c>
      <x:c r="F610" s="14" t="str">
        <x:v>ancient</x:v>
      </x:c>
      <x:c r="G610" s="20" t="b">
        <x:v>0</x:v>
      </x:c>
      <x:c r="H610" s="21"/>
      <x:c r="I610" s="21"/>
      <x:c r="J610" s="14" t="str">
        <x:v>src-pleiades-570504</x:v>
      </x:c>
      <x:c r="K610" s="14" t="str">
        <x:v>reviewed</x:v>
      </x:c>
    </x:row>
    <x:row r="611" ht="26" customHeight="1">
      <x:c r="A611" s="14" t="str">
        <x:v>name-sanctuary-olbia-apollo-delphinios-sanctuary-el-preferred</x:v>
      </x:c>
      <x:c r="B611" s="14" t="str">
        <x:v>sanctuary-olbia-apollo-delphinios-sanctuary</x:v>
      </x:c>
      <x:c r="C611" s="14" t="str">
        <x:v>Ιερό του Απόλλωνα Δελφινίου στην Ολβία</x:v>
      </x:c>
      <x:c r="D611" s="14" t="str">
        <x:v>el</x:v>
      </x:c>
      <x:c r="E611" s="14" t="str">
        <x:v>Grek</x:v>
      </x:c>
      <x:c r="F611" s="14" t="str">
        <x:v>preferred</x:v>
      </x:c>
      <x:c r="G611" s="20" t="b">
        <x:v>1</x:v>
      </x:c>
      <x:c r="H611" s="21"/>
      <x:c r="I611" s="21"/>
      <x:c r="J611" s="14" t="str">
        <x:v>src-penn-a97aa05ea214</x:v>
      </x:c>
      <x:c r="K611" s="14" t="str">
        <x:v>reviewed</x:v>
      </x:c>
    </x:row>
    <x:row r="612" ht="26" customHeight="1">
      <x:c r="A612" s="14" t="str">
        <x:v>name-sanctuary-olbia-apollo-delphinios-sanctuary-en-preferred</x:v>
      </x:c>
      <x:c r="B612" s="14" t="str">
        <x:v>sanctuary-olbia-apollo-delphinios-sanctuary</x:v>
      </x:c>
      <x:c r="C612" s="14" t="str">
        <x:v>Sanctuary of Apollo Delphinios at Olbia Pontica</x:v>
      </x:c>
      <x:c r="D612" s="14" t="str">
        <x:v>en</x:v>
      </x:c>
      <x:c r="E612" s="14" t="str">
        <x:v>Latn</x:v>
      </x:c>
      <x:c r="F612" s="14" t="str">
        <x:v>preferred</x:v>
      </x:c>
      <x:c r="G612" s="20" t="b">
        <x:v>1</x:v>
      </x:c>
      <x:c r="H612" s="21"/>
      <x:c r="I612" s="21"/>
      <x:c r="J612" s="14" t="str">
        <x:v>src-penn-a97aa05ea214</x:v>
      </x:c>
      <x:c r="K612" s="14" t="str">
        <x:v>reviewed</x:v>
      </x:c>
    </x:row>
    <x:row r="613" ht="26" customHeight="1">
      <x:c r="A613" s="14" t="str">
        <x:v>name-sanctuary-olbia-apollo-delphinios-sanctuary-grc-ancient</x:v>
      </x:c>
      <x:c r="B613" s="14" t="str">
        <x:v>sanctuary-olbia-apollo-delphinios-sanctuary</x:v>
      </x:c>
      <x:c r="C613" s="14" t="str">
        <x:v>Ἀπόλλωνος Δελφινίου τέμενος</x:v>
      </x:c>
      <x:c r="D613" s="14" t="str">
        <x:v>grc</x:v>
      </x:c>
      <x:c r="E613" s="14" t="str">
        <x:v>Grek</x:v>
      </x:c>
      <x:c r="F613" s="14" t="str">
        <x:v>ancient</x:v>
      </x:c>
      <x:c r="G613" s="20" t="b">
        <x:v>0</x:v>
      </x:c>
      <x:c r="H613" s="21"/>
      <x:c r="I613" s="21"/>
      <x:c r="J613" s="14" t="str">
        <x:v>src-penn-a97aa05ea214</x:v>
      </x:c>
      <x:c r="K613" s="14" t="str">
        <x:v>reviewed</x:v>
      </x:c>
    </x:row>
    <x:row r="614" ht="26" customHeight="1">
      <x:c r="A614" s="14" t="str">
        <x:v>name-sanctuary-olympia-zeus-sanctuary-el-preferred</x:v>
      </x:c>
      <x:c r="B614" s="14" t="str">
        <x:v>sanctuary-olympia-zeus-sanctuary</x:v>
      </x:c>
      <x:c r="C614" s="14" t="str">
        <x:v>Ιερό του Δία στην Ολυμπία</x:v>
      </x:c>
      <x:c r="D614" s="14" t="str">
        <x:v>el</x:v>
      </x:c>
      <x:c r="E614" s="14" t="str">
        <x:v>Grek</x:v>
      </x:c>
      <x:c r="F614" s="14" t="str">
        <x:v>preferred</x:v>
      </x:c>
      <x:c r="G614" s="20" t="b">
        <x:v>1</x:v>
      </x:c>
      <x:c r="H614" s="21"/>
      <x:c r="I614" s="21"/>
      <x:c r="J614" s="14" t="str">
        <x:v>src-pleiades-570531</x:v>
      </x:c>
      <x:c r="K614" s="14" t="str">
        <x:v>reviewed</x:v>
      </x:c>
    </x:row>
    <x:row r="615" ht="26" customHeight="1">
      <x:c r="A615" s="14" t="str">
        <x:v>name-sanctuary-olympia-zeus-sanctuary-en-preferred</x:v>
      </x:c>
      <x:c r="B615" s="14" t="str">
        <x:v>sanctuary-olympia-zeus-sanctuary</x:v>
      </x:c>
      <x:c r="C615" s="14" t="str">
        <x:v>Sanctuary of Zeus at Olympia</x:v>
      </x:c>
      <x:c r="D615" s="14" t="str">
        <x:v>en</x:v>
      </x:c>
      <x:c r="E615" s="14" t="str">
        <x:v>Latn</x:v>
      </x:c>
      <x:c r="F615" s="14" t="str">
        <x:v>preferred</x:v>
      </x:c>
      <x:c r="G615" s="20" t="b">
        <x:v>1</x:v>
      </x:c>
      <x:c r="H615" s="21"/>
      <x:c r="I615" s="21"/>
      <x:c r="J615" s="14" t="str">
        <x:v>src-pleiades-570531</x:v>
      </x:c>
      <x:c r="K615" s="14" t="str">
        <x:v>reviewed</x:v>
      </x:c>
    </x:row>
    <x:row r="616" ht="26" customHeight="1">
      <x:c r="A616" s="14" t="str">
        <x:v>name-sanctuary-olympia-zeus-sanctuary-grc-ancient</x:v>
      </x:c>
      <x:c r="B616" s="14" t="str">
        <x:v>sanctuary-olympia-zeus-sanctuary</x:v>
      </x:c>
      <x:c r="C616" s="14" t="str">
        <x:v>Ὀλυμπία</x:v>
      </x:c>
      <x:c r="D616" s="14" t="str">
        <x:v>grc</x:v>
      </x:c>
      <x:c r="E616" s="14" t="str">
        <x:v>Grek</x:v>
      </x:c>
      <x:c r="F616" s="14" t="str">
        <x:v>ancient</x:v>
      </x:c>
      <x:c r="G616" s="20" t="b">
        <x:v>0</x:v>
      </x:c>
      <x:c r="H616" s="21"/>
      <x:c r="I616" s="21"/>
      <x:c r="J616" s="14" t="str">
        <x:v>src-pleiades-570531</x:v>
      </x:c>
      <x:c r="K616" s="14" t="str">
        <x:v>reviewed</x:v>
      </x:c>
    </x:row>
    <x:row r="617" ht="26" customHeight="1">
      <x:c r="A617" s="14" t="str">
        <x:v>name-sanctuary-oropos-amphiareion-el-preferred</x:v>
      </x:c>
      <x:c r="B617" s="14" t="str">
        <x:v>sanctuary-oropos-amphiareion</x:v>
      </x:c>
      <x:c r="C617" s="14" t="str">
        <x:v>Αμφιαράειο Ωρωπού</x:v>
      </x:c>
      <x:c r="D617" s="14" t="str">
        <x:v>el</x:v>
      </x:c>
      <x:c r="E617" s="14" t="str">
        <x:v>Grek</x:v>
      </x:c>
      <x:c r="F617" s="14" t="str">
        <x:v>preferred</x:v>
      </x:c>
      <x:c r="G617" s="20" t="b">
        <x:v>1</x:v>
      </x:c>
      <x:c r="H617" s="21"/>
      <x:c r="I617" s="21"/>
      <x:c r="J617" s="14" t="str">
        <x:v>src-pleiades-540628</x:v>
      </x:c>
      <x:c r="K617" s="14" t="str">
        <x:v>reviewed</x:v>
      </x:c>
    </x:row>
    <x:row r="618" ht="26" customHeight="1">
      <x:c r="A618" s="14" t="str">
        <x:v>name-sanctuary-oropos-amphiareion-en-preferred</x:v>
      </x:c>
      <x:c r="B618" s="14" t="str">
        <x:v>sanctuary-oropos-amphiareion</x:v>
      </x:c>
      <x:c r="C618" s="14" t="str">
        <x:v>Amphiareion of Oropos</x:v>
      </x:c>
      <x:c r="D618" s="14" t="str">
        <x:v>en</x:v>
      </x:c>
      <x:c r="E618" s="14" t="str">
        <x:v>Latn</x:v>
      </x:c>
      <x:c r="F618" s="14" t="str">
        <x:v>preferred</x:v>
      </x:c>
      <x:c r="G618" s="20" t="b">
        <x:v>1</x:v>
      </x:c>
      <x:c r="H618" s="21"/>
      <x:c r="I618" s="21"/>
      <x:c r="J618" s="14" t="str">
        <x:v>src-pleiades-540628</x:v>
      </x:c>
      <x:c r="K618" s="14" t="str">
        <x:v>reviewed</x:v>
      </x:c>
    </x:row>
    <x:row r="619" ht="26" customHeight="1">
      <x:c r="A619" s="14" t="str">
        <x:v>name-sanctuary-oropos-amphiareion-grc-ancient</x:v>
      </x:c>
      <x:c r="B619" s="14" t="str">
        <x:v>sanctuary-oropos-amphiareion</x:v>
      </x:c>
      <x:c r="C619" s="14" t="str">
        <x:v>Ἀμφιαράειον</x:v>
      </x:c>
      <x:c r="D619" s="14" t="str">
        <x:v>grc</x:v>
      </x:c>
      <x:c r="E619" s="14" t="str">
        <x:v>Grek</x:v>
      </x:c>
      <x:c r="F619" s="14" t="str">
        <x:v>ancient</x:v>
      </x:c>
      <x:c r="G619" s="20" t="b">
        <x:v>0</x:v>
      </x:c>
      <x:c r="H619" s="21"/>
      <x:c r="I619" s="21"/>
      <x:c r="J619" s="14" t="str">
        <x:v>src-pleiades-540628</x:v>
      </x:c>
      <x:c r="K619" s="14" t="str">
        <x:v>reviewed</x:v>
      </x:c>
    </x:row>
    <x:row r="620" ht="26" customHeight="1">
      <x:c r="A620" s="14" t="str">
        <x:v>name-sanctuary-palaepaphos-aphrodite-sanctuary-el-preferred</x:v>
      </x:c>
      <x:c r="B620" s="14" t="str">
        <x:v>sanctuary-palaepaphos-aphrodite-sanctuary</x:v>
      </x:c>
      <x:c r="C620" s="14" t="str">
        <x:v>Ιερό της Αφροδίτης στην Παλαίπαφο</x:v>
      </x:c>
      <x:c r="D620" s="14" t="str">
        <x:v>el</x:v>
      </x:c>
      <x:c r="E620" s="14" t="str">
        <x:v>Grek</x:v>
      </x:c>
      <x:c r="F620" s="14" t="str">
        <x:v>preferred</x:v>
      </x:c>
      <x:c r="G620" s="20" t="b">
        <x:v>1</x:v>
      </x:c>
      <x:c r="H620" s="21"/>
      <x:c r="I620" s="21"/>
      <x:c r="J620" s="14" t="str">
        <x:v>src-pleiades-828989863</x:v>
      </x:c>
      <x:c r="K620" s="14" t="str">
        <x:v>reviewed</x:v>
      </x:c>
    </x:row>
    <x:row r="621" ht="26" customHeight="1">
      <x:c r="A621" s="14" t="str">
        <x:v>name-sanctuary-palaepaphos-aphrodite-sanctuary-en-preferred</x:v>
      </x:c>
      <x:c r="B621" s="14" t="str">
        <x:v>sanctuary-palaepaphos-aphrodite-sanctuary</x:v>
      </x:c>
      <x:c r="C621" s="14" t="str">
        <x:v>Sanctuary of Aphrodite at Palaepaphos</x:v>
      </x:c>
      <x:c r="D621" s="14" t="str">
        <x:v>en</x:v>
      </x:c>
      <x:c r="E621" s="14" t="str">
        <x:v>Latn</x:v>
      </x:c>
      <x:c r="F621" s="14" t="str">
        <x:v>preferred</x:v>
      </x:c>
      <x:c r="G621" s="20" t="b">
        <x:v>1</x:v>
      </x:c>
      <x:c r="H621" s="21"/>
      <x:c r="I621" s="21"/>
      <x:c r="J621" s="14" t="str">
        <x:v>src-pleiades-828989863</x:v>
      </x:c>
      <x:c r="K621" s="14" t="str">
        <x:v>reviewed</x:v>
      </x:c>
    </x:row>
    <x:row r="622" ht="26" customHeight="1">
      <x:c r="A622" s="14" t="str">
        <x:v>name-sanctuary-palaepaphos-aphrodite-sanctuary-grc-ancient</x:v>
      </x:c>
      <x:c r="B622" s="14" t="str">
        <x:v>sanctuary-palaepaphos-aphrodite-sanctuary</x:v>
      </x:c>
      <x:c r="C622" s="14" t="str">
        <x:v>Παλαίπαφος</x:v>
      </x:c>
      <x:c r="D622" s="14" t="str">
        <x:v>grc</x:v>
      </x:c>
      <x:c r="E622" s="14" t="str">
        <x:v>Grek</x:v>
      </x:c>
      <x:c r="F622" s="14" t="str">
        <x:v>ancient</x:v>
      </x:c>
      <x:c r="G622" s="20" t="b">
        <x:v>0</x:v>
      </x:c>
      <x:c r="H622" s="21"/>
      <x:c r="I622" s="21"/>
      <x:c r="J622" s="14" t="str">
        <x:v>src-pleiades-828989863</x:v>
      </x:c>
      <x:c r="K622" s="14" t="str">
        <x:v>reviewed</x:v>
      </x:c>
    </x:row>
    <x:row r="623" ht="26" customHeight="1">
      <x:c r="A623" s="14" t="str">
        <x:v>name-sanctuary-panionion-poseidon-sanctuary-el-preferred</x:v>
      </x:c>
      <x:c r="B623" s="14" t="str">
        <x:v>sanctuary-panionion-poseidon-sanctuary</x:v>
      </x:c>
      <x:c r="C623" s="14" t="str">
        <x:v>Πανιώνιο</x:v>
      </x:c>
      <x:c r="D623" s="14" t="str">
        <x:v>el</x:v>
      </x:c>
      <x:c r="E623" s="14" t="str">
        <x:v>Grek</x:v>
      </x:c>
      <x:c r="F623" s="14" t="str">
        <x:v>preferred</x:v>
      </x:c>
      <x:c r="G623" s="20" t="b">
        <x:v>1</x:v>
      </x:c>
      <x:c r="H623" s="21"/>
      <x:c r="I623" s="21"/>
      <x:c r="J623" s="14" t="str">
        <x:v>src-pleiades-599855</x:v>
      </x:c>
      <x:c r="K623" s="14" t="str">
        <x:v>reviewed</x:v>
      </x:c>
    </x:row>
    <x:row r="624" ht="26" customHeight="1">
      <x:c r="A624" s="14" t="str">
        <x:v>name-sanctuary-panionion-poseidon-sanctuary-en-preferred</x:v>
      </x:c>
      <x:c r="B624" s="14" t="str">
        <x:v>sanctuary-panionion-poseidon-sanctuary</x:v>
      </x:c>
      <x:c r="C624" s="14" t="str">
        <x:v>Panionion Sanctuary</x:v>
      </x:c>
      <x:c r="D624" s="14" t="str">
        <x:v>en</x:v>
      </x:c>
      <x:c r="E624" s="14" t="str">
        <x:v>Latn</x:v>
      </x:c>
      <x:c r="F624" s="14" t="str">
        <x:v>preferred</x:v>
      </x:c>
      <x:c r="G624" s="20" t="b">
        <x:v>1</x:v>
      </x:c>
      <x:c r="H624" s="21"/>
      <x:c r="I624" s="21"/>
      <x:c r="J624" s="14" t="str">
        <x:v>src-pleiades-599855</x:v>
      </x:c>
      <x:c r="K624" s="14" t="str">
        <x:v>reviewed</x:v>
      </x:c>
    </x:row>
    <x:row r="625" ht="26" customHeight="1">
      <x:c r="A625" s="14" t="str">
        <x:v>name-sanctuary-panionion-poseidon-sanctuary-grc-ancient</x:v>
      </x:c>
      <x:c r="B625" s="14" t="str">
        <x:v>sanctuary-panionion-poseidon-sanctuary</x:v>
      </x:c>
      <x:c r="C625" s="14" t="str">
        <x:v>Πανιώνιον</x:v>
      </x:c>
      <x:c r="D625" s="14" t="str">
        <x:v>grc</x:v>
      </x:c>
      <x:c r="E625" s="14" t="str">
        <x:v>Grek</x:v>
      </x:c>
      <x:c r="F625" s="14" t="str">
        <x:v>ancient</x:v>
      </x:c>
      <x:c r="G625" s="20" t="b">
        <x:v>0</x:v>
      </x:c>
      <x:c r="H625" s="21"/>
      <x:c r="I625" s="21"/>
      <x:c r="J625" s="14" t="str">
        <x:v>src-pleiades-599855</x:v>
      </x:c>
      <x:c r="K625" s="14" t="str">
        <x:v>reviewed</x:v>
      </x:c>
    </x:row>
    <x:row r="626" ht="26" customHeight="1">
      <x:c r="A626" s="14" t="str">
        <x:v>name-sanctuary-pantikapaion-apollo-ietros-sanctuary-el-preferred</x:v>
      </x:c>
      <x:c r="B626" s="14" t="str">
        <x:v>sanctuary-pantikapaion-apollo-ietros-sanctuary</x:v>
      </x:c>
      <x:c r="C626" s="14" t="str">
        <x:v>Ιερό του Απόλλωνα Ιητρού στο Παντικάπαιο</x:v>
      </x:c>
      <x:c r="D626" s="14" t="str">
        <x:v>el</x:v>
      </x:c>
      <x:c r="E626" s="14" t="str">
        <x:v>Grek</x:v>
      </x:c>
      <x:c r="F626" s="14" t="str">
        <x:v>preferred</x:v>
      </x:c>
      <x:c r="G626" s="20" t="b">
        <x:v>1</x:v>
      </x:c>
      <x:c r="H626" s="21"/>
      <x:c r="I626" s="21"/>
      <x:c r="J626" s="14" t="str">
        <x:v>src-pleiades-854719</x:v>
      </x:c>
      <x:c r="K626" s="14" t="str">
        <x:v>reviewed</x:v>
      </x:c>
    </x:row>
    <x:row r="627" ht="26" customHeight="1">
      <x:c r="A627" s="14" t="str">
        <x:v>name-sanctuary-pantikapaion-apollo-ietros-sanctuary-en-preferred</x:v>
      </x:c>
      <x:c r="B627" s="14" t="str">
        <x:v>sanctuary-pantikapaion-apollo-ietros-sanctuary</x:v>
      </x:c>
      <x:c r="C627" s="14" t="str">
        <x:v>Sanctuary of Apollo Ietros at Pantikapaion</x:v>
      </x:c>
      <x:c r="D627" s="14" t="str">
        <x:v>en</x:v>
      </x:c>
      <x:c r="E627" s="14" t="str">
        <x:v>Latn</x:v>
      </x:c>
      <x:c r="F627" s="14" t="str">
        <x:v>preferred</x:v>
      </x:c>
      <x:c r="G627" s="20" t="b">
        <x:v>1</x:v>
      </x:c>
      <x:c r="H627" s="21"/>
      <x:c r="I627" s="21"/>
      <x:c r="J627" s="14" t="str">
        <x:v>src-pleiades-854719</x:v>
      </x:c>
      <x:c r="K627" s="14" t="str">
        <x:v>reviewed</x:v>
      </x:c>
    </x:row>
    <x:row r="628" ht="26" customHeight="1">
      <x:c r="A628" s="14" t="str">
        <x:v>name-sanctuary-pantikapaion-apollo-ietros-sanctuary-grc-ancient</x:v>
      </x:c>
      <x:c r="B628" s="14" t="str">
        <x:v>sanctuary-pantikapaion-apollo-ietros-sanctuary</x:v>
      </x:c>
      <x:c r="C628" s="14" t="str">
        <x:v>Ἀπόλλωνος Ἰητροῦ ἱερόν</x:v>
      </x:c>
      <x:c r="D628" s="14" t="str">
        <x:v>grc</x:v>
      </x:c>
      <x:c r="E628" s="14" t="str">
        <x:v>Grek</x:v>
      </x:c>
      <x:c r="F628" s="14" t="str">
        <x:v>ancient</x:v>
      </x:c>
      <x:c r="G628" s="20" t="b">
        <x:v>0</x:v>
      </x:c>
      <x:c r="H628" s="21"/>
      <x:c r="I628" s="21"/>
      <x:c r="J628" s="14" t="str">
        <x:v>src-pleiades-854719</x:v>
      </x:c>
      <x:c r="K628" s="14" t="str">
        <x:v>reviewed</x:v>
      </x:c>
    </x:row>
    <x:row r="629" ht="26" customHeight="1">
      <x:c r="A629" s="14" t="str">
        <x:v>name-sanctuary-perachora-heraion-el-preferred</x:v>
      </x:c>
      <x:c r="B629" s="14" t="str">
        <x:v>sanctuary-perachora-heraion</x:v>
      </x:c>
      <x:c r="C629" s="14" t="str">
        <x:v>Ηραίο Περαχώρας</x:v>
      </x:c>
      <x:c r="D629" s="14" t="str">
        <x:v>el</x:v>
      </x:c>
      <x:c r="E629" s="14" t="str">
        <x:v>Grek</x:v>
      </x:c>
      <x:c r="F629" s="14" t="str">
        <x:v>preferred</x:v>
      </x:c>
      <x:c r="G629" s="20" t="b">
        <x:v>1</x:v>
      </x:c>
      <x:c r="H629" s="21"/>
      <x:c r="I629" s="21"/>
      <x:c r="J629" s="14" t="str">
        <x:v>src-pleiades-570288</x:v>
      </x:c>
      <x:c r="K629" s="14" t="str">
        <x:v>reviewed</x:v>
      </x:c>
    </x:row>
    <x:row r="630" ht="26" customHeight="1">
      <x:c r="A630" s="14" t="str">
        <x:v>name-sanctuary-perachora-heraion-en-preferred</x:v>
      </x:c>
      <x:c r="B630" s="14" t="str">
        <x:v>sanctuary-perachora-heraion</x:v>
      </x:c>
      <x:c r="C630" s="14" t="str">
        <x:v>Heraion of Perachora</x:v>
      </x:c>
      <x:c r="D630" s="14" t="str">
        <x:v>en</x:v>
      </x:c>
      <x:c r="E630" s="14" t="str">
        <x:v>Latn</x:v>
      </x:c>
      <x:c r="F630" s="14" t="str">
        <x:v>preferred</x:v>
      </x:c>
      <x:c r="G630" s="20" t="b">
        <x:v>1</x:v>
      </x:c>
      <x:c r="H630" s="21"/>
      <x:c r="I630" s="21"/>
      <x:c r="J630" s="14" t="str">
        <x:v>src-pleiades-570288</x:v>
      </x:c>
      <x:c r="K630" s="14" t="str">
        <x:v>reviewed</x:v>
      </x:c>
    </x:row>
    <x:row r="631" ht="26" customHeight="1">
      <x:c r="A631" s="14" t="str">
        <x:v>name-sanctuary-perachora-heraion-grc-ancient</x:v>
      </x:c>
      <x:c r="B631" s="14" t="str">
        <x:v>sanctuary-perachora-heraion</x:v>
      </x:c>
      <x:c r="C631" s="14" t="str">
        <x:v>Ἥρας Ἀκραίας ἱερόν</x:v>
      </x:c>
      <x:c r="D631" s="14" t="str">
        <x:v>grc</x:v>
      </x:c>
      <x:c r="E631" s="14" t="str">
        <x:v>Grek</x:v>
      </x:c>
      <x:c r="F631" s="14" t="str">
        <x:v>ancient</x:v>
      </x:c>
      <x:c r="G631" s="20" t="b">
        <x:v>0</x:v>
      </x:c>
      <x:c r="H631" s="21"/>
      <x:c r="I631" s="21"/>
      <x:c r="J631" s="14" t="str">
        <x:v>src-pleiades-570288</x:v>
      </x:c>
      <x:c r="K631" s="14" t="str">
        <x:v>reviewed</x:v>
      </x:c>
    </x:row>
    <x:row r="632" ht="26" customHeight="1">
      <x:c r="A632" s="14" t="str">
        <x:v>name-sanctuary-pergamon-asklepieion-el-preferred</x:v>
      </x:c>
      <x:c r="B632" s="14" t="str">
        <x:v>sanctuary-pergamon-asklepieion</x:v>
      </x:c>
      <x:c r="C632" s="14" t="str">
        <x:v>Ασκληπιείο Περγάμου</x:v>
      </x:c>
      <x:c r="D632" s="14" t="str">
        <x:v>el</x:v>
      </x:c>
      <x:c r="E632" s="14" t="str">
        <x:v>Grek</x:v>
      </x:c>
      <x:c r="F632" s="14" t="str">
        <x:v>preferred</x:v>
      </x:c>
      <x:c r="G632" s="20" t="b">
        <x:v>1</x:v>
      </x:c>
      <x:c r="H632" s="21"/>
      <x:c r="I632" s="21"/>
      <x:c r="J632" s="14" t="str">
        <x:v>src-pleiades-550459</x:v>
      </x:c>
      <x:c r="K632" s="14" t="str">
        <x:v>reviewed</x:v>
      </x:c>
    </x:row>
    <x:row r="633" ht="26" customHeight="1">
      <x:c r="A633" s="14" t="str">
        <x:v>name-sanctuary-pergamon-asklepieion-en-preferred</x:v>
      </x:c>
      <x:c r="B633" s="14" t="str">
        <x:v>sanctuary-pergamon-asklepieion</x:v>
      </x:c>
      <x:c r="C633" s="14" t="str">
        <x:v>Asklepieion of Pergamon</x:v>
      </x:c>
      <x:c r="D633" s="14" t="str">
        <x:v>en</x:v>
      </x:c>
      <x:c r="E633" s="14" t="str">
        <x:v>Latn</x:v>
      </x:c>
      <x:c r="F633" s="14" t="str">
        <x:v>preferred</x:v>
      </x:c>
      <x:c r="G633" s="20" t="b">
        <x:v>1</x:v>
      </x:c>
      <x:c r="H633" s="21"/>
      <x:c r="I633" s="21"/>
      <x:c r="J633" s="14" t="str">
        <x:v>src-pleiades-550459</x:v>
      </x:c>
      <x:c r="K633" s="14" t="str">
        <x:v>reviewed</x:v>
      </x:c>
    </x:row>
    <x:row r="634" ht="26" customHeight="1">
      <x:c r="A634" s="14" t="str">
        <x:v>name-sanctuary-pergamon-asklepieion-grc-ancient</x:v>
      </x:c>
      <x:c r="B634" s="14" t="str">
        <x:v>sanctuary-pergamon-asklepieion</x:v>
      </x:c>
      <x:c r="C634" s="14" t="str">
        <x:v>Ἀσκληπιεῖον Περγάμου</x:v>
      </x:c>
      <x:c r="D634" s="14" t="str">
        <x:v>grc</x:v>
      </x:c>
      <x:c r="E634" s="14" t="str">
        <x:v>Grek</x:v>
      </x:c>
      <x:c r="F634" s="14" t="str">
        <x:v>ancient</x:v>
      </x:c>
      <x:c r="G634" s="20" t="b">
        <x:v>0</x:v>
      </x:c>
      <x:c r="H634" s="21"/>
      <x:c r="I634" s="21"/>
      <x:c r="J634" s="14" t="str">
        <x:v>src-pleiades-550459</x:v>
      </x:c>
      <x:c r="K634" s="14" t="str">
        <x:v>reviewed</x:v>
      </x:c>
    </x:row>
    <x:row r="635" ht="26" customHeight="1">
      <x:c r="A635" s="14" t="str">
        <x:v>name-sanctuary-priene-athena-polias-sanctuary-el-preferred</x:v>
      </x:c>
      <x:c r="B635" s="14" t="str">
        <x:v>sanctuary-priene-athena-polias-sanctuary</x:v>
      </x:c>
      <x:c r="C635" s="14" t="str">
        <x:v>Ιερό της Αθηνάς Πολιάδος στην Πριήνη</x:v>
      </x:c>
      <x:c r="D635" s="14" t="str">
        <x:v>el</x:v>
      </x:c>
      <x:c r="E635" s="14" t="str">
        <x:v>Grek</x:v>
      </x:c>
      <x:c r="F635" s="14" t="str">
        <x:v>preferred</x:v>
      </x:c>
      <x:c r="G635" s="20" t="b">
        <x:v>1</x:v>
      </x:c>
      <x:c r="H635" s="21"/>
      <x:c r="I635" s="21"/>
      <x:c r="J635" s="14" t="str">
        <x:v>src-pleiades-298577312</x:v>
      </x:c>
      <x:c r="K635" s="14" t="str">
        <x:v>reviewed</x:v>
      </x:c>
    </x:row>
    <x:row r="636" ht="26" customHeight="1">
      <x:c r="A636" s="14" t="str">
        <x:v>name-sanctuary-priene-athena-polias-sanctuary-en-preferred</x:v>
      </x:c>
      <x:c r="B636" s="14" t="str">
        <x:v>sanctuary-priene-athena-polias-sanctuary</x:v>
      </x:c>
      <x:c r="C636" s="14" t="str">
        <x:v>Sanctuary of Athena Polias at Priene</x:v>
      </x:c>
      <x:c r="D636" s="14" t="str">
        <x:v>en</x:v>
      </x:c>
      <x:c r="E636" s="14" t="str">
        <x:v>Latn</x:v>
      </x:c>
      <x:c r="F636" s="14" t="str">
        <x:v>preferred</x:v>
      </x:c>
      <x:c r="G636" s="20" t="b">
        <x:v>1</x:v>
      </x:c>
      <x:c r="H636" s="21"/>
      <x:c r="I636" s="21"/>
      <x:c r="J636" s="14" t="str">
        <x:v>src-pleiades-298577312</x:v>
      </x:c>
      <x:c r="K636" s="14" t="str">
        <x:v>reviewed</x:v>
      </x:c>
    </x:row>
    <x:row r="637" ht="26" customHeight="1">
      <x:c r="A637" s="14" t="str">
        <x:v>name-sanctuary-priene-athena-polias-sanctuary-grc-ancient</x:v>
      </x:c>
      <x:c r="B637" s="14" t="str">
        <x:v>sanctuary-priene-athena-polias-sanctuary</x:v>
      </x:c>
      <x:c r="C637" s="14" t="str">
        <x:v>Ἀθηνᾶ Πολιάς</x:v>
      </x:c>
      <x:c r="D637" s="14" t="str">
        <x:v>grc</x:v>
      </x:c>
      <x:c r="E637" s="14" t="str">
        <x:v>Grek</x:v>
      </x:c>
      <x:c r="F637" s="14" t="str">
        <x:v>ancient</x:v>
      </x:c>
      <x:c r="G637" s="20" t="b">
        <x:v>0</x:v>
      </x:c>
      <x:c r="H637" s="21"/>
      <x:c r="I637" s="21"/>
      <x:c r="J637" s="14" t="str">
        <x:v>src-pleiades-298577312</x:v>
      </x:c>
      <x:c r="K637" s="14" t="str">
        <x:v>reviewed</x:v>
      </x:c>
    </x:row>
    <x:row r="638" ht="26" customHeight="1">
      <x:c r="A638" s="14" t="str">
        <x:v>name-sanctuary-rhodes-zeus-atabyrios-sanctuary-el-preferred</x:v>
      </x:c>
      <x:c r="B638" s="14" t="str">
        <x:v>sanctuary-rhodes-zeus-atabyrios-sanctuary</x:v>
      </x:c>
      <x:c r="C638" s="14" t="str">
        <x:v>Ιερό του Αταβυρίου Διός</x:v>
      </x:c>
      <x:c r="D638" s="14" t="str">
        <x:v>el</x:v>
      </x:c>
      <x:c r="E638" s="14" t="str">
        <x:v>Grek</x:v>
      </x:c>
      <x:c r="F638" s="14" t="str">
        <x:v>preferred</x:v>
      </x:c>
      <x:c r="G638" s="20" t="b">
        <x:v>1</x:v>
      </x:c>
      <x:c r="H638" s="21"/>
      <x:c r="I638" s="21"/>
      <x:c r="J638" s="14" t="str">
        <x:v>src-pleiades-590099</x:v>
      </x:c>
      <x:c r="K638" s="14" t="str">
        <x:v>reviewed</x:v>
      </x:c>
    </x:row>
    <x:row r="639" ht="26" customHeight="1">
      <x:c r="A639" s="14" t="str">
        <x:v>name-sanctuary-rhodes-zeus-atabyrios-sanctuary-en-preferred</x:v>
      </x:c>
      <x:c r="B639" s="14" t="str">
        <x:v>sanctuary-rhodes-zeus-atabyrios-sanctuary</x:v>
      </x:c>
      <x:c r="C639" s="14" t="str">
        <x:v>Sanctuary of Zeus Atabyrios</x:v>
      </x:c>
      <x:c r="D639" s="14" t="str">
        <x:v>en</x:v>
      </x:c>
      <x:c r="E639" s="14" t="str">
        <x:v>Latn</x:v>
      </x:c>
      <x:c r="F639" s="14" t="str">
        <x:v>preferred</x:v>
      </x:c>
      <x:c r="G639" s="20" t="b">
        <x:v>1</x:v>
      </x:c>
      <x:c r="H639" s="21"/>
      <x:c r="I639" s="21"/>
      <x:c r="J639" s="14" t="str">
        <x:v>src-pleiades-590099</x:v>
      </x:c>
      <x:c r="K639" s="14" t="str">
        <x:v>reviewed</x:v>
      </x:c>
    </x:row>
    <x:row r="640" ht="26" customHeight="1">
      <x:c r="A640" s="14" t="str">
        <x:v>name-sanctuary-rhodes-zeus-atabyrios-sanctuary-grc-ancient</x:v>
      </x:c>
      <x:c r="B640" s="14" t="str">
        <x:v>sanctuary-rhodes-zeus-atabyrios-sanctuary</x:v>
      </x:c>
      <x:c r="C640" s="14" t="str">
        <x:v>Ζεὺς Ἀταβύριος</x:v>
      </x:c>
      <x:c r="D640" s="14" t="str">
        <x:v>grc</x:v>
      </x:c>
      <x:c r="E640" s="14" t="str">
        <x:v>Grek</x:v>
      </x:c>
      <x:c r="F640" s="14" t="str">
        <x:v>ancient</x:v>
      </x:c>
      <x:c r="G640" s="20" t="b">
        <x:v>0</x:v>
      </x:c>
      <x:c r="H640" s="21"/>
      <x:c r="I640" s="21"/>
      <x:c r="J640" s="14" t="str">
        <x:v>src-pleiades-590099</x:v>
      </x:c>
      <x:c r="K640" s="14" t="str">
        <x:v>reviewed</x:v>
      </x:c>
    </x:row>
    <x:row r="641" ht="26" customHeight="1">
      <x:c r="A641" s="14" t="str">
        <x:v>name-sanctuary-samos-heraion-el-preferred</x:v>
      </x:c>
      <x:c r="B641" s="14" t="str">
        <x:v>sanctuary-samos-heraion</x:v>
      </x:c>
      <x:c r="C641" s="14" t="str">
        <x:v>Ηραίο Σάμου</x:v>
      </x:c>
      <x:c r="D641" s="14" t="str">
        <x:v>el</x:v>
      </x:c>
      <x:c r="E641" s="14" t="str">
        <x:v>Grek</x:v>
      </x:c>
      <x:c r="F641" s="14" t="str">
        <x:v>preferred</x:v>
      </x:c>
      <x:c r="G641" s="20" t="b">
        <x:v>1</x:v>
      </x:c>
      <x:c r="H641" s="21"/>
      <x:c r="I641" s="21"/>
      <x:c r="J641" s="14" t="str">
        <x:v>src-pleiades-599641</x:v>
      </x:c>
      <x:c r="K641" s="14" t="str">
        <x:v>reviewed</x:v>
      </x:c>
    </x:row>
    <x:row r="642" ht="26" customHeight="1">
      <x:c r="A642" s="14" t="str">
        <x:v>name-sanctuary-samos-heraion-en-preferred</x:v>
      </x:c>
      <x:c r="B642" s="14" t="str">
        <x:v>sanctuary-samos-heraion</x:v>
      </x:c>
      <x:c r="C642" s="14" t="str">
        <x:v>Heraion of Samos</x:v>
      </x:c>
      <x:c r="D642" s="14" t="str">
        <x:v>en</x:v>
      </x:c>
      <x:c r="E642" s="14" t="str">
        <x:v>Latn</x:v>
      </x:c>
      <x:c r="F642" s="14" t="str">
        <x:v>preferred</x:v>
      </x:c>
      <x:c r="G642" s="20" t="b">
        <x:v>1</x:v>
      </x:c>
      <x:c r="H642" s="21"/>
      <x:c r="I642" s="21"/>
      <x:c r="J642" s="14" t="str">
        <x:v>src-pleiades-599641</x:v>
      </x:c>
      <x:c r="K642" s="14" t="str">
        <x:v>reviewed</x:v>
      </x:c>
    </x:row>
    <x:row r="643" ht="26" customHeight="1">
      <x:c r="A643" s="14" t="str">
        <x:v>name-sanctuary-samos-heraion-grc-ancient</x:v>
      </x:c>
      <x:c r="B643" s="14" t="str">
        <x:v>sanctuary-samos-heraion</x:v>
      </x:c>
      <x:c r="C643" s="14" t="str">
        <x:v>Ἡραῖον Σάμου</x:v>
      </x:c>
      <x:c r="D643" s="14" t="str">
        <x:v>grc</x:v>
      </x:c>
      <x:c r="E643" s="14" t="str">
        <x:v>Grek</x:v>
      </x:c>
      <x:c r="F643" s="14" t="str">
        <x:v>ancient</x:v>
      </x:c>
      <x:c r="G643" s="20" t="b">
        <x:v>0</x:v>
      </x:c>
      <x:c r="H643" s="21"/>
      <x:c r="I643" s="21"/>
      <x:c r="J643" s="14" t="str">
        <x:v>src-pleiades-599641</x:v>
      </x:c>
      <x:c r="K643" s="14" t="str">
        <x:v>reviewed</x:v>
      </x:c>
    </x:row>
    <x:row r="644" ht="26" customHeight="1">
      <x:c r="A644" s="14" t="str">
        <x:v>name-sanctuary-samothrace-great-gods-sanctuary-el-preferred</x:v>
      </x:c>
      <x:c r="B644" s="14" t="str">
        <x:v>sanctuary-samothrace-great-gods-sanctuary</x:v>
      </x:c>
      <x:c r="C644" s="14" t="str">
        <x:v>Ιερό των Μεγάλων Θεών στη Σαμοθράκη</x:v>
      </x:c>
      <x:c r="D644" s="14" t="str">
        <x:v>el</x:v>
      </x:c>
      <x:c r="E644" s="14" t="str">
        <x:v>Grek</x:v>
      </x:c>
      <x:c r="F644" s="14" t="str">
        <x:v>preferred</x:v>
      </x:c>
      <x:c r="G644" s="20" t="b">
        <x:v>1</x:v>
      </x:c>
      <x:c r="H644" s="21"/>
      <x:c r="I644" s="21"/>
      <x:c r="J644" s="14" t="str">
        <x:v>src-pleiades-501511</x:v>
      </x:c>
      <x:c r="K644" s="14" t="str">
        <x:v>reviewed</x:v>
      </x:c>
    </x:row>
    <x:row r="645" ht="26" customHeight="1">
      <x:c r="A645" s="14" t="str">
        <x:v>name-sanctuary-samothrace-great-gods-sanctuary-en-preferred</x:v>
      </x:c>
      <x:c r="B645" s="14" t="str">
        <x:v>sanctuary-samothrace-great-gods-sanctuary</x:v>
      </x:c>
      <x:c r="C645" s="14" t="str">
        <x:v>Sanctuary of the Great Gods at Samothrace</x:v>
      </x:c>
      <x:c r="D645" s="14" t="str">
        <x:v>en</x:v>
      </x:c>
      <x:c r="E645" s="14" t="str">
        <x:v>Latn</x:v>
      </x:c>
      <x:c r="F645" s="14" t="str">
        <x:v>preferred</x:v>
      </x:c>
      <x:c r="G645" s="20" t="b">
        <x:v>1</x:v>
      </x:c>
      <x:c r="H645" s="21"/>
      <x:c r="I645" s="21"/>
      <x:c r="J645" s="14" t="str">
        <x:v>src-pleiades-501511</x:v>
      </x:c>
      <x:c r="K645" s="14" t="str">
        <x:v>reviewed</x:v>
      </x:c>
    </x:row>
    <x:row r="646" ht="26" customHeight="1">
      <x:c r="A646" s="14" t="str">
        <x:v>name-sanctuary-samothrace-great-gods-sanctuary-grc-ancient</x:v>
      </x:c>
      <x:c r="B646" s="14" t="str">
        <x:v>sanctuary-samothrace-great-gods-sanctuary</x:v>
      </x:c>
      <x:c r="C646" s="14" t="str">
        <x:v>Θεῶν Μεγάλων ἱερόν</x:v>
      </x:c>
      <x:c r="D646" s="14" t="str">
        <x:v>grc</x:v>
      </x:c>
      <x:c r="E646" s="14" t="str">
        <x:v>Grek</x:v>
      </x:c>
      <x:c r="F646" s="14" t="str">
        <x:v>ancient</x:v>
      </x:c>
      <x:c r="G646" s="20" t="b">
        <x:v>0</x:v>
      </x:c>
      <x:c r="H646" s="21"/>
      <x:c r="I646" s="21"/>
      <x:c r="J646" s="14" t="str">
        <x:v>src-pleiades-501511</x:v>
      </x:c>
      <x:c r="K646" s="14" t="str">
        <x:v>reviewed</x:v>
      </x:c>
    </x:row>
    <x:row r="647" ht="26" customHeight="1">
      <x:c r="A647" s="14" t="str">
        <x:v>name-sanctuary-sardis-artemis-sanctuary-el-preferred</x:v>
      </x:c>
      <x:c r="B647" s="14" t="str">
        <x:v>sanctuary-sardis-artemis-sanctuary</x:v>
      </x:c>
      <x:c r="C647" s="14" t="str">
        <x:v>Ιερό της Αρτέμιδος στις Σάρδεις</x:v>
      </x:c>
      <x:c r="D647" s="14" t="str">
        <x:v>el</x:v>
      </x:c>
      <x:c r="E647" s="14" t="str">
        <x:v>Grek</x:v>
      </x:c>
      <x:c r="F647" s="14" t="str">
        <x:v>preferred</x:v>
      </x:c>
      <x:c r="G647" s="20" t="b">
        <x:v>1</x:v>
      </x:c>
      <x:c r="H647" s="21"/>
      <x:c r="I647" s="21"/>
      <x:c r="J647" s="14" t="str">
        <x:v>src-pleiades-66376536</x:v>
      </x:c>
      <x:c r="K647" s="14" t="str">
        <x:v>reviewed</x:v>
      </x:c>
    </x:row>
    <x:row r="648" ht="26" customHeight="1">
      <x:c r="A648" s="14" t="str">
        <x:v>name-sanctuary-sardis-artemis-sanctuary-en-preferred</x:v>
      </x:c>
      <x:c r="B648" s="14" t="str">
        <x:v>sanctuary-sardis-artemis-sanctuary</x:v>
      </x:c>
      <x:c r="C648" s="14" t="str">
        <x:v>Sanctuary of Artemis at Sardis</x:v>
      </x:c>
      <x:c r="D648" s="14" t="str">
        <x:v>en</x:v>
      </x:c>
      <x:c r="E648" s="14" t="str">
        <x:v>Latn</x:v>
      </x:c>
      <x:c r="F648" s="14" t="str">
        <x:v>preferred</x:v>
      </x:c>
      <x:c r="G648" s="20" t="b">
        <x:v>1</x:v>
      </x:c>
      <x:c r="H648" s="21"/>
      <x:c r="I648" s="21"/>
      <x:c r="J648" s="14" t="str">
        <x:v>src-pleiades-66376536</x:v>
      </x:c>
      <x:c r="K648" s="14" t="str">
        <x:v>reviewed</x:v>
      </x:c>
    </x:row>
    <x:row r="649" ht="26" customHeight="1">
      <x:c r="A649" s="14" t="str">
        <x:v>name-sanctuary-sardis-artemis-sanctuary-grc-ancient</x:v>
      </x:c>
      <x:c r="B649" s="14" t="str">
        <x:v>sanctuary-sardis-artemis-sanctuary</x:v>
      </x:c>
      <x:c r="C649" s="14" t="str">
        <x:v>Ἀρτέμιδος ἱερόν ἐν Σάρδεσι</x:v>
      </x:c>
      <x:c r="D649" s="14" t="str">
        <x:v>grc</x:v>
      </x:c>
      <x:c r="E649" s="14" t="str">
        <x:v>Grek</x:v>
      </x:c>
      <x:c r="F649" s="14" t="str">
        <x:v>ancient</x:v>
      </x:c>
      <x:c r="G649" s="20" t="b">
        <x:v>0</x:v>
      </x:c>
      <x:c r="H649" s="21"/>
      <x:c r="I649" s="21"/>
      <x:c r="J649" s="14" t="str">
        <x:v>src-pleiades-66376536</x:v>
      </x:c>
      <x:c r="K649" s="14" t="str">
        <x:v>reviewed</x:v>
      </x:c>
    </x:row>
    <x:row r="650" ht="26" customHeight="1">
      <x:c r="A650" s="14" t="str">
        <x:v>name-sanctuary-segesta-doric-temple-sanctuary-el-preferred</x:v>
      </x:c>
      <x:c r="B650" s="14" t="str">
        <x:v>sanctuary-segesta-doric-temple-sanctuary</x:v>
      </x:c>
      <x:c r="C650" s="14" t="str">
        <x:v>Δωρικός ναός της Έγεστας</x:v>
      </x:c>
      <x:c r="D650" s="14" t="str">
        <x:v>el</x:v>
      </x:c>
      <x:c r="E650" s="14" t="str">
        <x:v>Grek</x:v>
      </x:c>
      <x:c r="F650" s="14" t="str">
        <x:v>preferred</x:v>
      </x:c>
      <x:c r="G650" s="20" t="b">
        <x:v>1</x:v>
      </x:c>
      <x:c r="H650" s="21"/>
      <x:c r="I650" s="21"/>
      <x:c r="J650" s="14" t="str">
        <x:v>src-pleiades-963441586</x:v>
      </x:c>
      <x:c r="K650" s="14" t="str">
        <x:v>reviewed</x:v>
      </x:c>
    </x:row>
    <x:row r="651" ht="26" customHeight="1">
      <x:c r="A651" s="14" t="str">
        <x:v>name-sanctuary-segesta-doric-temple-sanctuary-en-preferred</x:v>
      </x:c>
      <x:c r="B651" s="14" t="str">
        <x:v>sanctuary-segesta-doric-temple-sanctuary</x:v>
      </x:c>
      <x:c r="C651" s="14" t="str">
        <x:v>Doric Temple of Segesta</x:v>
      </x:c>
      <x:c r="D651" s="14" t="str">
        <x:v>en</x:v>
      </x:c>
      <x:c r="E651" s="14" t="str">
        <x:v>Latn</x:v>
      </x:c>
      <x:c r="F651" s="14" t="str">
        <x:v>preferred</x:v>
      </x:c>
      <x:c r="G651" s="20" t="b">
        <x:v>1</x:v>
      </x:c>
      <x:c r="H651" s="21"/>
      <x:c r="I651" s="21"/>
      <x:c r="J651" s="14" t="str">
        <x:v>src-pleiades-963441586</x:v>
      </x:c>
      <x:c r="K651" s="14" t="str">
        <x:v>reviewed</x:v>
      </x:c>
    </x:row>
    <x:row r="652" ht="26" customHeight="1">
      <x:c r="A652" s="14" t="str">
        <x:v>name-sanctuary-selinous-demeter-malophoros-sanctuary-el-preferred</x:v>
      </x:c>
      <x:c r="B652" s="14" t="str">
        <x:v>sanctuary-selinous-demeter-malophoros-sanctuary</x:v>
      </x:c>
      <x:c r="C652" s="14" t="str">
        <x:v>Ιερό της Δήμητρας Μαλοφόρου στον Σελινούντα</x:v>
      </x:c>
      <x:c r="D652" s="14" t="str">
        <x:v>el</x:v>
      </x:c>
      <x:c r="E652" s="14" t="str">
        <x:v>Grek</x:v>
      </x:c>
      <x:c r="F652" s="14" t="str">
        <x:v>preferred</x:v>
      </x:c>
      <x:c r="G652" s="20" t="b">
        <x:v>1</x:v>
      </x:c>
      <x:c r="H652" s="21"/>
      <x:c r="I652" s="21"/>
      <x:c r="J652" s="14" t="str">
        <x:v>src-pleiades-502577471</x:v>
      </x:c>
      <x:c r="K652" s="14" t="str">
        <x:v>reviewed</x:v>
      </x:c>
    </x:row>
    <x:row r="653" ht="26" customHeight="1">
      <x:c r="A653" s="14" t="str">
        <x:v>name-sanctuary-selinous-demeter-malophoros-sanctuary-en-preferred</x:v>
      </x:c>
      <x:c r="B653" s="14" t="str">
        <x:v>sanctuary-selinous-demeter-malophoros-sanctuary</x:v>
      </x:c>
      <x:c r="C653" s="14" t="str">
        <x:v>Sanctuary of Demeter Malophoros at Selinus</x:v>
      </x:c>
      <x:c r="D653" s="14" t="str">
        <x:v>en</x:v>
      </x:c>
      <x:c r="E653" s="14" t="str">
        <x:v>Latn</x:v>
      </x:c>
      <x:c r="F653" s="14" t="str">
        <x:v>preferred</x:v>
      </x:c>
      <x:c r="G653" s="20" t="b">
        <x:v>1</x:v>
      </x:c>
      <x:c r="H653" s="21"/>
      <x:c r="I653" s="21"/>
      <x:c r="J653" s="14" t="str">
        <x:v>src-pleiades-502577471</x:v>
      </x:c>
      <x:c r="K653" s="14" t="str">
        <x:v>reviewed</x:v>
      </x:c>
    </x:row>
    <x:row r="654" ht="26" customHeight="1">
      <x:c r="A654" s="14" t="str">
        <x:v>name-sanctuary-selinous-demeter-malophoros-sanctuary-grc-ancient</x:v>
      </x:c>
      <x:c r="B654" s="14" t="str">
        <x:v>sanctuary-selinous-demeter-malophoros-sanctuary</x:v>
      </x:c>
      <x:c r="C654" s="14" t="str">
        <x:v>Δήμητρος Μαλοφόρου ἱερόν</x:v>
      </x:c>
      <x:c r="D654" s="14" t="str">
        <x:v>grc</x:v>
      </x:c>
      <x:c r="E654" s="14" t="str">
        <x:v>Grek</x:v>
      </x:c>
      <x:c r="F654" s="14" t="str">
        <x:v>ancient</x:v>
      </x:c>
      <x:c r="G654" s="20" t="b">
        <x:v>0</x:v>
      </x:c>
      <x:c r="H654" s="21"/>
      <x:c r="I654" s="21"/>
      <x:c r="J654" s="14" t="str">
        <x:v>src-pleiades-502577471</x:v>
      </x:c>
      <x:c r="K654" s="14" t="str">
        <x:v>reviewed</x:v>
      </x:c>
    </x:row>
    <x:row r="655" ht="26" customHeight="1">
      <x:c r="A655" s="14" t="str">
        <x:v>name-sanctuary-siwa-amun-zeus-oracle-el-preferred</x:v>
      </x:c>
      <x:c r="B655" s="14" t="str">
        <x:v>sanctuary-siwa-amun-zeus-oracle</x:v>
      </x:c>
      <x:c r="C655" s="14" t="str">
        <x:v>Μαντείο του Άμμωνα στη Σίβα</x:v>
      </x:c>
      <x:c r="D655" s="14" t="str">
        <x:v>el</x:v>
      </x:c>
      <x:c r="E655" s="14" t="str">
        <x:v>Grek</x:v>
      </x:c>
      <x:c r="F655" s="14" t="str">
        <x:v>preferred</x:v>
      </x:c>
      <x:c r="G655" s="20" t="b">
        <x:v>1</x:v>
      </x:c>
      <x:c r="H655" s="21"/>
      <x:c r="I655" s="21"/>
      <x:c r="J655" s="14" t="str">
        <x:v>src-pleiades-716520</x:v>
      </x:c>
      <x:c r="K655" s="14" t="str">
        <x:v>reviewed</x:v>
      </x:c>
    </x:row>
    <x:row r="656" ht="26" customHeight="1">
      <x:c r="A656" s="14" t="str">
        <x:v>name-sanctuary-siwa-amun-zeus-oracle-en-preferred</x:v>
      </x:c>
      <x:c r="B656" s="14" t="str">
        <x:v>sanctuary-siwa-amun-zeus-oracle</x:v>
      </x:c>
      <x:c r="C656" s="14" t="str">
        <x:v>Oracle of Amun/Zeus Ammon at Siwa</x:v>
      </x:c>
      <x:c r="D656" s="14" t="str">
        <x:v>en</x:v>
      </x:c>
      <x:c r="E656" s="14" t="str">
        <x:v>Latn</x:v>
      </x:c>
      <x:c r="F656" s="14" t="str">
        <x:v>preferred</x:v>
      </x:c>
      <x:c r="G656" s="20" t="b">
        <x:v>1</x:v>
      </x:c>
      <x:c r="H656" s="21"/>
      <x:c r="I656" s="21"/>
      <x:c r="J656" s="14" t="str">
        <x:v>src-pleiades-716520</x:v>
      </x:c>
      <x:c r="K656" s="14" t="str">
        <x:v>reviewed</x:v>
      </x:c>
    </x:row>
    <x:row r="657" ht="26" customHeight="1">
      <x:c r="A657" s="14" t="str">
        <x:v>name-sanctuary-siwa-amun-zeus-oracle-grc-ancient</x:v>
      </x:c>
      <x:c r="B657" s="14" t="str">
        <x:v>sanctuary-siwa-amun-zeus-oracle</x:v>
      </x:c>
      <x:c r="C657" s="14" t="str">
        <x:v>Ἄμμωνος χρηστήριον</x:v>
      </x:c>
      <x:c r="D657" s="14" t="str">
        <x:v>grc</x:v>
      </x:c>
      <x:c r="E657" s="14" t="str">
        <x:v>Grek</x:v>
      </x:c>
      <x:c r="F657" s="14" t="str">
        <x:v>ancient</x:v>
      </x:c>
      <x:c r="G657" s="20" t="b">
        <x:v>0</x:v>
      </x:c>
      <x:c r="H657" s="21"/>
      <x:c r="I657" s="21"/>
      <x:c r="J657" s="14" t="str">
        <x:v>src-pleiades-716520</x:v>
      </x:c>
      <x:c r="K657" s="14" t="str">
        <x:v>reviewed</x:v>
      </x:c>
    </x:row>
    <x:row r="658" ht="26" customHeight="1">
      <x:c r="A658" s="14" t="str">
        <x:v>name-sanctuary-smintheion-apollo-sanctuary-el-preferred</x:v>
      </x:c>
      <x:c r="B658" s="14" t="str">
        <x:v>sanctuary-smintheion-apollo-sanctuary</x:v>
      </x:c>
      <x:c r="C658" s="14" t="str">
        <x:v>Σμίνθειο</x:v>
      </x:c>
      <x:c r="D658" s="14" t="str">
        <x:v>el</x:v>
      </x:c>
      <x:c r="E658" s="14" t="str">
        <x:v>Grek</x:v>
      </x:c>
      <x:c r="F658" s="14" t="str">
        <x:v>preferred</x:v>
      </x:c>
      <x:c r="G658" s="20" t="b">
        <x:v>1</x:v>
      </x:c>
      <x:c r="H658" s="21"/>
      <x:c r="I658" s="21"/>
      <x:c r="J658" s="14" t="str">
        <x:v>src-pleiades-550892</x:v>
      </x:c>
      <x:c r="K658" s="14" t="str">
        <x:v>reviewed</x:v>
      </x:c>
    </x:row>
    <x:row r="659" ht="26" customHeight="1">
      <x:c r="A659" s="14" t="str">
        <x:v>name-sanctuary-smintheion-apollo-sanctuary-en-preferred</x:v>
      </x:c>
      <x:c r="B659" s="14" t="str">
        <x:v>sanctuary-smintheion-apollo-sanctuary</x:v>
      </x:c>
      <x:c r="C659" s="14" t="str">
        <x:v>Sanctuary of Apollo Smintheus</x:v>
      </x:c>
      <x:c r="D659" s="14" t="str">
        <x:v>en</x:v>
      </x:c>
      <x:c r="E659" s="14" t="str">
        <x:v>Latn</x:v>
      </x:c>
      <x:c r="F659" s="14" t="str">
        <x:v>preferred</x:v>
      </x:c>
      <x:c r="G659" s="20" t="b">
        <x:v>1</x:v>
      </x:c>
      <x:c r="H659" s="21"/>
      <x:c r="I659" s="21"/>
      <x:c r="J659" s="14" t="str">
        <x:v>src-pleiades-550892</x:v>
      </x:c>
      <x:c r="K659" s="14" t="str">
        <x:v>reviewed</x:v>
      </x:c>
    </x:row>
    <x:row r="660" ht="26" customHeight="1">
      <x:c r="A660" s="14" t="str">
        <x:v>name-sanctuary-smintheion-apollo-sanctuary-grc-ancient</x:v>
      </x:c>
      <x:c r="B660" s="14" t="str">
        <x:v>sanctuary-smintheion-apollo-sanctuary</x:v>
      </x:c>
      <x:c r="C660" s="14" t="str">
        <x:v>Σμίνθειον</x:v>
      </x:c>
      <x:c r="D660" s="14" t="str">
        <x:v>grc</x:v>
      </x:c>
      <x:c r="E660" s="14" t="str">
        <x:v>Grek</x:v>
      </x:c>
      <x:c r="F660" s="14" t="str">
        <x:v>ancient</x:v>
      </x:c>
      <x:c r="G660" s="20" t="b">
        <x:v>0</x:v>
      </x:c>
      <x:c r="H660" s="21"/>
      <x:c r="I660" s="21"/>
      <x:c r="J660" s="14" t="str">
        <x:v>src-pleiades-550892</x:v>
      </x:c>
      <x:c r="K660" s="14" t="str">
        <x:v>reviewed</x:v>
      </x:c>
    </x:row>
    <x:row r="661" ht="26" customHeight="1">
      <x:c r="A661" s="14" t="str">
        <x:v>name-sanctuary-sounion-poseidon-sanctuary-el-preferred</x:v>
      </x:c>
      <x:c r="B661" s="14" t="str">
        <x:v>sanctuary-sounion-poseidon-sanctuary</x:v>
      </x:c>
      <x:c r="C661" s="14" t="str">
        <x:v>Ιερό του Ποσειδώνα στο Σούνιο</x:v>
      </x:c>
      <x:c r="D661" s="14" t="str">
        <x:v>el</x:v>
      </x:c>
      <x:c r="E661" s="14" t="str">
        <x:v>Grek</x:v>
      </x:c>
      <x:c r="F661" s="14" t="str">
        <x:v>preferred</x:v>
      </x:c>
      <x:c r="G661" s="20" t="b">
        <x:v>1</x:v>
      </x:c>
      <x:c r="H661" s="21"/>
      <x:c r="I661" s="21"/>
      <x:c r="J661" s="14" t="str">
        <x:v>src-pleiades-580086</x:v>
      </x:c>
      <x:c r="K661" s="14" t="str">
        <x:v>reviewed</x:v>
      </x:c>
    </x:row>
    <x:row r="662" ht="26" customHeight="1">
      <x:c r="A662" s="14" t="str">
        <x:v>name-sanctuary-sounion-poseidon-sanctuary-en-preferred</x:v>
      </x:c>
      <x:c r="B662" s="14" t="str">
        <x:v>sanctuary-sounion-poseidon-sanctuary</x:v>
      </x:c>
      <x:c r="C662" s="14" t="str">
        <x:v>Sanctuary of Poseidon at Sounion</x:v>
      </x:c>
      <x:c r="D662" s="14" t="str">
        <x:v>en</x:v>
      </x:c>
      <x:c r="E662" s="14" t="str">
        <x:v>Latn</x:v>
      </x:c>
      <x:c r="F662" s="14" t="str">
        <x:v>preferred</x:v>
      </x:c>
      <x:c r="G662" s="20" t="b">
        <x:v>1</x:v>
      </x:c>
      <x:c r="H662" s="21"/>
      <x:c r="I662" s="21"/>
      <x:c r="J662" s="14" t="str">
        <x:v>src-pleiades-580086</x:v>
      </x:c>
      <x:c r="K662" s="14" t="str">
        <x:v>reviewed</x:v>
      </x:c>
    </x:row>
    <x:row r="663" ht="26" customHeight="1">
      <x:c r="A663" s="14" t="str">
        <x:v>name-sanctuary-sounion-poseidon-sanctuary-grc-ancient</x:v>
      </x:c>
      <x:c r="B663" s="14" t="str">
        <x:v>sanctuary-sounion-poseidon-sanctuary</x:v>
      </x:c>
      <x:c r="C663" s="14" t="str">
        <x:v>Σούνιον</x:v>
      </x:c>
      <x:c r="D663" s="14" t="str">
        <x:v>grc</x:v>
      </x:c>
      <x:c r="E663" s="14" t="str">
        <x:v>Grek</x:v>
      </x:c>
      <x:c r="F663" s="14" t="str">
        <x:v>ancient</x:v>
      </x:c>
      <x:c r="G663" s="20" t="b">
        <x:v>0</x:v>
      </x:c>
      <x:c r="H663" s="21"/>
      <x:c r="I663" s="21"/>
      <x:c r="J663" s="14" t="str">
        <x:v>src-pleiades-580086</x:v>
      </x:c>
      <x:c r="K663" s="14" t="str">
        <x:v>reviewed</x:v>
      </x:c>
    </x:row>
    <x:row r="664" ht="26" customHeight="1">
      <x:c r="A664" s="14" t="str">
        <x:v>name-sanctuary-syracuse-apollo-sanctuary-el-preferred</x:v>
      </x:c>
      <x:c r="B664" s="14" t="str">
        <x:v>sanctuary-syracuse-apollo-sanctuary</x:v>
      </x:c>
      <x:c r="C664" s="14" t="str">
        <x:v>Ναός του Απόλλωνα στις Συρακούσες</x:v>
      </x:c>
      <x:c r="D664" s="14" t="str">
        <x:v>el</x:v>
      </x:c>
      <x:c r="E664" s="14" t="str">
        <x:v>Grek</x:v>
      </x:c>
      <x:c r="F664" s="14" t="str">
        <x:v>preferred</x:v>
      </x:c>
      <x:c r="G664" s="20" t="b">
        <x:v>1</x:v>
      </x:c>
      <x:c r="H664" s="21"/>
      <x:c r="I664" s="21"/>
      <x:c r="J664" s="14" t="str">
        <x:v>src-pleiades-418729933</x:v>
      </x:c>
      <x:c r="K664" s="14" t="str">
        <x:v>reviewed</x:v>
      </x:c>
    </x:row>
    <x:row r="665" ht="26" customHeight="1">
      <x:c r="A665" s="14" t="str">
        <x:v>name-sanctuary-syracuse-apollo-sanctuary-en-preferred</x:v>
      </x:c>
      <x:c r="B665" s="14" t="str">
        <x:v>sanctuary-syracuse-apollo-sanctuary</x:v>
      </x:c>
      <x:c r="C665" s="14" t="str">
        <x:v>Temple of Apollo at Syracuse</x:v>
      </x:c>
      <x:c r="D665" s="14" t="str">
        <x:v>en</x:v>
      </x:c>
      <x:c r="E665" s="14" t="str">
        <x:v>Latn</x:v>
      </x:c>
      <x:c r="F665" s="14" t="str">
        <x:v>preferred</x:v>
      </x:c>
      <x:c r="G665" s="20" t="b">
        <x:v>1</x:v>
      </x:c>
      <x:c r="H665" s="21"/>
      <x:c r="I665" s="21"/>
      <x:c r="J665" s="14" t="str">
        <x:v>src-pleiades-418729933</x:v>
      </x:c>
      <x:c r="K665" s="14" t="str">
        <x:v>reviewed</x:v>
      </x:c>
    </x:row>
    <x:row r="666" ht="26" customHeight="1">
      <x:c r="A666" s="14" t="str">
        <x:v>name-sanctuary-syracuse-apollo-sanctuary-grc-ancient</x:v>
      </x:c>
      <x:c r="B666" s="14" t="str">
        <x:v>sanctuary-syracuse-apollo-sanctuary</x:v>
      </x:c>
      <x:c r="C666" s="14" t="str">
        <x:v>Ἀπόλλωνος ἱερόν ἐν Ὀρτυγίᾳ</x:v>
      </x:c>
      <x:c r="D666" s="14" t="str">
        <x:v>grc</x:v>
      </x:c>
      <x:c r="E666" s="14" t="str">
        <x:v>Grek</x:v>
      </x:c>
      <x:c r="F666" s="14" t="str">
        <x:v>ancient</x:v>
      </x:c>
      <x:c r="G666" s="20" t="b">
        <x:v>0</x:v>
      </x:c>
      <x:c r="H666" s="21"/>
      <x:c r="I666" s="21"/>
      <x:c r="J666" s="14" t="str">
        <x:v>src-pleiades-418729933</x:v>
      </x:c>
      <x:c r="K666" s="14" t="str">
        <x:v>reviewed</x:v>
      </x:c>
    </x:row>
    <x:row r="667" ht="26" customHeight="1">
      <x:c r="A667" s="14" t="str">
        <x:v>name-sanctuary-tegea-athena-alea-sanctuary-el-preferred</x:v>
      </x:c>
      <x:c r="B667" s="14" t="str">
        <x:v>sanctuary-tegea-athena-alea-sanctuary</x:v>
      </x:c>
      <x:c r="C667" s="14" t="str">
        <x:v>Ιερό της Αθηνάς Αλέας στην Τεγέα</x:v>
      </x:c>
      <x:c r="D667" s="14" t="str">
        <x:v>el</x:v>
      </x:c>
      <x:c r="E667" s="14" t="str">
        <x:v>Grek</x:v>
      </x:c>
      <x:c r="F667" s="14" t="str">
        <x:v>preferred</x:v>
      </x:c>
      <x:c r="G667" s="20" t="b">
        <x:v>1</x:v>
      </x:c>
      <x:c r="H667" s="21"/>
      <x:c r="I667" s="21"/>
      <x:c r="J667" s="14" t="str">
        <x:v>src-pleiades-372843530</x:v>
      </x:c>
      <x:c r="K667" s="14" t="str">
        <x:v>reviewed</x:v>
      </x:c>
    </x:row>
    <x:row r="668" ht="26" customHeight="1">
      <x:c r="A668" s="14" t="str">
        <x:v>name-sanctuary-tegea-athena-alea-sanctuary-en-preferred</x:v>
      </x:c>
      <x:c r="B668" s="14" t="str">
        <x:v>sanctuary-tegea-athena-alea-sanctuary</x:v>
      </x:c>
      <x:c r="C668" s="14" t="str">
        <x:v>Sanctuary of Athena Alea at Tegea</x:v>
      </x:c>
      <x:c r="D668" s="14" t="str">
        <x:v>en</x:v>
      </x:c>
      <x:c r="E668" s="14" t="str">
        <x:v>Latn</x:v>
      </x:c>
      <x:c r="F668" s="14" t="str">
        <x:v>preferred</x:v>
      </x:c>
      <x:c r="G668" s="20" t="b">
        <x:v>1</x:v>
      </x:c>
      <x:c r="H668" s="21"/>
      <x:c r="I668" s="21"/>
      <x:c r="J668" s="14" t="str">
        <x:v>src-pleiades-372843530</x:v>
      </x:c>
      <x:c r="K668" s="14" t="str">
        <x:v>reviewed</x:v>
      </x:c>
    </x:row>
    <x:row r="669" ht="26" customHeight="1">
      <x:c r="A669" s="14" t="str">
        <x:v>name-sanctuary-tegea-athena-alea-sanctuary-grc-ancient</x:v>
      </x:c>
      <x:c r="B669" s="14" t="str">
        <x:v>sanctuary-tegea-athena-alea-sanctuary</x:v>
      </x:c>
      <x:c r="C669" s="14" t="str">
        <x:v>Ἀθηνᾶς Ἀλέας ἱερόν</x:v>
      </x:c>
      <x:c r="D669" s="14" t="str">
        <x:v>grc</x:v>
      </x:c>
      <x:c r="E669" s="14" t="str">
        <x:v>Grek</x:v>
      </x:c>
      <x:c r="F669" s="14" t="str">
        <x:v>ancient</x:v>
      </x:c>
      <x:c r="G669" s="20" t="b">
        <x:v>0</x:v>
      </x:c>
      <x:c r="H669" s="21"/>
      <x:c r="I669" s="21"/>
      <x:c r="J669" s="14" t="str">
        <x:v>src-pleiades-372843530</x:v>
      </x:c>
      <x:c r="K669" s="14" t="str">
        <x:v>reviewed</x:v>
      </x:c>
    </x:row>
    <x:row r="670" ht="26" customHeight="1">
      <x:c r="A670" s="14" t="str">
        <x:v>name-sanctuary-thermon-apollo-sanctuary-el-preferred</x:v>
      </x:c>
      <x:c r="B670" s="14" t="str">
        <x:v>sanctuary-thermon-apollo-sanctuary</x:v>
      </x:c>
      <x:c r="C670" s="14" t="str">
        <x:v>Ιερό του Απόλλωνα στο Θέρμο</x:v>
      </x:c>
      <x:c r="D670" s="14" t="str">
        <x:v>el</x:v>
      </x:c>
      <x:c r="E670" s="14" t="str">
        <x:v>Grek</x:v>
      </x:c>
      <x:c r="F670" s="14" t="str">
        <x:v>preferred</x:v>
      </x:c>
      <x:c r="G670" s="20" t="b">
        <x:v>1</x:v>
      </x:c>
      <x:c r="H670" s="21"/>
      <x:c r="I670" s="21"/>
      <x:c r="J670" s="14" t="str">
        <x:v>src-pleiades-728329645</x:v>
      </x:c>
      <x:c r="K670" s="14" t="str">
        <x:v>reviewed</x:v>
      </x:c>
    </x:row>
    <x:row r="671" ht="26" customHeight="1">
      <x:c r="A671" s="14" t="str">
        <x:v>name-sanctuary-thermon-apollo-sanctuary-en-preferred</x:v>
      </x:c>
      <x:c r="B671" s="14" t="str">
        <x:v>sanctuary-thermon-apollo-sanctuary</x:v>
      </x:c>
      <x:c r="C671" s="14" t="str">
        <x:v>Sanctuary of Apollo at Thermon</x:v>
      </x:c>
      <x:c r="D671" s="14" t="str">
        <x:v>en</x:v>
      </x:c>
      <x:c r="E671" s="14" t="str">
        <x:v>Latn</x:v>
      </x:c>
      <x:c r="F671" s="14" t="str">
        <x:v>preferred</x:v>
      </x:c>
      <x:c r="G671" s="20" t="b">
        <x:v>1</x:v>
      </x:c>
      <x:c r="H671" s="21"/>
      <x:c r="I671" s="21"/>
      <x:c r="J671" s="14" t="str">
        <x:v>src-pleiades-728329645</x:v>
      </x:c>
      <x:c r="K671" s="14" t="str">
        <x:v>reviewed</x:v>
      </x:c>
    </x:row>
    <x:row r="672" ht="26" customHeight="1">
      <x:c r="A672" s="14" t="str">
        <x:v>name-sanctuary-thermon-apollo-sanctuary-grc-ancient</x:v>
      </x:c>
      <x:c r="B672" s="14" t="str">
        <x:v>sanctuary-thermon-apollo-sanctuary</x:v>
      </x:c>
      <x:c r="C672" s="14" t="str">
        <x:v>Θέρμον</x:v>
      </x:c>
      <x:c r="D672" s="14" t="str">
        <x:v>grc</x:v>
      </x:c>
      <x:c r="E672" s="14" t="str">
        <x:v>Grek</x:v>
      </x:c>
      <x:c r="F672" s="14" t="str">
        <x:v>ancient</x:v>
      </x:c>
      <x:c r="G672" s="20" t="b">
        <x:v>0</x:v>
      </x:c>
      <x:c r="H672" s="21"/>
      <x:c r="I672" s="21"/>
      <x:c r="J672" s="14" t="str">
        <x:v>src-pleiades-728329645</x:v>
      </x:c>
      <x:c r="K672" s="14" t="str">
        <x:v>reviewed</x:v>
      </x:c>
    </x:row>
    <x:row r="673" ht="26" customHeight="1">
      <x:c r="A673" s="14" t="str">
        <x:v>name-sanctuary-tinos-poseidon-amphitrite-sanctuary-el-preferred</x:v>
      </x:c>
      <x:c r="B673" s="14" t="str">
        <x:v>sanctuary-tinos-poseidon-amphitrite-sanctuary</x:v>
      </x:c>
      <x:c r="C673" s="14" t="str">
        <x:v>Ιερό Ποσειδώνα και Αμφιτρίτης στην Τήνο</x:v>
      </x:c>
      <x:c r="D673" s="14" t="str">
        <x:v>el</x:v>
      </x:c>
      <x:c r="E673" s="14" t="str">
        <x:v>Grek</x:v>
      </x:c>
      <x:c r="F673" s="14" t="str">
        <x:v>preferred</x:v>
      </x:c>
      <x:c r="G673" s="20" t="b">
        <x:v>1</x:v>
      </x:c>
      <x:c r="H673" s="21"/>
      <x:c r="I673" s="21"/>
      <x:c r="J673" s="14" t="str">
        <x:v>src-pleiades-590006</x:v>
      </x:c>
      <x:c r="K673" s="14" t="str">
        <x:v>reviewed</x:v>
      </x:c>
    </x:row>
    <x:row r="674" ht="26" customHeight="1">
      <x:c r="A674" s="14" t="str">
        <x:v>name-sanctuary-tinos-poseidon-amphitrite-sanctuary-en-preferred</x:v>
      </x:c>
      <x:c r="B674" s="14" t="str">
        <x:v>sanctuary-tinos-poseidon-amphitrite-sanctuary</x:v>
      </x:c>
      <x:c r="C674" s="14" t="str">
        <x:v>Sanctuary of Poseidon and Amphitrite on Tinos</x:v>
      </x:c>
      <x:c r="D674" s="14" t="str">
        <x:v>en</x:v>
      </x:c>
      <x:c r="E674" s="14" t="str">
        <x:v>Latn</x:v>
      </x:c>
      <x:c r="F674" s="14" t="str">
        <x:v>preferred</x:v>
      </x:c>
      <x:c r="G674" s="20" t="b">
        <x:v>1</x:v>
      </x:c>
      <x:c r="H674" s="21"/>
      <x:c r="I674" s="21"/>
      <x:c r="J674" s="14" t="str">
        <x:v>src-pleiades-590006</x:v>
      </x:c>
      <x:c r="K674" s="14" t="str">
        <x:v>reviewed</x:v>
      </x:c>
    </x:row>
    <x:row r="675" ht="26" customHeight="1">
      <x:c r="A675" s="14" t="str">
        <x:v>name-sanctuary-tinos-poseidon-amphitrite-sanctuary-grc-ancient</x:v>
      </x:c>
      <x:c r="B675" s="14" t="str">
        <x:v>sanctuary-tinos-poseidon-amphitrite-sanctuary</x:v>
      </x:c>
      <x:c r="C675" s="14" t="str">
        <x:v>Ποσειδῶνος καὶ Ἀμφιτρίτης ἱερόν</x:v>
      </x:c>
      <x:c r="D675" s="14" t="str">
        <x:v>grc</x:v>
      </x:c>
      <x:c r="E675" s="14" t="str">
        <x:v>Grek</x:v>
      </x:c>
      <x:c r="F675" s="14" t="str">
        <x:v>ancient</x:v>
      </x:c>
      <x:c r="G675" s="20" t="b">
        <x:v>0</x:v>
      </x:c>
      <x:c r="H675" s="21"/>
      <x:c r="I675" s="21"/>
      <x:c r="J675" s="14" t="str">
        <x:v>src-pleiades-590006</x:v>
      </x:c>
      <x:c r="K675" s="14" t="str">
        <x:v>reviewed</x:v>
      </x:c>
    </x:row>
  </x:sheetData>
  <x:mergeCells>
    <x:mergeCell ref="A1:K1"/>
    <x:mergeCell ref="A2:K2"/>
  </x:mergeCells>
  <x:pageMargins left="0.7" right="0.7" top="0.75" bottom="0.75" header="0.3" footer="0.3"/>
  <x:tableParts count="1">
    <x:tablePart xmlns:r="http://schemas.openxmlformats.org/officeDocument/2006/relationships" r:id="R9c66a3bd33a5490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36" hidden="0" customWidth="1"/>
    <x:col min="3" max="3" width="13" hidden="0" customWidth="1"/>
    <x:col min="4" max="4" width="13" hidden="0" customWidth="1"/>
    <x:col min="5" max="5" width="18" hidden="0" customWidth="1"/>
    <x:col min="6" max="6" width="3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5" hidden="0" customWidth="1"/>
    <x:col min="17" max="17" width="45" hidden="0" customWidth="1"/>
    <x:col min="18" max="18" width="24" hidden="0" customWidth="1"/>
    <x:col min="19" max="19" width="18" hidden="0" customWidth="1"/>
  </x:cols>
  <x:sheetData>
    <x:row r="1" ht="34" customHeight="1">
      <x:c r="A1" s="3" t="str">
        <x:v>Places / Χωρικοί ισχυρισμοί</x:v>
      </x:c>
      <x:c r="B1" s="3"/>
      <x:c r="C1" s="3"/>
      <x:c r="D1" s="3"/>
      <x:c r="E1" s="3"/>
      <x:c r="F1" s="3"/>
      <x:c r="G1" s="3"/>
      <x:c r="H1" s="3"/>
      <x:c r="I1" s="3"/>
      <x:c r="J1" s="3"/>
      <x:c r="K1" s="3"/>
      <x:c r="L1" s="3"/>
      <x:c r="M1" s="3"/>
      <x:c r="N1" s="3"/>
      <x:c r="O1" s="3"/>
      <x:c r="P1" s="3"/>
      <x:c r="Q1" s="3"/>
      <x:c r="R1" s="3"/>
      <x:c r="S1" s="3"/>
    </x:row>
    <x:row r="2" ht="28" customHeight="1">
      <x:c r="A2" s="8" t="str">
        <x:v>WGS 84 points. Proxy and representative-centre roles are explicit and must not be read as monument footprints or territories.</x:v>
      </x:c>
      <x:c r="B2" s="8"/>
      <x:c r="C2" s="8"/>
      <x:c r="D2" s="8"/>
      <x:c r="E2" s="8"/>
      <x:c r="F2" s="8"/>
      <x:c r="G2" s="8"/>
      <x:c r="H2" s="8"/>
      <x:c r="I2" s="8"/>
      <x:c r="J2" s="8"/>
      <x:c r="K2" s="8"/>
      <x:c r="L2" s="8"/>
      <x:c r="M2" s="8"/>
      <x:c r="N2" s="8"/>
      <x:c r="O2" s="8"/>
      <x:c r="P2" s="8"/>
      <x:c r="Q2" s="8"/>
      <x:c r="R2" s="8"/>
      <x:c r="S2" s="8"/>
    </x:row>
    <x:row r="4" ht="30" customHeight="1">
      <x:c r="A4" s="13" t="str">
        <x:v>place_id</x:v>
      </x:c>
      <x:c r="B4" s="13" t="str">
        <x:v>entity_id</x:v>
      </x:c>
      <x:c r="C4" s="13" t="str">
        <x:v>latitude</x:v>
      </x:c>
      <x:c r="D4" s="13" t="str">
        <x:v>longitude</x:v>
      </x:c>
      <x:c r="E4" s="13" t="str">
        <x:v>geometry_wkt</x:v>
      </x:c>
      <x:c r="F4" s="13" t="str">
        <x:v>geometry_geojson</x:v>
      </x:c>
      <x:c r="G4" s="13" t="str">
        <x:v>geometry_role</x:v>
      </x:c>
      <x:c r="H4" s="13" t="str">
        <x:v>location_certainty</x:v>
      </x:c>
      <x:c r="I4" s="13" t="str">
        <x:v>location_precision</x:v>
      </x:c>
      <x:c r="J4" s="13" t="str">
        <x:v>modern_country_el</x:v>
      </x:c>
      <x:c r="K4" s="13" t="str">
        <x:v>modern_country_en</x:v>
      </x:c>
      <x:c r="L4" s="13" t="str">
        <x:v>country_iso3</x:v>
      </x:c>
      <x:c r="M4" s="13" t="str">
        <x:v>country_iso2</x:v>
      </x:c>
      <x:c r="N4" s="13" t="str">
        <x:v>modern_locality</x:v>
      </x:c>
      <x:c r="O4" s="13" t="str">
        <x:v>coordinate_source_text</x:v>
      </x:c>
      <x:c r="P4" s="13" t="str">
        <x:v>spatial_note_el</x:v>
      </x:c>
      <x:c r="Q4" s="13" t="str">
        <x:v>spatial_note_en</x:v>
      </x:c>
      <x:c r="R4" s="13" t="str">
        <x:v>source_id</x:v>
      </x:c>
      <x:c r="S4" s="13" t="str">
        <x:v>review_state</x:v>
      </x:c>
    </x:row>
    <x:row r="5" ht="40" customHeight="1">
      <x:c r="A5" s="14" t="str">
        <x:v>place-city-aegina-city</x:v>
      </x:c>
      <x:c r="B5" s="14" t="str">
        <x:v>city-aegina-city</x:v>
      </x:c>
      <x:c r="C5" s="22" t="n">
        <x:v>37.750149</x:v>
      </x:c>
      <x:c r="D5" s="22" t="n">
        <x:v>23.423668</x:v>
      </x:c>
      <x:c r="E5" s="16" t="str">
        <x:v>POINT (23.423668 37.750149)</x:v>
      </x:c>
      <x:c r="F5" s="16" t="str">
        <x:v>{"coordinates":[23.423668,37.750149],"type":"Point"}</x:v>
      </x:c>
      <x:c r="G5" s="14" t="str">
        <x:v>site</x:v>
      </x:c>
      <x:c r="H5" s="14" t="str">
        <x:v>high</x:v>
      </x:c>
      <x:c r="I5" s="14" t="str">
        <x:v>exact</x:v>
      </x:c>
      <x:c r="J5" s="14" t="str">
        <x:v>Ελλάδα</x:v>
      </x:c>
      <x:c r="K5" s="14" t="str">
        <x:v>Greece</x:v>
      </x:c>
      <x:c r="L5" s="14" t="str">
        <x:v>GRC</x:v>
      </x:c>
      <x:c r="M5" s="14" t="str">
        <x:v>GR</x:v>
      </x:c>
      <x:c r="N5" s="14" t="str">
        <x:v>Αίγινα</x:v>
      </x:c>
      <x:c r="O5" s="14" t="str">
        <x:v>Pleiades representative point</x:v>
      </x:c>
      <x:c r="P5" s="16"/>
      <x:c r="Q5" s="16"/>
      <x:c r="R5" s="14" t="str">
        <x:v>src-pleiades-579853</x:v>
      </x:c>
      <x:c r="S5" s="14" t="str">
        <x:v>reviewed</x:v>
      </x:c>
    </x:row>
    <x:row r="6" ht="40" customHeight="1">
      <x:c r="A6" s="14" t="str">
        <x:v>place-city-aigai-macedonia</x:v>
      </x:c>
      <x:c r="B6" s="14" t="str">
        <x:v>city-aigai-macedonia</x:v>
      </x:c>
      <x:c r="C6" s="22" t="n">
        <x:v>40.480092</x:v>
      </x:c>
      <x:c r="D6" s="22" t="n">
        <x:v>22.321872</x:v>
      </x:c>
      <x:c r="E6" s="16" t="str">
        <x:v>POINT (22.321872 40.480092)</x:v>
      </x:c>
      <x:c r="F6" s="16" t="str">
        <x:v>{"coordinates":[22.321872,40.480092],"type":"Point"}</x:v>
      </x:c>
      <x:c r="G6" s="14" t="str">
        <x:v>site</x:v>
      </x:c>
      <x:c r="H6" s="14" t="str">
        <x:v>high</x:v>
      </x:c>
      <x:c r="I6" s="14" t="str">
        <x:v>exact</x:v>
      </x:c>
      <x:c r="J6" s="14" t="str">
        <x:v>Ελλάδα</x:v>
      </x:c>
      <x:c r="K6" s="14" t="str">
        <x:v>Greece</x:v>
      </x:c>
      <x:c r="L6" s="14" t="str">
        <x:v>GRC</x:v>
      </x:c>
      <x:c r="M6" s="14" t="str">
        <x:v>GR</x:v>
      </x:c>
      <x:c r="N6" s="14" t="str">
        <x:v>Βεργίνα</x:v>
      </x:c>
      <x:c r="O6" s="14" t="str">
        <x:v>Pleiades representative point</x:v>
      </x:c>
      <x:c r="P6" s="16"/>
      <x:c r="Q6" s="16"/>
      <x:c r="R6" s="14" t="str">
        <x:v>src-pleiades-491512</x:v>
      </x:c>
      <x:c r="S6" s="14" t="str">
        <x:v>reviewed</x:v>
      </x:c>
    </x:row>
    <x:row r="7" ht="40" customHeight="1">
      <x:c r="A7" s="14" t="str">
        <x:v>place-city-alexandria-egypt</x:v>
      </x:c>
      <x:c r="B7" s="14" t="str">
        <x:v>city-alexandria-egypt</x:v>
      </x:c>
      <x:c r="C7" s="22" t="n">
        <x:v>31.201435</x:v>
      </x:c>
      <x:c r="D7" s="22" t="n">
        <x:v>29.909773</x:v>
      </x:c>
      <x:c r="E7" s="16" t="str">
        <x:v>POINT (29.909773 31.201435)</x:v>
      </x:c>
      <x:c r="F7" s="16" t="str">
        <x:v>{"coordinates":[29.909773,31.201435],"type":"Point"}</x:v>
      </x:c>
      <x:c r="G7" s="14" t="str">
        <x:v>site</x:v>
      </x:c>
      <x:c r="H7" s="14" t="str">
        <x:v>high</x:v>
      </x:c>
      <x:c r="I7" s="14" t="str">
        <x:v>exact</x:v>
      </x:c>
      <x:c r="J7" s="14" t="str">
        <x:v>Αίγυπτος</x:v>
      </x:c>
      <x:c r="K7" s="14" t="str">
        <x:v>Egypt</x:v>
      </x:c>
      <x:c r="L7" s="14" t="str">
        <x:v>EGY</x:v>
      </x:c>
      <x:c r="M7" s="14" t="str">
        <x:v>EG</x:v>
      </x:c>
      <x:c r="N7" s="14" t="str">
        <x:v>Alexandria</x:v>
      </x:c>
      <x:c r="O7" s="14" t="str">
        <x:v>Pleiades representative point</x:v>
      </x:c>
      <x:c r="P7" s="16"/>
      <x:c r="Q7" s="16"/>
      <x:c r="R7" s="14" t="str">
        <x:v>src-pleiades-727070</x:v>
      </x:c>
      <x:c r="S7" s="14" t="str">
        <x:v>reviewed</x:v>
      </x:c>
    </x:row>
    <x:row r="8" ht="40" customHeight="1">
      <x:c r="A8" s="14" t="str">
        <x:v>place-city-antioch-orontes</x:v>
      </x:c>
      <x:c r="B8" s="14" t="str">
        <x:v>city-antioch-orontes</x:v>
      </x:c>
      <x:c r="C8" s="22" t="n">
        <x:v>36.222551</x:v>
      </x:c>
      <x:c r="D8" s="22" t="n">
        <x:v>36.183214</x:v>
      </x:c>
      <x:c r="E8" s="16" t="str">
        <x:v>POINT (36.183214 36.222551)</x:v>
      </x:c>
      <x:c r="F8" s="16" t="str">
        <x:v>{"coordinates":[36.183214,36.222551],"type":"Point"}</x:v>
      </x:c>
      <x:c r="G8" s="14" t="str">
        <x:v>site</x:v>
      </x:c>
      <x:c r="H8" s="14" t="str">
        <x:v>high</x:v>
      </x:c>
      <x:c r="I8" s="14" t="str">
        <x:v>exact</x:v>
      </x:c>
      <x:c r="J8" s="14" t="str">
        <x:v>Τουρκία</x:v>
      </x:c>
      <x:c r="K8" s="14" t="str">
        <x:v>Turkey</x:v>
      </x:c>
      <x:c r="L8" s="14" t="str">
        <x:v>TUR</x:v>
      </x:c>
      <x:c r="M8" s="14" t="str">
        <x:v>TR</x:v>
      </x:c>
      <x:c r="N8" s="14" t="str">
        <x:v>Antakya, Hatay</x:v>
      </x:c>
      <x:c r="O8" s="14" t="str">
        <x:v>Pleiades representative point</x:v>
      </x:c>
      <x:c r="P8" s="16"/>
      <x:c r="Q8" s="16"/>
      <x:c r="R8" s="14" t="str">
        <x:v>src-pleiades-658381</x:v>
      </x:c>
      <x:c r="S8" s="14" t="str">
        <x:v>reviewed</x:v>
      </x:c>
    </x:row>
    <x:row r="9" ht="40" customHeight="1">
      <x:c r="A9" s="14" t="str">
        <x:v>place-city-argos</x:v>
      </x:c>
      <x:c r="B9" s="14" t="str">
        <x:v>city-argos</x:v>
      </x:c>
      <x:c r="C9" s="22" t="n">
        <x:v>37.631047</x:v>
      </x:c>
      <x:c r="D9" s="22" t="n">
        <x:v>22.72038</x:v>
      </x:c>
      <x:c r="E9" s="16" t="str">
        <x:v>POINT (22.72038 37.631047)</x:v>
      </x:c>
      <x:c r="F9" s="16" t="str">
        <x:v>{"coordinates":[22.72038,37.631047],"type":"Point"}</x:v>
      </x:c>
      <x:c r="G9" s="14" t="str">
        <x:v>site</x:v>
      </x:c>
      <x:c r="H9" s="14" t="str">
        <x:v>high</x:v>
      </x:c>
      <x:c r="I9" s="14" t="str">
        <x:v>exact</x:v>
      </x:c>
      <x:c r="J9" s="14" t="str">
        <x:v>Ελλάδα</x:v>
      </x:c>
      <x:c r="K9" s="14" t="str">
        <x:v>Greece</x:v>
      </x:c>
      <x:c r="L9" s="14" t="str">
        <x:v>GRC</x:v>
      </x:c>
      <x:c r="M9" s="14" t="str">
        <x:v>GR</x:v>
      </x:c>
      <x:c r="N9" s="14" t="str">
        <x:v>Άργος</x:v>
      </x:c>
      <x:c r="O9" s="14" t="str">
        <x:v>Pleiades representative point</x:v>
      </x:c>
      <x:c r="P9" s="16"/>
      <x:c r="Q9" s="16"/>
      <x:c r="R9" s="14" t="str">
        <x:v>src-pleiades-570106</x:v>
      </x:c>
      <x:c r="S9" s="14" t="str">
        <x:v>reviewed</x:v>
      </x:c>
    </x:row>
    <x:row r="10" ht="40" customHeight="1">
      <x:c r="A10" s="14" t="str">
        <x:v>place-city-athens-attica</x:v>
      </x:c>
      <x:c r="B10" s="14" t="str">
        <x:v>city-athens-attica</x:v>
      </x:c>
      <x:c r="C10" s="22" t="n">
        <x:v>37.971637</x:v>
      </x:c>
      <x:c r="D10" s="22" t="n">
        <x:v>23.723914</x:v>
      </x:c>
      <x:c r="E10" s="16" t="str">
        <x:v>POINT (23.723914 37.971637)</x:v>
      </x:c>
      <x:c r="F10" s="16" t="str">
        <x:v>{"coordinates":[23.723914,37.971637],"type":"Point"}</x:v>
      </x:c>
      <x:c r="G10" s="14" t="str">
        <x:v>site</x:v>
      </x:c>
      <x:c r="H10" s="14" t="str">
        <x:v>high</x:v>
      </x:c>
      <x:c r="I10" s="14" t="str">
        <x:v>approximate</x:v>
      </x:c>
      <x:c r="J10" s="14" t="str">
        <x:v>Ελλάδα</x:v>
      </x:c>
      <x:c r="K10" s="14" t="str">
        <x:v>Greece</x:v>
      </x:c>
      <x:c r="L10" s="14" t="str">
        <x:v>GRC</x:v>
      </x:c>
      <x:c r="M10" s="14" t="str">
        <x:v>GR</x:v>
      </x:c>
      <x:c r="N10" s="14" t="str">
        <x:v>Αθήνα</x:v>
      </x:c>
      <x:c r="O10" s="14" t="str">
        <x:v>Pleiades representative point</x:v>
      </x:c>
      <x:c r="P10" s="16"/>
      <x:c r="Q10" s="16"/>
      <x:c r="R10" s="14" t="str">
        <x:v>src-pleiades-579885</x:v>
      </x:c>
      <x:c r="S10" s="14" t="str">
        <x:v>reviewed</x:v>
      </x:c>
    </x:row>
    <x:row r="11" ht="40" customHeight="1">
      <x:c r="A11" s="14" t="str">
        <x:v>place-city-chalcis-euboea</x:v>
      </x:c>
      <x:c r="B11" s="14" t="str">
        <x:v>city-chalcis-euboea</x:v>
      </x:c>
      <x:c r="C11" s="22" t="n">
        <x:v>38.457139</x:v>
      </x:c>
      <x:c r="D11" s="22" t="n">
        <x:v>23.621937</x:v>
      </x:c>
      <x:c r="E11" s="16" t="str">
        <x:v>POINT (23.621937 38.457139)</x:v>
      </x:c>
      <x:c r="F11" s="16" t="str">
        <x:v>{"coordinates":[23.621937,38.457139],"type":"Point"}</x:v>
      </x:c>
      <x:c r="G11" s="14" t="str">
        <x:v>site</x:v>
      </x:c>
      <x:c r="H11" s="14" t="str">
        <x:v>high</x:v>
      </x:c>
      <x:c r="I11" s="14" t="str">
        <x:v>exact</x:v>
      </x:c>
      <x:c r="J11" s="14" t="str">
        <x:v>Ελλάδα</x:v>
      </x:c>
      <x:c r="K11" s="14" t="str">
        <x:v>Greece</x:v>
      </x:c>
      <x:c r="L11" s="14" t="str">
        <x:v>GRC</x:v>
      </x:c>
      <x:c r="M11" s="14" t="str">
        <x:v>GR</x:v>
      </x:c>
      <x:c r="N11" s="14" t="str">
        <x:v>Χαλκίδα</x:v>
      </x:c>
      <x:c r="O11" s="14" t="str">
        <x:v>Pleiades representative point</x:v>
      </x:c>
      <x:c r="P11" s="16"/>
      <x:c r="Q11" s="16"/>
      <x:c r="R11" s="14" t="str">
        <x:v>src-pleiades-540703</x:v>
      </x:c>
      <x:c r="S11" s="14" t="str">
        <x:v>reviewed</x:v>
      </x:c>
    </x:row>
    <x:row r="12" ht="40" customHeight="1">
      <x:c r="A12" s="14" t="str">
        <x:v>place-city-chios-city</x:v>
      </x:c>
      <x:c r="B12" s="14" t="str">
        <x:v>city-chios-city</x:v>
      </x:c>
      <x:c r="C12" s="22" t="n">
        <x:v>38.372239</x:v>
      </x:c>
      <x:c r="D12" s="22" t="n">
        <x:v>26.132979</x:v>
      </x:c>
      <x:c r="E12" s="16" t="str">
        <x:v>POINT (26.132979 38.372239)</x:v>
      </x:c>
      <x:c r="F12" s="16" t="str">
        <x:v>{"coordinates":[26.132979,38.372239],"type":"Point"}</x:v>
      </x:c>
      <x:c r="G12" s="14" t="str">
        <x:v>site</x:v>
      </x:c>
      <x:c r="H12" s="14" t="str">
        <x:v>high</x:v>
      </x:c>
      <x:c r="I12" s="14" t="str">
        <x:v>exact</x:v>
      </x:c>
      <x:c r="J12" s="14" t="str">
        <x:v>Ελλάδα</x:v>
      </x:c>
      <x:c r="K12" s="14" t="str">
        <x:v>Greece</x:v>
      </x:c>
      <x:c r="L12" s="14" t="str">
        <x:v>GRC</x:v>
      </x:c>
      <x:c r="M12" s="14" t="str">
        <x:v>GR</x:v>
      </x:c>
      <x:c r="N12" s="14" t="str">
        <x:v>Χίος</x:v>
      </x:c>
      <x:c r="O12" s="14" t="str">
        <x:v>Pleiades representative point</x:v>
      </x:c>
      <x:c r="P12" s="16"/>
      <x:c r="Q12" s="16"/>
      <x:c r="R12" s="14" t="str">
        <x:v>src-pleiades-550496</x:v>
      </x:c>
      <x:c r="S12" s="14" t="str">
        <x:v>reviewed</x:v>
      </x:c>
    </x:row>
    <x:row r="13" ht="40" customHeight="1">
      <x:c r="A13" s="14" t="str">
        <x:v>place-city-corinth</x:v>
      </x:c>
      <x:c r="B13" s="14" t="str">
        <x:v>city-corinth</x:v>
      </x:c>
      <x:c r="C13" s="22" t="n">
        <x:v>37.905642</x:v>
      </x:c>
      <x:c r="D13" s="22" t="n">
        <x:v>22.878614</x:v>
      </x:c>
      <x:c r="E13" s="16" t="str">
        <x:v>POINT (22.878614 37.905642)</x:v>
      </x:c>
      <x:c r="F13" s="16" t="str">
        <x:v>{"coordinates":[22.878614,37.905642],"type":"Point"}</x:v>
      </x:c>
      <x:c r="G13" s="14" t="str">
        <x:v>site</x:v>
      </x:c>
      <x:c r="H13" s="14" t="str">
        <x:v>high</x:v>
      </x:c>
      <x:c r="I13" s="14" t="str">
        <x:v>exact</x:v>
      </x:c>
      <x:c r="J13" s="14" t="str">
        <x:v>Ελλάδα</x:v>
      </x:c>
      <x:c r="K13" s="14" t="str">
        <x:v>Greece</x:v>
      </x:c>
      <x:c r="L13" s="14" t="str">
        <x:v>GRC</x:v>
      </x:c>
      <x:c r="M13" s="14" t="str">
        <x:v>GR</x:v>
      </x:c>
      <x:c r="N13" s="14" t="str">
        <x:v>Αρχαία Κόρινθος</x:v>
      </x:c>
      <x:c r="O13" s="14" t="str">
        <x:v>Pleiades representative point</x:v>
      </x:c>
      <x:c r="P13" s="16"/>
      <x:c r="Q13" s="16"/>
      <x:c r="R13" s="14" t="str">
        <x:v>src-pleiades-570182</x:v>
      </x:c>
      <x:c r="S13" s="14" t="str">
        <x:v>reviewed</x:v>
      </x:c>
    </x:row>
    <x:row r="14" ht="40" customHeight="1">
      <x:c r="A14" s="14" t="str">
        <x:v>place-city-demetrias</x:v>
      </x:c>
      <x:c r="B14" s="14" t="str">
        <x:v>city-demetrias</x:v>
      </x:c>
      <x:c r="C14" s="22" t="n">
        <x:v>39.343481</x:v>
      </x:c>
      <x:c r="D14" s="22" t="n">
        <x:v>22.924029</x:v>
      </x:c>
      <x:c r="E14" s="16" t="str">
        <x:v>POINT (22.924029 39.343481)</x:v>
      </x:c>
      <x:c r="F14" s="16" t="str">
        <x:v>{"coordinates":[22.924029,39.343481],"type":"Point"}</x:v>
      </x:c>
      <x:c r="G14" s="14" t="str">
        <x:v>site</x:v>
      </x:c>
      <x:c r="H14" s="14" t="str">
        <x:v>high</x:v>
      </x:c>
      <x:c r="I14" s="14" t="str">
        <x:v>exact</x:v>
      </x:c>
      <x:c r="J14" s="14" t="str">
        <x:v>Ελλάδα</x:v>
      </x:c>
      <x:c r="K14" s="14" t="str">
        <x:v>Greece</x:v>
      </x:c>
      <x:c r="L14" s="14" t="str">
        <x:v>GRC</x:v>
      </x:c>
      <x:c r="M14" s="14" t="str">
        <x:v>GR</x:v>
      </x:c>
      <x:c r="N14" s="14" t="str">
        <x:v>Νέα Αγχίαλος / Βόλος</x:v>
      </x:c>
      <x:c r="O14" s="14" t="str">
        <x:v>Pleiades representative point</x:v>
      </x:c>
      <x:c r="P14" s="16"/>
      <x:c r="Q14" s="16"/>
      <x:c r="R14" s="14" t="str">
        <x:v>src-pleiades-540730</x:v>
      </x:c>
      <x:c r="S14" s="14" t="str">
        <x:v>reviewed</x:v>
      </x:c>
    </x:row>
    <x:row r="15" ht="40" customHeight="1">
      <x:c r="A15" s="14" t="str">
        <x:v>place-city-dion</x:v>
      </x:c>
      <x:c r="B15" s="14" t="str">
        <x:v>city-dion</x:v>
      </x:c>
      <x:c r="C15" s="22" t="n">
        <x:v>40.176388</x:v>
      </x:c>
      <x:c r="D15" s="22" t="n">
        <x:v>22.491437</x:v>
      </x:c>
      <x:c r="E15" s="16" t="str">
        <x:v>POINT (22.491437 40.176388)</x:v>
      </x:c>
      <x:c r="F15" s="16" t="str">
        <x:v>{"coordinates":[22.491437,40.176388],"type":"Point"}</x:v>
      </x:c>
      <x:c r="G15" s="14" t="str">
        <x:v>site</x:v>
      </x:c>
      <x:c r="H15" s="14" t="str">
        <x:v>high</x:v>
      </x:c>
      <x:c r="I15" s="14" t="str">
        <x:v>exact</x:v>
      </x:c>
      <x:c r="J15" s="14" t="str">
        <x:v>Ελλάδα</x:v>
      </x:c>
      <x:c r="K15" s="14" t="str">
        <x:v>Greece</x:v>
      </x:c>
      <x:c r="L15" s="14" t="str">
        <x:v>GRC</x:v>
      </x:c>
      <x:c r="M15" s="14" t="str">
        <x:v>GR</x:v>
      </x:c>
      <x:c r="N15" s="14" t="str">
        <x:v>Δίον Πιερίας</x:v>
      </x:c>
      <x:c r="O15" s="14" t="str">
        <x:v>Pleiades representative point</x:v>
      </x:c>
      <x:c r="P15" s="16"/>
      <x:c r="Q15" s="16"/>
      <x:c r="R15" s="14" t="str">
        <x:v>src-pleiades-491572</x:v>
      </x:c>
      <x:c r="S15" s="14" t="str">
        <x:v>reviewed</x:v>
      </x:c>
    </x:row>
    <x:row r="16" ht="40" customHeight="1">
      <x:c r="A16" s="14" t="str">
        <x:v>place-city-epidaurus-city</x:v>
      </x:c>
      <x:c r="B16" s="14" t="str">
        <x:v>city-epidaurus-city</x:v>
      </x:c>
      <x:c r="C16" s="22" t="n">
        <x:v>37.633463</x:v>
      </x:c>
      <x:c r="D16" s="22" t="n">
        <x:v>23.160156</x:v>
      </x:c>
      <x:c r="E16" s="16" t="str">
        <x:v>POINT (23.160156 37.633463)</x:v>
      </x:c>
      <x:c r="F16" s="16" t="str">
        <x:v>{"coordinates":[23.160156,37.633463],"type":"Point"}</x:v>
      </x:c>
      <x:c r="G16" s="14" t="str">
        <x:v>site</x:v>
      </x:c>
      <x:c r="H16" s="14" t="str">
        <x:v>high</x:v>
      </x:c>
      <x:c r="I16" s="14" t="str">
        <x:v>exact</x:v>
      </x:c>
      <x:c r="J16" s="14" t="str">
        <x:v>Ελλάδα</x:v>
      </x:c>
      <x:c r="K16" s="14" t="str">
        <x:v>Greece</x:v>
      </x:c>
      <x:c r="L16" s="14" t="str">
        <x:v>GRC</x:v>
      </x:c>
      <x:c r="M16" s="14" t="str">
        <x:v>GR</x:v>
      </x:c>
      <x:c r="N16" s="14" t="str">
        <x:v>Παλαιά Επίδαυρος</x:v>
      </x:c>
      <x:c r="O16" s="14" t="str">
        <x:v>Pleiades representative point</x:v>
      </x:c>
      <x:c r="P16" s="16"/>
      <x:c r="Q16" s="16"/>
      <x:c r="R16" s="14" t="str">
        <x:v>src-pleiades-570228</x:v>
      </x:c>
      <x:c r="S16" s="14" t="str">
        <x:v>reviewed</x:v>
      </x:c>
    </x:row>
    <x:row r="17" ht="40" customHeight="1">
      <x:c r="A17" s="14" t="str">
        <x:v>place-city-eretria-euboea</x:v>
      </x:c>
      <x:c r="B17" s="14" t="str">
        <x:v>city-eretria-euboea</x:v>
      </x:c>
      <x:c r="C17" s="22" t="n">
        <x:v>38.399917</x:v>
      </x:c>
      <x:c r="D17" s="22" t="n">
        <x:v>23.794721</x:v>
      </x:c>
      <x:c r="E17" s="16" t="str">
        <x:v>POINT (23.794721 38.399917)</x:v>
      </x:c>
      <x:c r="F17" s="16" t="str">
        <x:v>{"coordinates":[23.794721,38.399917],"type":"Point"}</x:v>
      </x:c>
      <x:c r="G17" s="14" t="str">
        <x:v>site</x:v>
      </x:c>
      <x:c r="H17" s="14" t="str">
        <x:v>high</x:v>
      </x:c>
      <x:c r="I17" s="14" t="str">
        <x:v>exact</x:v>
      </x:c>
      <x:c r="J17" s="14" t="str">
        <x:v>Ελλάδα</x:v>
      </x:c>
      <x:c r="K17" s="14" t="str">
        <x:v>Greece</x:v>
      </x:c>
      <x:c r="L17" s="14" t="str">
        <x:v>GRC</x:v>
      </x:c>
      <x:c r="M17" s="14" t="str">
        <x:v>GR</x:v>
      </x:c>
      <x:c r="N17" s="14" t="str">
        <x:v>Ερέτρια</x:v>
      </x:c>
      <x:c r="O17" s="14" t="str">
        <x:v>Pleiades representative point</x:v>
      </x:c>
      <x:c r="P17" s="16"/>
      <x:c r="Q17" s="16"/>
      <x:c r="R17" s="14" t="str">
        <x:v>src-pleiades-579925</x:v>
      </x:c>
      <x:c r="S17" s="14" t="str">
        <x:v>reviewed</x:v>
      </x:c>
    </x:row>
    <x:row r="18" ht="40" customHeight="1">
      <x:c r="A18" s="14" t="str">
        <x:v>place-city-gortyn</x:v>
      </x:c>
      <x:c r="B18" s="14" t="str">
        <x:v>city-gortyn</x:v>
      </x:c>
      <x:c r="C18" s="22" t="n">
        <x:v>35.062107</x:v>
      </x:c>
      <x:c r="D18" s="22" t="n">
        <x:v>24.946943</x:v>
      </x:c>
      <x:c r="E18" s="16" t="str">
        <x:v>POINT (24.946943 35.062107)</x:v>
      </x:c>
      <x:c r="F18" s="16" t="str">
        <x:v>{"coordinates":[24.946943,35.062107],"type":"Point"}</x:v>
      </x:c>
      <x:c r="G18" s="14" t="str">
        <x:v>site</x:v>
      </x:c>
      <x:c r="H18" s="14" t="str">
        <x:v>high</x:v>
      </x:c>
      <x:c r="I18" s="14" t="str">
        <x:v>exact</x:v>
      </x:c>
      <x:c r="J18" s="14" t="str">
        <x:v>Ελλάδα</x:v>
      </x:c>
      <x:c r="K18" s="14" t="str">
        <x:v>Greece</x:v>
      </x:c>
      <x:c r="L18" s="14" t="str">
        <x:v>GRC</x:v>
      </x:c>
      <x:c r="M18" s="14" t="str">
        <x:v>GR</x:v>
      </x:c>
      <x:c r="N18" s="14" t="str">
        <x:v>Γόρτυνα Ηρακλείου</x:v>
      </x:c>
      <x:c r="O18" s="14" t="str">
        <x:v>Pleiades representative point</x:v>
      </x:c>
      <x:c r="P18" s="16"/>
      <x:c r="Q18" s="16"/>
      <x:c r="R18" s="14" t="str">
        <x:v>src-pleiades-589796</x:v>
      </x:c>
      <x:c r="S18" s="14" t="str">
        <x:v>reviewed</x:v>
      </x:c>
    </x:row>
    <x:row r="19" ht="40" customHeight="1">
      <x:c r="A19" s="14" t="str">
        <x:v>place-city-knossos</x:v>
      </x:c>
      <x:c r="B19" s="14" t="str">
        <x:v>city-knossos</x:v>
      </x:c>
      <x:c r="C19" s="22" t="n">
        <x:v>35.297847</x:v>
      </x:c>
      <x:c r="D19" s="22" t="n">
        <x:v>25.163106</x:v>
      </x:c>
      <x:c r="E19" s="16" t="str">
        <x:v>POINT (25.163106 35.297847)</x:v>
      </x:c>
      <x:c r="F19" s="16" t="str">
        <x:v>{"coordinates":[25.163106,35.297847],"type":"Point"}</x:v>
      </x:c>
      <x:c r="G19" s="14" t="str">
        <x:v>site</x:v>
      </x:c>
      <x:c r="H19" s="14" t="str">
        <x:v>high</x:v>
      </x:c>
      <x:c r="I19" s="14" t="str">
        <x:v>exact</x:v>
      </x:c>
      <x:c r="J19" s="14" t="str">
        <x:v>Ελλάδα</x:v>
      </x:c>
      <x:c r="K19" s="14" t="str">
        <x:v>Greece</x:v>
      </x:c>
      <x:c r="L19" s="14" t="str">
        <x:v>GRC</x:v>
      </x:c>
      <x:c r="M19" s="14" t="str">
        <x:v>GR</x:v>
      </x:c>
      <x:c r="N19" s="14" t="str">
        <x:v>Κνωσός Ηρακλείου</x:v>
      </x:c>
      <x:c r="O19" s="14" t="str">
        <x:v>Pleiades representative point</x:v>
      </x:c>
      <x:c r="P19" s="16"/>
      <x:c r="Q19" s="16"/>
      <x:c r="R19" s="14" t="str">
        <x:v>src-pleiades-589872</x:v>
      </x:c>
      <x:c r="S19" s="14" t="str">
        <x:v>reviewed</x:v>
      </x:c>
    </x:row>
    <x:row r="20" ht="40" customHeight="1">
      <x:c r="A20" s="14" t="str">
        <x:v>place-city-kos-city</x:v>
      </x:c>
      <x:c r="B20" s="14" t="str">
        <x:v>city-kos-city</x:v>
      </x:c>
      <x:c r="C20" s="22" t="n">
        <x:v>36.893601</x:v>
      </x:c>
      <x:c r="D20" s="22" t="n">
        <x:v>27.289914</x:v>
      </x:c>
      <x:c r="E20" s="16" t="str">
        <x:v>POINT (27.289914 36.893601)</x:v>
      </x:c>
      <x:c r="F20" s="16" t="str">
        <x:v>{"coordinates":[27.289914,36.893601],"type":"Point"}</x:v>
      </x:c>
      <x:c r="G20" s="14" t="str">
        <x:v>site</x:v>
      </x:c>
      <x:c r="H20" s="14" t="str">
        <x:v>high</x:v>
      </x:c>
      <x:c r="I20" s="14" t="str">
        <x:v>exact</x:v>
      </x:c>
      <x:c r="J20" s="14" t="str">
        <x:v>Ελλάδα</x:v>
      </x:c>
      <x:c r="K20" s="14" t="str">
        <x:v>Greece</x:v>
      </x:c>
      <x:c r="L20" s="14" t="str">
        <x:v>GRC</x:v>
      </x:c>
      <x:c r="M20" s="14" t="str">
        <x:v>GR</x:v>
      </x:c>
      <x:c r="N20" s="14" t="str">
        <x:v>Κως</x:v>
      </x:c>
      <x:c r="O20" s="14" t="str">
        <x:v>Pleiades representative point</x:v>
      </x:c>
      <x:c r="P20" s="16"/>
      <x:c r="Q20" s="16"/>
      <x:c r="R20" s="14" t="str">
        <x:v>src-pleiades-599728</x:v>
      </x:c>
      <x:c r="S20" s="14" t="str">
        <x:v>reviewed</x:v>
      </x:c>
    </x:row>
    <x:row r="21" ht="40" customHeight="1">
      <x:c r="A21" s="14" t="str">
        <x:v>place-city-larissa-thessaly</x:v>
      </x:c>
      <x:c r="B21" s="14" t="str">
        <x:v>city-larissa-thessaly</x:v>
      </x:c>
      <x:c r="C21" s="22" t="n">
        <x:v>39.634851</x:v>
      </x:c>
      <x:c r="D21" s="22" t="n">
        <x:v>22.42097</x:v>
      </x:c>
      <x:c r="E21" s="16" t="str">
        <x:v>POINT (22.42097 39.634851)</x:v>
      </x:c>
      <x:c r="F21" s="16" t="str">
        <x:v>{"coordinates":[22.42097,39.634851],"type":"Point"}</x:v>
      </x:c>
      <x:c r="G21" s="14" t="str">
        <x:v>site</x:v>
      </x:c>
      <x:c r="H21" s="14" t="str">
        <x:v>high</x:v>
      </x:c>
      <x:c r="I21" s="14" t="str">
        <x:v>exact</x:v>
      </x:c>
      <x:c r="J21" s="14" t="str">
        <x:v>Ελλάδα</x:v>
      </x:c>
      <x:c r="K21" s="14" t="str">
        <x:v>Greece</x:v>
      </x:c>
      <x:c r="L21" s="14" t="str">
        <x:v>GRC</x:v>
      </x:c>
      <x:c r="M21" s="14" t="str">
        <x:v>GR</x:v>
      </x:c>
      <x:c r="N21" s="14" t="str">
        <x:v>Λάρισα</x:v>
      </x:c>
      <x:c r="O21" s="14" t="str">
        <x:v>Pleiades representative point</x:v>
      </x:c>
      <x:c r="P21" s="16"/>
      <x:c r="Q21" s="16"/>
      <x:c r="R21" s="14" t="str">
        <x:v>src-pleiades-540905</x:v>
      </x:c>
      <x:c r="S21" s="14" t="str">
        <x:v>reviewed</x:v>
      </x:c>
    </x:row>
    <x:row r="22" ht="40" customHeight="1">
      <x:c r="A22" s="14" t="str">
        <x:v>place-city-lindos</x:v>
      </x:c>
      <x:c r="B22" s="14" t="str">
        <x:v>city-lindos</x:v>
      </x:c>
      <x:c r="C22" s="22" t="n">
        <x:v>36.091299</x:v>
      </x:c>
      <x:c r="D22" s="22" t="n">
        <x:v>28.088298</x:v>
      </x:c>
      <x:c r="E22" s="16" t="str">
        <x:v>POINT (28.088298 36.091299)</x:v>
      </x:c>
      <x:c r="F22" s="16" t="str">
        <x:v>{"coordinates":[28.088298,36.091299],"type":"Point"}</x:v>
      </x:c>
      <x:c r="G22" s="14" t="str">
        <x:v>site</x:v>
      </x:c>
      <x:c r="H22" s="14" t="str">
        <x:v>high</x:v>
      </x:c>
      <x:c r="I22" s="14" t="str">
        <x:v>exact</x:v>
      </x:c>
      <x:c r="J22" s="14" t="str">
        <x:v>Ελλάδα</x:v>
      </x:c>
      <x:c r="K22" s="14" t="str">
        <x:v>Greece</x:v>
      </x:c>
      <x:c r="L22" s="14" t="str">
        <x:v>GRC</x:v>
      </x:c>
      <x:c r="M22" s="14" t="str">
        <x:v>GR</x:v>
      </x:c>
      <x:c r="N22" s="14" t="str">
        <x:v>Λίνδος</x:v>
      </x:c>
      <x:c r="O22" s="14" t="str">
        <x:v>Pleiades representative point</x:v>
      </x:c>
      <x:c r="P22" s="16"/>
      <x:c r="Q22" s="16"/>
      <x:c r="R22" s="14" t="str">
        <x:v>src-pleiades-589913</x:v>
      </x:c>
      <x:c r="S22" s="14" t="str">
        <x:v>reviewed</x:v>
      </x:c>
    </x:row>
    <x:row r="23" ht="40" customHeight="1">
      <x:c r="A23" s="14" t="str">
        <x:v>place-city-mantinea</x:v>
      </x:c>
      <x:c r="B23" s="14" t="str">
        <x:v>city-mantinea</x:v>
      </x:c>
      <x:c r="C23" s="22" t="n">
        <x:v>37.617379</x:v>
      </x:c>
      <x:c r="D23" s="22" t="n">
        <x:v>22.392578</x:v>
      </x:c>
      <x:c r="E23" s="16" t="str">
        <x:v>POINT (22.392578 37.617379)</x:v>
      </x:c>
      <x:c r="F23" s="16" t="str">
        <x:v>{"coordinates":[22.392578,37.617379],"type":"Point"}</x:v>
      </x:c>
      <x:c r="G23" s="14" t="str">
        <x:v>site</x:v>
      </x:c>
      <x:c r="H23" s="14" t="str">
        <x:v>high</x:v>
      </x:c>
      <x:c r="I23" s="14" t="str">
        <x:v>exact</x:v>
      </x:c>
      <x:c r="J23" s="14" t="str">
        <x:v>Ελλάδα</x:v>
      </x:c>
      <x:c r="K23" s="14" t="str">
        <x:v>Greece</x:v>
      </x:c>
      <x:c r="L23" s="14" t="str">
        <x:v>GRC</x:v>
      </x:c>
      <x:c r="M23" s="14" t="str">
        <x:v>GR</x:v>
      </x:c>
      <x:c r="N23" s="14" t="str">
        <x:v>Μαντίνεια</x:v>
      </x:c>
      <x:c r="O23" s="14" t="str">
        <x:v>Pleiades representative point</x:v>
      </x:c>
      <x:c r="P23" s="16"/>
      <x:c r="Q23" s="16"/>
      <x:c r="R23" s="14" t="str">
        <x:v>src-pleiades-570459</x:v>
      </x:c>
      <x:c r="S23" s="14" t="str">
        <x:v>reviewed</x:v>
      </x:c>
    </x:row>
    <x:row r="24" ht="40" customHeight="1">
      <x:c r="A24" s="14" t="str">
        <x:v>place-city-megalopolis</x:v>
      </x:c>
      <x:c r="B24" s="14" t="str">
        <x:v>city-megalopolis</x:v>
      </x:c>
      <x:c r="C24" s="22" t="n">
        <x:v>37.414271</x:v>
      </x:c>
      <x:c r="D24" s="22" t="n">
        <x:v>22.126396</x:v>
      </x:c>
      <x:c r="E24" s="16" t="str">
        <x:v>POINT (22.126396 37.414271)</x:v>
      </x:c>
      <x:c r="F24" s="16" t="str">
        <x:v>{"coordinates":[22.126396,37.414271],"type":"Point"}</x:v>
      </x:c>
      <x:c r="G24" s="14" t="str">
        <x:v>site</x:v>
      </x:c>
      <x:c r="H24" s="14" t="str">
        <x:v>high</x:v>
      </x:c>
      <x:c r="I24" s="14" t="str">
        <x:v>exact</x:v>
      </x:c>
      <x:c r="J24" s="14" t="str">
        <x:v>Ελλάδα</x:v>
      </x:c>
      <x:c r="K24" s="14" t="str">
        <x:v>Greece</x:v>
      </x:c>
      <x:c r="L24" s="14" t="str">
        <x:v>GRC</x:v>
      </x:c>
      <x:c r="M24" s="14" t="str">
        <x:v>GR</x:v>
      </x:c>
      <x:c r="N24" s="14" t="str">
        <x:v>Μεγαλόπολη</x:v>
      </x:c>
      <x:c r="O24" s="14" t="str">
        <x:v>Pleiades representative point</x:v>
      </x:c>
      <x:c r="P24" s="16"/>
      <x:c r="Q24" s="16"/>
      <x:c r="R24" s="14" t="str">
        <x:v>src-pleiades-570467</x:v>
      </x:c>
      <x:c r="S24" s="14" t="str">
        <x:v>reviewed</x:v>
      </x:c>
    </x:row>
    <x:row r="25" ht="40" customHeight="1">
      <x:c r="A25" s="14" t="str">
        <x:v>place-city-megara</x:v>
      </x:c>
      <x:c r="B25" s="14" t="str">
        <x:v>city-megara</x:v>
      </x:c>
      <x:c r="C25" s="22" t="n">
        <x:v>37.985078</x:v>
      </x:c>
      <x:c r="D25" s="22" t="n">
        <x:v>23.340163</x:v>
      </x:c>
      <x:c r="E25" s="16" t="str">
        <x:v>POINT (23.340163 37.985078)</x:v>
      </x:c>
      <x:c r="F25" s="16" t="str">
        <x:v>{"coordinates":[23.340163,37.985078],"type":"Point"}</x:v>
      </x:c>
      <x:c r="G25" s="14" t="str">
        <x:v>site</x:v>
      </x:c>
      <x:c r="H25" s="14" t="str">
        <x:v>high</x:v>
      </x:c>
      <x:c r="I25" s="14" t="str">
        <x:v>exact</x:v>
      </x:c>
      <x:c r="J25" s="14" t="str">
        <x:v>Ελλάδα</x:v>
      </x:c>
      <x:c r="K25" s="14" t="str">
        <x:v>Greece</x:v>
      </x:c>
      <x:c r="L25" s="14" t="str">
        <x:v>GRC</x:v>
      </x:c>
      <x:c r="M25" s="14" t="str">
        <x:v>GR</x:v>
      </x:c>
      <x:c r="N25" s="14" t="str">
        <x:v>Μέγαρα</x:v>
      </x:c>
      <x:c r="O25" s="14" t="str">
        <x:v>Pleiades representative point</x:v>
      </x:c>
      <x:c r="P25" s="16"/>
      <x:c r="Q25" s="16"/>
      <x:c r="R25" s="14" t="str">
        <x:v>src-pleiades-570468</x:v>
      </x:c>
      <x:c r="S25" s="14" t="str">
        <x:v>reviewed</x:v>
      </x:c>
    </x:row>
    <x:row r="26" ht="40" customHeight="1">
      <x:c r="A26" s="14" t="str">
        <x:v>place-city-messene</x:v>
      </x:c>
      <x:c r="B26" s="14" t="str">
        <x:v>city-messene</x:v>
      </x:c>
      <x:c r="C26" s="22" t="n">
        <x:v>37.175304</x:v>
      </x:c>
      <x:c r="D26" s="22" t="n">
        <x:v>21.920048</x:v>
      </x:c>
      <x:c r="E26" s="16" t="str">
        <x:v>POINT (21.920048 37.175304)</x:v>
      </x:c>
      <x:c r="F26" s="16" t="str">
        <x:v>{"coordinates":[21.920048,37.175304],"type":"Point"}</x:v>
      </x:c>
      <x:c r="G26" s="14" t="str">
        <x:v>site</x:v>
      </x:c>
      <x:c r="H26" s="14" t="str">
        <x:v>high</x:v>
      </x:c>
      <x:c r="I26" s="14" t="str">
        <x:v>exact</x:v>
      </x:c>
      <x:c r="J26" s="14" t="str">
        <x:v>Ελλάδα</x:v>
      </x:c>
      <x:c r="K26" s="14" t="str">
        <x:v>Greece</x:v>
      </x:c>
      <x:c r="L26" s="14" t="str">
        <x:v>GRC</x:v>
      </x:c>
      <x:c r="M26" s="14" t="str">
        <x:v>GR</x:v>
      </x:c>
      <x:c r="N26" s="14" t="str">
        <x:v>Αρχαία Μεσσήνη</x:v>
      </x:c>
      <x:c r="O26" s="14" t="str">
        <x:v>Pleiades representative point</x:v>
      </x:c>
      <x:c r="P26" s="16"/>
      <x:c r="Q26" s="16"/>
      <x:c r="R26" s="14" t="str">
        <x:v>src-pleiades-570479</x:v>
      </x:c>
      <x:c r="S26" s="14" t="str">
        <x:v>reviewed</x:v>
      </x:c>
    </x:row>
    <x:row r="27" ht="40" customHeight="1">
      <x:c r="A27" s="14" t="str">
        <x:v>place-city-mytilene</x:v>
      </x:c>
      <x:c r="B27" s="14" t="str">
        <x:v>city-mytilene</x:v>
      </x:c>
      <x:c r="C27" s="22" t="n">
        <x:v>39.110475</x:v>
      </x:c>
      <x:c r="D27" s="22" t="n">
        <x:v>26.547048</x:v>
      </x:c>
      <x:c r="E27" s="16" t="str">
        <x:v>POINT (26.547048 39.110475)</x:v>
      </x:c>
      <x:c r="F27" s="16" t="str">
        <x:v>{"coordinates":[26.547048,39.110475],"type":"Point"}</x:v>
      </x:c>
      <x:c r="G27" s="14" t="str">
        <x:v>site</x:v>
      </x:c>
      <x:c r="H27" s="14" t="str">
        <x:v>high</x:v>
      </x:c>
      <x:c r="I27" s="14" t="str">
        <x:v>exact</x:v>
      </x:c>
      <x:c r="J27" s="14" t="str">
        <x:v>Ελλάδα</x:v>
      </x:c>
      <x:c r="K27" s="14" t="str">
        <x:v>Greece</x:v>
      </x:c>
      <x:c r="L27" s="14" t="str">
        <x:v>GRC</x:v>
      </x:c>
      <x:c r="M27" s="14" t="str">
        <x:v>GR</x:v>
      </x:c>
      <x:c r="N27" s="14" t="str">
        <x:v>Μυτιλήνη</x:v>
      </x:c>
      <x:c r="O27" s="14" t="str">
        <x:v>Pleiades representative point</x:v>
      </x:c>
      <x:c r="P27" s="16"/>
      <x:c r="Q27" s="16"/>
      <x:c r="R27" s="14" t="str">
        <x:v>src-pleiades-550763</x:v>
      </x:c>
      <x:c r="S27" s="14" t="str">
        <x:v>reviewed</x:v>
      </x:c>
    </x:row>
    <x:row r="28" ht="40" customHeight="1">
      <x:c r="A28" s="14" t="str">
        <x:v>place-city-naxos-cyclades</x:v>
      </x:c>
      <x:c r="B28" s="14" t="str">
        <x:v>city-naxos-cyclades</x:v>
      </x:c>
      <x:c r="C28" s="22" t="n">
        <x:v>37.103871</x:v>
      </x:c>
      <x:c r="D28" s="22" t="n">
        <x:v>25.377595</x:v>
      </x:c>
      <x:c r="E28" s="16" t="str">
        <x:v>POINT (25.377595 37.103871)</x:v>
      </x:c>
      <x:c r="F28" s="16" t="str">
        <x:v>{"coordinates":[25.377595,37.103871],"type":"Point"}</x:v>
      </x:c>
      <x:c r="G28" s="14" t="str">
        <x:v>site</x:v>
      </x:c>
      <x:c r="H28" s="14" t="str">
        <x:v>high</x:v>
      </x:c>
      <x:c r="I28" s="14" t="str">
        <x:v>exact</x:v>
      </x:c>
      <x:c r="J28" s="14" t="str">
        <x:v>Ελλάδα</x:v>
      </x:c>
      <x:c r="K28" s="14" t="str">
        <x:v>Greece</x:v>
      </x:c>
      <x:c r="L28" s="14" t="str">
        <x:v>GRC</x:v>
      </x:c>
      <x:c r="M28" s="14" t="str">
        <x:v>GR</x:v>
      </x:c>
      <x:c r="N28" s="14" t="str">
        <x:v>Χώρα Νάξου</x:v>
      </x:c>
      <x:c r="O28" s="14" t="str">
        <x:v>Pleiades representative point</x:v>
      </x:c>
      <x:c r="P28" s="16"/>
      <x:c r="Q28" s="16"/>
      <x:c r="R28" s="14" t="str">
        <x:v>src-pleiades-599821</x:v>
      </x:c>
      <x:c r="S28" s="14" t="str">
        <x:v>reviewed</x:v>
      </x:c>
    </x:row>
    <x:row r="29" ht="40" customHeight="1">
      <x:c r="A29" s="14" t="str">
        <x:v>place-city-olynthus</x:v>
      </x:c>
      <x:c r="B29" s="14" t="str">
        <x:v>city-olynthus</x:v>
      </x:c>
      <x:c r="C29" s="22" t="n">
        <x:v>40.295242</x:v>
      </x:c>
      <x:c r="D29" s="22" t="n">
        <x:v>23.354261</x:v>
      </x:c>
      <x:c r="E29" s="16" t="str">
        <x:v>POINT (23.354261 40.295242)</x:v>
      </x:c>
      <x:c r="F29" s="16" t="str">
        <x:v>{"coordinates":[23.354261,40.295242],"type":"Point"}</x:v>
      </x:c>
      <x:c r="G29" s="14" t="str">
        <x:v>site</x:v>
      </x:c>
      <x:c r="H29" s="14" t="str">
        <x:v>high</x:v>
      </x:c>
      <x:c r="I29" s="14" t="str">
        <x:v>exact</x:v>
      </x:c>
      <x:c r="J29" s="14" t="str">
        <x:v>Ελλάδα</x:v>
      </x:c>
      <x:c r="K29" s="14" t="str">
        <x:v>Greece</x:v>
      </x:c>
      <x:c r="L29" s="14" t="str">
        <x:v>GRC</x:v>
      </x:c>
      <x:c r="M29" s="14" t="str">
        <x:v>GR</x:v>
      </x:c>
      <x:c r="N29" s="14" t="str">
        <x:v>Όλυνθος</x:v>
      </x:c>
      <x:c r="O29" s="14" t="str">
        <x:v>Pleiades representative point</x:v>
      </x:c>
      <x:c r="P29" s="16"/>
      <x:c r="Q29" s="16"/>
      <x:c r="R29" s="14" t="str">
        <x:v>src-pleiades-491678</x:v>
      </x:c>
      <x:c r="S29" s="14" t="str">
        <x:v>reviewed</x:v>
      </x:c>
    </x:row>
    <x:row r="30" ht="40" customHeight="1">
      <x:c r="A30" s="14" t="str">
        <x:v>place-city-patrae</x:v>
      </x:c>
      <x:c r="B30" s="14" t="str">
        <x:v>city-patrae</x:v>
      </x:c>
      <x:c r="C30" s="22" t="n">
        <x:v>38.243265</x:v>
      </x:c>
      <x:c r="D30" s="22" t="n">
        <x:v>21.738518</x:v>
      </x:c>
      <x:c r="E30" s="16" t="str">
        <x:v>POINT (21.738518 38.243265)</x:v>
      </x:c>
      <x:c r="F30" s="16" t="str">
        <x:v>{"coordinates":[21.738518,38.243265],"type":"Point"}</x:v>
      </x:c>
      <x:c r="G30" s="14" t="str">
        <x:v>site</x:v>
      </x:c>
      <x:c r="H30" s="14" t="str">
        <x:v>high</x:v>
      </x:c>
      <x:c r="I30" s="14" t="str">
        <x:v>exact</x:v>
      </x:c>
      <x:c r="J30" s="14" t="str">
        <x:v>Ελλάδα</x:v>
      </x:c>
      <x:c r="K30" s="14" t="str">
        <x:v>Greece</x:v>
      </x:c>
      <x:c r="L30" s="14" t="str">
        <x:v>GRC</x:v>
      </x:c>
      <x:c r="M30" s="14" t="str">
        <x:v>GR</x:v>
      </x:c>
      <x:c r="N30" s="14" t="str">
        <x:v>Πάτρα</x:v>
      </x:c>
      <x:c r="O30" s="14" t="str">
        <x:v>Pleiades representative point</x:v>
      </x:c>
      <x:c r="P30" s="16"/>
      <x:c r="Q30" s="16"/>
      <x:c r="R30" s="14" t="str">
        <x:v>src-pleiades-570567</x:v>
      </x:c>
      <x:c r="S30" s="14" t="str">
        <x:v>reviewed</x:v>
      </x:c>
    </x:row>
    <x:row r="31" ht="40" customHeight="1">
      <x:c r="A31" s="14" t="str">
        <x:v>place-city-pella</x:v>
      </x:c>
      <x:c r="B31" s="14" t="str">
        <x:v>city-pella</x:v>
      </x:c>
      <x:c r="C31" s="22" t="n">
        <x:v>40.75435965</x:v>
      </x:c>
      <x:c r="D31" s="22" t="n">
        <x:v>22.51822477</x:v>
      </x:c>
      <x:c r="E31" s="16" t="str">
        <x:v>POINT (22.51822477 40.75435965)</x:v>
      </x:c>
      <x:c r="F31" s="16" t="str">
        <x:v>{"coordinates":[22.51822477,40.75435965],"type":"Point"}</x:v>
      </x:c>
      <x:c r="G31" s="14" t="str">
        <x:v>site</x:v>
      </x:c>
      <x:c r="H31" s="14" t="str">
        <x:v>high</x:v>
      </x:c>
      <x:c r="I31" s="14" t="str">
        <x:v>exact</x:v>
      </x:c>
      <x:c r="J31" s="14" t="str">
        <x:v>Ελλάδα</x:v>
      </x:c>
      <x:c r="K31" s="14" t="str">
        <x:v>Greece</x:v>
      </x:c>
      <x:c r="L31" s="14" t="str">
        <x:v>GRC</x:v>
      </x:c>
      <x:c r="M31" s="14" t="str">
        <x:v>GR</x:v>
      </x:c>
      <x:c r="N31" s="14" t="str">
        <x:v>Πέλλα</x:v>
      </x:c>
      <x:c r="O31" s="14" t="str">
        <x:v>Pleiades representative point</x:v>
      </x:c>
      <x:c r="P31" s="16"/>
      <x:c r="Q31" s="16"/>
      <x:c r="R31" s="14" t="str">
        <x:v>src-pleiades-491687</x:v>
      </x:c>
      <x:c r="S31" s="14" t="str">
        <x:v>reviewed</x:v>
      </x:c>
    </x:row>
    <x:row r="32" ht="40" customHeight="1">
      <x:c r="A32" s="14" t="str">
        <x:v>place-city-pergamum</x:v>
      </x:c>
      <x:c r="B32" s="14" t="str">
        <x:v>city-pergamum</x:v>
      </x:c>
      <x:c r="C32" s="22" t="n">
        <x:v>39.1325</x:v>
      </x:c>
      <x:c r="D32" s="22" t="n">
        <x:v>27.184167</x:v>
      </x:c>
      <x:c r="E32" s="16" t="str">
        <x:v>POINT (27.184167 39.1325)</x:v>
      </x:c>
      <x:c r="F32" s="16" t="str">
        <x:v>{"coordinates":[27.184167,39.1325],"type":"Point"}</x:v>
      </x:c>
      <x:c r="G32" s="14" t="str">
        <x:v>site</x:v>
      </x:c>
      <x:c r="H32" s="14" t="str">
        <x:v>high</x:v>
      </x:c>
      <x:c r="I32" s="14" t="str">
        <x:v>exact</x:v>
      </x:c>
      <x:c r="J32" s="14" t="str">
        <x:v>Τουρκία</x:v>
      </x:c>
      <x:c r="K32" s="14" t="str">
        <x:v>Turkey</x:v>
      </x:c>
      <x:c r="L32" s="14" t="str">
        <x:v>TUR</x:v>
      </x:c>
      <x:c r="M32" s="14" t="str">
        <x:v>TR</x:v>
      </x:c>
      <x:c r="N32" s="14" t="str">
        <x:v>Bergama, İzmir</x:v>
      </x:c>
      <x:c r="O32" s="14" t="str">
        <x:v>Pleiades representative point</x:v>
      </x:c>
      <x:c r="P32" s="16"/>
      <x:c r="Q32" s="16"/>
      <x:c r="R32" s="14" t="str">
        <x:v>src-pleiades-550812</x:v>
      </x:c>
      <x:c r="S32" s="14" t="str">
        <x:v>reviewed</x:v>
      </x:c>
    </x:row>
    <x:row r="33" ht="40" customHeight="1">
      <x:c r="A33" s="14" t="str">
        <x:v>place-city-pherae-thessaly</x:v>
      </x:c>
      <x:c r="B33" s="14" t="str">
        <x:v>city-pherae-thessaly</x:v>
      </x:c>
      <x:c r="C33" s="22" t="n">
        <x:v>39.379043</x:v>
      </x:c>
      <x:c r="D33" s="22" t="n">
        <x:v>22.753851</x:v>
      </x:c>
      <x:c r="E33" s="16" t="str">
        <x:v>POINT (22.753851 39.379043)</x:v>
      </x:c>
      <x:c r="F33" s="16" t="str">
        <x:v>{"coordinates":[22.753851,39.379043],"type":"Point"}</x:v>
      </x:c>
      <x:c r="G33" s="14" t="str">
        <x:v>site</x:v>
      </x:c>
      <x:c r="H33" s="14" t="str">
        <x:v>high</x:v>
      </x:c>
      <x:c r="I33" s="14" t="str">
        <x:v>exact</x:v>
      </x:c>
      <x:c r="J33" s="14" t="str">
        <x:v>Ελλάδα</x:v>
      </x:c>
      <x:c r="K33" s="14" t="str">
        <x:v>Greece</x:v>
      </x:c>
      <x:c r="L33" s="14" t="str">
        <x:v>GRC</x:v>
      </x:c>
      <x:c r="M33" s="14" t="str">
        <x:v>GR</x:v>
      </x:c>
      <x:c r="N33" s="14" t="str">
        <x:v>Βελεστίνο</x:v>
      </x:c>
      <x:c r="O33" s="14" t="str">
        <x:v>Pleiades representative point</x:v>
      </x:c>
      <x:c r="P33" s="16"/>
      <x:c r="Q33" s="16"/>
      <x:c r="R33" s="14" t="str">
        <x:v>src-pleiades-541044</x:v>
      </x:c>
      <x:c r="S33" s="14" t="str">
        <x:v>reviewed</x:v>
      </x:c>
    </x:row>
    <x:row r="34" ht="40" customHeight="1">
      <x:c r="A34" s="14" t="str">
        <x:v>place-city-piraeus</x:v>
      </x:c>
      <x:c r="B34" s="14" t="str">
        <x:v>city-piraeus</x:v>
      </x:c>
      <x:c r="C34" s="22" t="n">
        <x:v>37.937222</x:v>
      </x:c>
      <x:c r="D34" s="22" t="n">
        <x:v>23.644609</x:v>
      </x:c>
      <x:c r="E34" s="16" t="str">
        <x:v>POINT (23.644609 37.937222)</x:v>
      </x:c>
      <x:c r="F34" s="16" t="str">
        <x:v>{"coordinates":[23.644609,37.937222],"type":"Point"}</x:v>
      </x:c>
      <x:c r="G34" s="14" t="str">
        <x:v>site</x:v>
      </x:c>
      <x:c r="H34" s="14" t="str">
        <x:v>high</x:v>
      </x:c>
      <x:c r="I34" s="14" t="str">
        <x:v>exact</x:v>
      </x:c>
      <x:c r="J34" s="14" t="str">
        <x:v>Ελλάδα</x:v>
      </x:c>
      <x:c r="K34" s="14" t="str">
        <x:v>Greece</x:v>
      </x:c>
      <x:c r="L34" s="14" t="str">
        <x:v>GRC</x:v>
      </x:c>
      <x:c r="M34" s="14" t="str">
        <x:v>GR</x:v>
      </x:c>
      <x:c r="N34" s="14" t="str">
        <x:v>Πειραιάς</x:v>
      </x:c>
      <x:c r="O34" s="14" t="str">
        <x:v>Pleiades representative point</x:v>
      </x:c>
      <x:c r="P34" s="16"/>
      <x:c r="Q34" s="16"/>
      <x:c r="R34" s="14" t="str">
        <x:v>src-pleiades-580062</x:v>
      </x:c>
      <x:c r="S34" s="14" t="str">
        <x:v>reviewed</x:v>
      </x:c>
    </x:row>
    <x:row r="35" ht="40" customHeight="1">
      <x:c r="A35" s="14" t="str">
        <x:v>place-city-ptolemais-cyrenaica</x:v>
      </x:c>
      <x:c r="B35" s="14" t="str">
        <x:v>city-ptolemais-cyrenaica</x:v>
      </x:c>
      <x:c r="C35" s="22" t="n">
        <x:v>32.707134</x:v>
      </x:c>
      <x:c r="D35" s="22" t="n">
        <x:v>20.95385</x:v>
      </x:c>
      <x:c r="E35" s="16" t="str">
        <x:v>POINT (20.95385 32.707134)</x:v>
      </x:c>
      <x:c r="F35" s="16" t="str">
        <x:v>{"coordinates":[20.95385,32.707134],"type":"Point"}</x:v>
      </x:c>
      <x:c r="G35" s="14" t="str">
        <x:v>site</x:v>
      </x:c>
      <x:c r="H35" s="14" t="str">
        <x:v>medium</x:v>
      </x:c>
      <x:c r="I35" s="14" t="str">
        <x:v>exact</x:v>
      </x:c>
      <x:c r="J35" s="14" t="str">
        <x:v>Λιβύη</x:v>
      </x:c>
      <x:c r="K35" s="14" t="str">
        <x:v>Libya</x:v>
      </x:c>
      <x:c r="L35" s="14" t="str">
        <x:v>LBY</x:v>
      </x:c>
      <x:c r="M35" s="14" t="str">
        <x:v>LY</x:v>
      </x:c>
      <x:c r="N35" s="14" t="str">
        <x:v>Tolmeita</x:v>
      </x:c>
      <x:c r="O35" s="14" t="str">
        <x:v>Pleiades representative point</x:v>
      </x:c>
      <x:c r="P35" s="16"/>
      <x:c r="Q35" s="16"/>
      <x:c r="R35" s="14" t="str">
        <x:v>src-pleiades-373879</x:v>
      </x:c>
      <x:c r="S35" s="14" t="str">
        <x:v>reviewed</x:v>
      </x:c>
    </x:row>
    <x:row r="36" ht="40" customHeight="1">
      <x:c r="A36" s="14" t="str">
        <x:v>place-city-pydna</x:v>
      </x:c>
      <x:c r="B36" s="14" t="str">
        <x:v>city-pydna</x:v>
      </x:c>
      <x:c r="C36" s="22" t="n">
        <x:v>40.397569</x:v>
      </x:c>
      <x:c r="D36" s="22" t="n">
        <x:v>22.614991</x:v>
      </x:c>
      <x:c r="E36" s="16" t="str">
        <x:v>POINT (22.614991 40.397569)</x:v>
      </x:c>
      <x:c r="F36" s="16" t="str">
        <x:v>{"coordinates":[22.614991,40.397569],"type":"Point"}</x:v>
      </x:c>
      <x:c r="G36" s="14" t="str">
        <x:v>site</x:v>
      </x:c>
      <x:c r="H36" s="14" t="str">
        <x:v>high</x:v>
      </x:c>
      <x:c r="I36" s="14" t="str">
        <x:v>exact</x:v>
      </x:c>
      <x:c r="J36" s="14" t="str">
        <x:v>Ελλάδα</x:v>
      </x:c>
      <x:c r="K36" s="14" t="str">
        <x:v>Greece</x:v>
      </x:c>
      <x:c r="L36" s="14" t="str">
        <x:v>GRC</x:v>
      </x:c>
      <x:c r="M36" s="14" t="str">
        <x:v>GR</x:v>
      </x:c>
      <x:c r="N36" s="14" t="str">
        <x:v>Μακρύγιαλος Πιερίας</x:v>
      </x:c>
      <x:c r="O36" s="14" t="str">
        <x:v>Pleiades representative point</x:v>
      </x:c>
      <x:c r="P36" s="16"/>
      <x:c r="Q36" s="16"/>
      <x:c r="R36" s="14" t="str">
        <x:v>src-pleiades-491703</x:v>
      </x:c>
      <x:c r="S36" s="14" t="str">
        <x:v>reviewed</x:v>
      </x:c>
    </x:row>
    <x:row r="37" ht="40" customHeight="1">
      <x:c r="A37" s="14" t="str">
        <x:v>place-city-rhodes-city</x:v>
      </x:c>
      <x:c r="B37" s="14" t="str">
        <x:v>city-rhodes-city</x:v>
      </x:c>
      <x:c r="C37" s="22" t="n">
        <x:v>36.443113</x:v>
      </x:c>
      <x:c r="D37" s="22" t="n">
        <x:v>28.227611</x:v>
      </x:c>
      <x:c r="E37" s="16" t="str">
        <x:v>POINT (28.227611 36.443113)</x:v>
      </x:c>
      <x:c r="F37" s="16" t="str">
        <x:v>{"coordinates":[28.227611,36.443113],"type":"Point"}</x:v>
      </x:c>
      <x:c r="G37" s="14" t="str">
        <x:v>site</x:v>
      </x:c>
      <x:c r="H37" s="14" t="str">
        <x:v>high</x:v>
      </x:c>
      <x:c r="I37" s="14" t="str">
        <x:v>exact</x:v>
      </x:c>
      <x:c r="J37" s="14" t="str">
        <x:v>Ελλάδα</x:v>
      </x:c>
      <x:c r="K37" s="14" t="str">
        <x:v>Greece</x:v>
      </x:c>
      <x:c r="L37" s="14" t="str">
        <x:v>GRC</x:v>
      </x:c>
      <x:c r="M37" s="14" t="str">
        <x:v>GR</x:v>
      </x:c>
      <x:c r="N37" s="14" t="str">
        <x:v>Ρόδος</x:v>
      </x:c>
      <x:c r="O37" s="14" t="str">
        <x:v>Pleiades representative point</x:v>
      </x:c>
      <x:c r="P37" s="16"/>
      <x:c r="Q37" s="16"/>
      <x:c r="R37" s="14" t="str">
        <x:v>src-pleiades-590030</x:v>
      </x:c>
      <x:c r="S37" s="14" t="str">
        <x:v>reviewed</x:v>
      </x:c>
    </x:row>
    <x:row r="38" ht="40" customHeight="1">
      <x:c r="A38" s="14" t="str">
        <x:v>place-city-samos-city</x:v>
      </x:c>
      <x:c r="B38" s="14" t="str">
        <x:v>city-samos-city</x:v>
      </x:c>
      <x:c r="C38" s="22" t="n">
        <x:v>37.68825</x:v>
      </x:c>
      <x:c r="D38" s="22" t="n">
        <x:v>26.944483</x:v>
      </x:c>
      <x:c r="E38" s="16" t="str">
        <x:v>POINT (26.944483 37.68825)</x:v>
      </x:c>
      <x:c r="F38" s="16" t="str">
        <x:v>{"coordinates":[26.944483,37.68825],"type":"Point"}</x:v>
      </x:c>
      <x:c r="G38" s="14" t="str">
        <x:v>site</x:v>
      </x:c>
      <x:c r="H38" s="14" t="str">
        <x:v>high</x:v>
      </x:c>
      <x:c r="I38" s="14" t="str">
        <x:v>exact</x:v>
      </x:c>
      <x:c r="J38" s="14" t="str">
        <x:v>Ελλάδα</x:v>
      </x:c>
      <x:c r="K38" s="14" t="str">
        <x:v>Greece</x:v>
      </x:c>
      <x:c r="L38" s="14" t="str">
        <x:v>GRC</x:v>
      </x:c>
      <x:c r="M38" s="14" t="str">
        <x:v>GR</x:v>
      </x:c>
      <x:c r="N38" s="14" t="str">
        <x:v>Πυθαγόρειο</x:v>
      </x:c>
      <x:c r="O38" s="14" t="str">
        <x:v>Pleiades representative point</x:v>
      </x:c>
      <x:c r="P38" s="16"/>
      <x:c r="Q38" s="16"/>
      <x:c r="R38" s="14" t="str">
        <x:v>src-pleiades-599925</x:v>
      </x:c>
      <x:c r="S38" s="14" t="str">
        <x:v>reviewed</x:v>
      </x:c>
    </x:row>
    <x:row r="39" ht="40" customHeight="1">
      <x:c r="A39" s="14" t="str">
        <x:v>place-city-sicyon</x:v>
      </x:c>
      <x:c r="B39" s="14" t="str">
        <x:v>city-sicyon</x:v>
      </x:c>
      <x:c r="C39" s="22" t="n">
        <x:v>37.983819</x:v>
      </x:c>
      <x:c r="D39" s="22" t="n">
        <x:v>22.712193</x:v>
      </x:c>
      <x:c r="E39" s="16" t="str">
        <x:v>POINT (22.712193 37.983819)</x:v>
      </x:c>
      <x:c r="F39" s="16" t="str">
        <x:v>{"coordinates":[22.712193,37.983819],"type":"Point"}</x:v>
      </x:c>
      <x:c r="G39" s="14" t="str">
        <x:v>site</x:v>
      </x:c>
      <x:c r="H39" s="14" t="str">
        <x:v>high</x:v>
      </x:c>
      <x:c r="I39" s="14" t="str">
        <x:v>exact</x:v>
      </x:c>
      <x:c r="J39" s="14" t="str">
        <x:v>Ελλάδα</x:v>
      </x:c>
      <x:c r="K39" s="14" t="str">
        <x:v>Greece</x:v>
      </x:c>
      <x:c r="L39" s="14" t="str">
        <x:v>GRC</x:v>
      </x:c>
      <x:c r="M39" s="14" t="str">
        <x:v>GR</x:v>
      </x:c>
      <x:c r="N39" s="14" t="str">
        <x:v>Αρχαία Σικυώνα</x:v>
      </x:c>
      <x:c r="O39" s="14" t="str">
        <x:v>Pleiades representative point</x:v>
      </x:c>
      <x:c r="P39" s="16"/>
      <x:c r="Q39" s="16"/>
      <x:c r="R39" s="14" t="str">
        <x:v>src-pleiades-570668</x:v>
      </x:c>
      <x:c r="S39" s="14" t="str">
        <x:v>reviewed</x:v>
      </x:c>
    </x:row>
    <x:row r="40" ht="40" customHeight="1">
      <x:c r="A40" s="14" t="str">
        <x:v>place-city-smyrna</x:v>
      </x:c>
      <x:c r="B40" s="14" t="str">
        <x:v>city-smyrna</x:v>
      </x:c>
      <x:c r="C40" s="22" t="n">
        <x:v>38.417196</x:v>
      </x:c>
      <x:c r="D40" s="22" t="n">
        <x:v>27.141387</x:v>
      </x:c>
      <x:c r="E40" s="16" t="str">
        <x:v>POINT (27.141387 38.417196)</x:v>
      </x:c>
      <x:c r="F40" s="16" t="str">
        <x:v>{"coordinates":[27.141387,38.417196],"type":"Point"}</x:v>
      </x:c>
      <x:c r="G40" s="14" t="str">
        <x:v>site</x:v>
      </x:c>
      <x:c r="H40" s="14" t="str">
        <x:v>high</x:v>
      </x:c>
      <x:c r="I40" s="14" t="str">
        <x:v>exact</x:v>
      </x:c>
      <x:c r="J40" s="14" t="str">
        <x:v>Τουρκία</x:v>
      </x:c>
      <x:c r="K40" s="14" t="str">
        <x:v>Turkey</x:v>
      </x:c>
      <x:c r="L40" s="14" t="str">
        <x:v>TUR</x:v>
      </x:c>
      <x:c r="M40" s="14" t="str">
        <x:v>TR</x:v>
      </x:c>
      <x:c r="N40" s="14" t="str">
        <x:v>İzmir</x:v>
      </x:c>
      <x:c r="O40" s="14" t="str">
        <x:v>Pleiades representative point</x:v>
      </x:c>
      <x:c r="P40" s="16"/>
      <x:c r="Q40" s="16"/>
      <x:c r="R40" s="14" t="str">
        <x:v>src-pleiades-550893</x:v>
      </x:c>
      <x:c r="S40" s="14" t="str">
        <x:v>reviewed</x:v>
      </x:c>
    </x:row>
    <x:row r="41" ht="40" customHeight="1">
      <x:c r="A41" s="14" t="str">
        <x:v>place-city-sparta</x:v>
      </x:c>
      <x:c r="B41" s="14" t="str">
        <x:v>city-sparta</x:v>
      </x:c>
      <x:c r="C41" s="22" t="n">
        <x:v>37.081782</x:v>
      </x:c>
      <x:c r="D41" s="22" t="n">
        <x:v>22.424672</x:v>
      </x:c>
      <x:c r="E41" s="16" t="str">
        <x:v>POINT (22.424672 37.081782)</x:v>
      </x:c>
      <x:c r="F41" s="16" t="str">
        <x:v>{"coordinates":[22.424672,37.081782],"type":"Point"}</x:v>
      </x:c>
      <x:c r="G41" s="14" t="str">
        <x:v>site</x:v>
      </x:c>
      <x:c r="H41" s="14" t="str">
        <x:v>high</x:v>
      </x:c>
      <x:c r="I41" s="14" t="str">
        <x:v>exact</x:v>
      </x:c>
      <x:c r="J41" s="14" t="str">
        <x:v>Ελλάδα</x:v>
      </x:c>
      <x:c r="K41" s="14" t="str">
        <x:v>Greece</x:v>
      </x:c>
      <x:c r="L41" s="14" t="str">
        <x:v>GRC</x:v>
      </x:c>
      <x:c r="M41" s="14" t="str">
        <x:v>GR</x:v>
      </x:c>
      <x:c r="N41" s="14" t="str">
        <x:v>Σπάρτη</x:v>
      </x:c>
      <x:c r="O41" s="14" t="str">
        <x:v>Pleiades representative point</x:v>
      </x:c>
      <x:c r="P41" s="16"/>
      <x:c r="Q41" s="16"/>
      <x:c r="R41" s="14" t="str">
        <x:v>src-pleiades-570685</x:v>
      </x:c>
      <x:c r="S41" s="14" t="str">
        <x:v>reviewed</x:v>
      </x:c>
    </x:row>
    <x:row r="42" ht="40" customHeight="1">
      <x:c r="A42" s="14" t="str">
        <x:v>place-city-tegea</x:v>
      </x:c>
      <x:c r="B42" s="14" t="str">
        <x:v>city-tegea</x:v>
      </x:c>
      <x:c r="C42" s="22" t="n">
        <x:v>37.455301</x:v>
      </x:c>
      <x:c r="D42" s="22" t="n">
        <x:v>22.420672</x:v>
      </x:c>
      <x:c r="E42" s="16" t="str">
        <x:v>POINT (22.420672 37.455301)</x:v>
      </x:c>
      <x:c r="F42" s="16" t="str">
        <x:v>{"coordinates":[22.420672,37.455301],"type":"Point"}</x:v>
      </x:c>
      <x:c r="G42" s="14" t="str">
        <x:v>site</x:v>
      </x:c>
      <x:c r="H42" s="14" t="str">
        <x:v>high</x:v>
      </x:c>
      <x:c r="I42" s="14" t="str">
        <x:v>exact</x:v>
      </x:c>
      <x:c r="J42" s="14" t="str">
        <x:v>Ελλάδα</x:v>
      </x:c>
      <x:c r="K42" s="14" t="str">
        <x:v>Greece</x:v>
      </x:c>
      <x:c r="L42" s="14" t="str">
        <x:v>GRC</x:v>
      </x:c>
      <x:c r="M42" s="14" t="str">
        <x:v>GR</x:v>
      </x:c>
      <x:c r="N42" s="14" t="str">
        <x:v>Αλέα Τεγέας</x:v>
      </x:c>
      <x:c r="O42" s="14" t="str">
        <x:v>Pleiades representative point</x:v>
      </x:c>
      <x:c r="P42" s="16"/>
      <x:c r="Q42" s="16"/>
      <x:c r="R42" s="14" t="str">
        <x:v>src-pleiades-570707</x:v>
      </x:c>
      <x:c r="S42" s="14" t="str">
        <x:v>reviewed</x:v>
      </x:c>
    </x:row>
    <x:row r="43" ht="40" customHeight="1">
      <x:c r="A43" s="14" t="str">
        <x:v>place-city-thebes-boeotia</x:v>
      </x:c>
      <x:c r="B43" s="14" t="str">
        <x:v>city-thebes-boeotia</x:v>
      </x:c>
      <x:c r="C43" s="22" t="n">
        <x:v>38.319949</x:v>
      </x:c>
      <x:c r="D43" s="22" t="n">
        <x:v>23.317653</x:v>
      </x:c>
      <x:c r="E43" s="16" t="str">
        <x:v>POINT (23.317653 38.319949)</x:v>
      </x:c>
      <x:c r="F43" s="16" t="str">
        <x:v>{"coordinates":[23.317653,38.319949],"type":"Point"}</x:v>
      </x:c>
      <x:c r="G43" s="14" t="str">
        <x:v>site</x:v>
      </x:c>
      <x:c r="H43" s="14" t="str">
        <x:v>high</x:v>
      </x:c>
      <x:c r="I43" s="14" t="str">
        <x:v>exact</x:v>
      </x:c>
      <x:c r="J43" s="14" t="str">
        <x:v>Ελλάδα</x:v>
      </x:c>
      <x:c r="K43" s="14" t="str">
        <x:v>Greece</x:v>
      </x:c>
      <x:c r="L43" s="14" t="str">
        <x:v>GRC</x:v>
      </x:c>
      <x:c r="M43" s="14" t="str">
        <x:v>GR</x:v>
      </x:c>
      <x:c r="N43" s="14" t="str">
        <x:v>Θήβα</x:v>
      </x:c>
      <x:c r="O43" s="14" t="str">
        <x:v>Pleiades representative point</x:v>
      </x:c>
      <x:c r="P43" s="16"/>
      <x:c r="Q43" s="16"/>
      <x:c r="R43" s="14" t="str">
        <x:v>src-pleiades-541138</x:v>
      </x:c>
      <x:c r="S43" s="14" t="str">
        <x:v>reviewed</x:v>
      </x:c>
    </x:row>
    <x:row r="44" ht="40" customHeight="1">
      <x:c r="A44" s="14" t="str">
        <x:v>place-city-thera-city</x:v>
      </x:c>
      <x:c r="B44" s="14" t="str">
        <x:v>city-thera-city</x:v>
      </x:c>
      <x:c r="C44" s="22" t="n">
        <x:v>36.363279</x:v>
      </x:c>
      <x:c r="D44" s="22" t="n">
        <x:v>25.47843</x:v>
      </x:c>
      <x:c r="E44" s="16" t="str">
        <x:v>POINT (25.47843 36.363279)</x:v>
      </x:c>
      <x:c r="F44" s="16" t="str">
        <x:v>{"coordinates":[25.47843,36.363279],"type":"Point"}</x:v>
      </x:c>
      <x:c r="G44" s="14" t="str">
        <x:v>site</x:v>
      </x:c>
      <x:c r="H44" s="14" t="str">
        <x:v>high</x:v>
      </x:c>
      <x:c r="I44" s="14" t="str">
        <x:v>exact</x:v>
      </x:c>
      <x:c r="J44" s="14" t="str">
        <x:v>Ελλάδα</x:v>
      </x:c>
      <x:c r="K44" s="14" t="str">
        <x:v>Greece</x:v>
      </x:c>
      <x:c r="L44" s="14" t="str">
        <x:v>GRC</x:v>
      </x:c>
      <x:c r="M44" s="14" t="str">
        <x:v>GR</x:v>
      </x:c>
      <x:c r="N44" s="14" t="str">
        <x:v>Μέσα Βουνό Σαντορίνης</x:v>
      </x:c>
      <x:c r="O44" s="14" t="str">
        <x:v>Pleiades representative point</x:v>
      </x:c>
      <x:c r="P44" s="16"/>
      <x:c r="Q44" s="16"/>
      <x:c r="R44" s="14" t="str">
        <x:v>src-pleiades-599971</x:v>
      </x:c>
      <x:c r="S44" s="14" t="str">
        <x:v>reviewed</x:v>
      </x:c>
    </x:row>
    <x:row r="45" ht="40" customHeight="1">
      <x:c r="A45" s="14" t="str">
        <x:v>place-city-thessalonica</x:v>
      </x:c>
      <x:c r="B45" s="14" t="str">
        <x:v>city-thessalonica</x:v>
      </x:c>
      <x:c r="C45" s="22" t="n">
        <x:v>40.628342</x:v>
      </x:c>
      <x:c r="D45" s="22" t="n">
        <x:v>22.952885</x:v>
      </x:c>
      <x:c r="E45" s="16" t="str">
        <x:v>POINT (22.952885 40.628342)</x:v>
      </x:c>
      <x:c r="F45" s="16" t="str">
        <x:v>{"coordinates":[22.952885,40.628342],"type":"Point"}</x:v>
      </x:c>
      <x:c r="G45" s="14" t="str">
        <x:v>site</x:v>
      </x:c>
      <x:c r="H45" s="14" t="str">
        <x:v>high</x:v>
      </x:c>
      <x:c r="I45" s="14" t="str">
        <x:v>exact</x:v>
      </x:c>
      <x:c r="J45" s="14" t="str">
        <x:v>Ελλάδα</x:v>
      </x:c>
      <x:c r="K45" s="14" t="str">
        <x:v>Greece</x:v>
      </x:c>
      <x:c r="L45" s="14" t="str">
        <x:v>GRC</x:v>
      </x:c>
      <x:c r="M45" s="14" t="str">
        <x:v>GR</x:v>
      </x:c>
      <x:c r="N45" s="14" t="str">
        <x:v>Θεσσαλονίκη</x:v>
      </x:c>
      <x:c r="O45" s="14" t="str">
        <x:v>Pleiades representative point</x:v>
      </x:c>
      <x:c r="P45" s="16"/>
      <x:c r="Q45" s="16"/>
      <x:c r="R45" s="14" t="str">
        <x:v>src-pleiades-491741</x:v>
      </x:c>
      <x:c r="S45" s="14" t="str">
        <x:v>reviewed</x:v>
      </x:c>
    </x:row>
    <x:row r="46" ht="40" customHeight="1">
      <x:c r="A46" s="14" t="str">
        <x:v>place-colony-abydos</x:v>
      </x:c>
      <x:c r="B46" s="14" t="str">
        <x:v>colony-abydos</x:v>
      </x:c>
      <x:c r="C46" s="22" t="n">
        <x:v>40.194216</x:v>
      </x:c>
      <x:c r="D46" s="22" t="n">
        <x:v>26.411313</x:v>
      </x:c>
      <x:c r="E46" s="16" t="str">
        <x:v>POINT (26.411313 40.194216)</x:v>
      </x:c>
      <x:c r="F46" s="16" t="str">
        <x:v>{"coordinates":[26.411313,40.194216],"type":"Point"}</x:v>
      </x:c>
      <x:c r="G46" s="14" t="str">
        <x:v>site</x:v>
      </x:c>
      <x:c r="H46" s="14" t="str">
        <x:v>high</x:v>
      </x:c>
      <x:c r="I46" s="14" t="str">
        <x:v>exact</x:v>
      </x:c>
      <x:c r="J46" s="14" t="str">
        <x:v>Τουρκία</x:v>
      </x:c>
      <x:c r="K46" s="14" t="str">
        <x:v>Turkey</x:v>
      </x:c>
      <x:c r="L46" s="14" t="str">
        <x:v>TUR</x:v>
      </x:c>
      <x:c r="M46" s="14" t="str">
        <x:v>TR</x:v>
      </x:c>
      <x:c r="N46" s="14" t="str">
        <x:v>Nara Burnu, Çanakkale</x:v>
      </x:c>
      <x:c r="O46" s="14" t="str">
        <x:v>Pleiades representative point</x:v>
      </x:c>
      <x:c r="P46" s="16"/>
      <x:c r="Q46" s="16"/>
      <x:c r="R46" s="14" t="str">
        <x:v>src-pleiades-501325</x:v>
      </x:c>
      <x:c r="S46" s="14" t="str">
        <x:v>reviewed</x:v>
      </x:c>
    </x:row>
    <x:row r="47" ht="40" customHeight="1">
      <x:c r="A47" s="14" t="str">
        <x:v>place-colony-akragas</x:v>
      </x:c>
      <x:c r="B47" s="14" t="str">
        <x:v>colony-akragas</x:v>
      </x:c>
      <x:c r="C47" s="22" t="n">
        <x:v>37.290594</x:v>
      </x:c>
      <x:c r="D47" s="22" t="n">
        <x:v>13.585475</x:v>
      </x:c>
      <x:c r="E47" s="16" t="str">
        <x:v>POINT (13.585475 37.290594)</x:v>
      </x:c>
      <x:c r="F47" s="16" t="str">
        <x:v>{"coordinates":[13.585475,37.290594],"type":"Point"}</x:v>
      </x:c>
      <x:c r="G47" s="14" t="str">
        <x:v>site</x:v>
      </x:c>
      <x:c r="H47" s="14" t="str">
        <x:v>high</x:v>
      </x:c>
      <x:c r="I47" s="14" t="str">
        <x:v>exact</x:v>
      </x:c>
      <x:c r="J47" s="14" t="str">
        <x:v>Ιταλία</x:v>
      </x:c>
      <x:c r="K47" s="14" t="str">
        <x:v>Italy</x:v>
      </x:c>
      <x:c r="L47" s="14" t="str">
        <x:v>ITA</x:v>
      </x:c>
      <x:c r="M47" s="14" t="str">
        <x:v>IT</x:v>
      </x:c>
      <x:c r="N47" s="14" t="str">
        <x:v>Agrigento</x:v>
      </x:c>
      <x:c r="O47" s="14" t="str">
        <x:v>Pleiades representative point</x:v>
      </x:c>
      <x:c r="P47" s="16"/>
      <x:c r="Q47" s="16"/>
      <x:c r="R47" s="14" t="str">
        <x:v>src-pleiades-462086</x:v>
      </x:c>
      <x:c r="S47" s="14" t="str">
        <x:v>reviewed</x:v>
      </x:c>
    </x:row>
    <x:row r="48" ht="40" customHeight="1">
      <x:c r="A48" s="14" t="str">
        <x:v>place-colony-ambracia</x:v>
      </x:c>
      <x:c r="B48" s="14" t="str">
        <x:v>colony-ambracia</x:v>
      </x:c>
      <x:c r="C48" s="22" t="n">
        <x:v>39.154924</x:v>
      </x:c>
      <x:c r="D48" s="22" t="n">
        <x:v>20.990093</x:v>
      </x:c>
      <x:c r="E48" s="16" t="str">
        <x:v>POINT (20.990093 39.154924)</x:v>
      </x:c>
      <x:c r="F48" s="16" t="str">
        <x:v>{"coordinates":[20.990093,39.154924],"type":"Point"}</x:v>
      </x:c>
      <x:c r="G48" s="14" t="str">
        <x:v>site</x:v>
      </x:c>
      <x:c r="H48" s="14" t="str">
        <x:v>high</x:v>
      </x:c>
      <x:c r="I48" s="14" t="str">
        <x:v>exact</x:v>
      </x:c>
      <x:c r="J48" s="14" t="str">
        <x:v>Ελλάδα</x:v>
      </x:c>
      <x:c r="K48" s="14" t="str">
        <x:v>Greece</x:v>
      </x:c>
      <x:c r="L48" s="14" t="str">
        <x:v>GRC</x:v>
      </x:c>
      <x:c r="M48" s="14" t="str">
        <x:v>GR</x:v>
      </x:c>
      <x:c r="N48" s="14" t="str">
        <x:v>Άρτα</x:v>
      </x:c>
      <x:c r="O48" s="14" t="str">
        <x:v>Pleiades representative point</x:v>
      </x:c>
      <x:c r="P48" s="16"/>
      <x:c r="Q48" s="16"/>
      <x:c r="R48" s="14" t="str">
        <x:v>src-pleiades-530794</x:v>
      </x:c>
      <x:c r="S48" s="14" t="str">
        <x:v>reviewed</x:v>
      </x:c>
    </x:row>
    <x:row r="49" ht="40" customHeight="1">
      <x:c r="A49" s="14" t="str">
        <x:v>place-colony-amisus</x:v>
      </x:c>
      <x:c r="B49" s="14" t="str">
        <x:v>colony-amisus</x:v>
      </x:c>
      <x:c r="C49" s="22" t="n">
        <x:v>41.292721</x:v>
      </x:c>
      <x:c r="D49" s="22" t="n">
        <x:v>36.3313</x:v>
      </x:c>
      <x:c r="E49" s="16" t="str">
        <x:v>POINT (36.3313 41.292721)</x:v>
      </x:c>
      <x:c r="F49" s="16" t="str">
        <x:v>{"coordinates":[36.3313,41.292721],"type":"Point"}</x:v>
      </x:c>
      <x:c r="G49" s="14" t="str">
        <x:v>site</x:v>
      </x:c>
      <x:c r="H49" s="14" t="str">
        <x:v>high</x:v>
      </x:c>
      <x:c r="I49" s="14" t="str">
        <x:v>exact</x:v>
      </x:c>
      <x:c r="J49" s="14" t="str">
        <x:v>Τουρκία</x:v>
      </x:c>
      <x:c r="K49" s="14" t="str">
        <x:v>Turkey</x:v>
      </x:c>
      <x:c r="L49" s="14" t="str">
        <x:v>TUR</x:v>
      </x:c>
      <x:c r="M49" s="14" t="str">
        <x:v>TR</x:v>
      </x:c>
      <x:c r="N49" s="14" t="str">
        <x:v>Samsun</x:v>
      </x:c>
      <x:c r="O49" s="14" t="str">
        <x:v>Pleiades representative point</x:v>
      </x:c>
      <x:c r="P49" s="16"/>
      <x:c r="Q49" s="16"/>
      <x:c r="R49" s="14" t="str">
        <x:v>src-pleiades-857024</x:v>
      </x:c>
      <x:c r="S49" s="14" t="str">
        <x:v>reviewed</x:v>
      </x:c>
    </x:row>
    <x:row r="50" ht="40" customHeight="1">
      <x:c r="A50" s="14" t="str">
        <x:v>place-colony-amphipolis</x:v>
      </x:c>
      <x:c r="B50" s="14" t="str">
        <x:v>colony-amphipolis</x:v>
      </x:c>
      <x:c r="C50" s="22" t="n">
        <x:v>40.825811</x:v>
      </x:c>
      <x:c r="D50" s="22" t="n">
        <x:v>23.841579</x:v>
      </x:c>
      <x:c r="E50" s="16" t="str">
        <x:v>POINT (23.841579 40.825811)</x:v>
      </x:c>
      <x:c r="F50" s="16" t="str">
        <x:v>{"coordinates":[23.841579,40.825811],"type":"Point"}</x:v>
      </x:c>
      <x:c r="G50" s="14" t="str">
        <x:v>site</x:v>
      </x:c>
      <x:c r="H50" s="14" t="str">
        <x:v>high</x:v>
      </x:c>
      <x:c r="I50" s="14" t="str">
        <x:v>exact</x:v>
      </x:c>
      <x:c r="J50" s="14" t="str">
        <x:v>Ελλάδα</x:v>
      </x:c>
      <x:c r="K50" s="14" t="str">
        <x:v>Greece</x:v>
      </x:c>
      <x:c r="L50" s="14" t="str">
        <x:v>GRC</x:v>
      </x:c>
      <x:c r="M50" s="14" t="str">
        <x:v>GR</x:v>
      </x:c>
      <x:c r="N50" s="14" t="str">
        <x:v>Αμφίπολη</x:v>
      </x:c>
      <x:c r="O50" s="14" t="str">
        <x:v>Pleiades representative point</x:v>
      </x:c>
      <x:c r="P50" s="16"/>
      <x:c r="Q50" s="16"/>
      <x:c r="R50" s="14" t="str">
        <x:v>src-pleiades-501347</x:v>
      </x:c>
      <x:c r="S50" s="14" t="str">
        <x:v>reviewed</x:v>
      </x:c>
    </x:row>
    <x:row r="51" ht="40" customHeight="1">
      <x:c r="A51" s="14" t="str">
        <x:v>place-colony-ancona</x:v>
      </x:c>
      <x:c r="B51" s="14" t="str">
        <x:v>colony-ancona</x:v>
      </x:c>
      <x:c r="C51" s="22" t="n">
        <x:v>43.618993</x:v>
      </x:c>
      <x:c r="D51" s="22" t="n">
        <x:v>13.516073</x:v>
      </x:c>
      <x:c r="E51" s="16" t="str">
        <x:v>POINT (13.516073 43.618993)</x:v>
      </x:c>
      <x:c r="F51" s="16" t="str">
        <x:v>{"coordinates":[13.516073,43.618993],"type":"Point"}</x:v>
      </x:c>
      <x:c r="G51" s="14" t="str">
        <x:v>site</x:v>
      </x:c>
      <x:c r="H51" s="14" t="str">
        <x:v>high</x:v>
      </x:c>
      <x:c r="I51" s="14" t="str">
        <x:v>exact</x:v>
      </x:c>
      <x:c r="J51" s="14" t="str">
        <x:v>Ιταλία</x:v>
      </x:c>
      <x:c r="K51" s="14" t="str">
        <x:v>Italy</x:v>
      </x:c>
      <x:c r="L51" s="14" t="str">
        <x:v>ITA</x:v>
      </x:c>
      <x:c r="M51" s="14" t="str">
        <x:v>IT</x:v>
      </x:c>
      <x:c r="N51" s="14" t="str">
        <x:v>Ancona</x:v>
      </x:c>
      <x:c r="O51" s="14" t="str">
        <x:v>Pleiades representative point</x:v>
      </x:c>
      <x:c r="P51" s="16"/>
      <x:c r="Q51" s="16"/>
      <x:c r="R51" s="14" t="str">
        <x:v>src-pleiades-413014</x:v>
      </x:c>
      <x:c r="S51" s="14" t="str">
        <x:v>reviewed</x:v>
      </x:c>
    </x:row>
    <x:row r="52" ht="40" customHeight="1">
      <x:c r="A52" s="14" t="str">
        <x:v>place-colony-apollonia-cyrenaica</x:v>
      </x:c>
      <x:c r="B52" s="14" t="str">
        <x:v>colony-apollonia-cyrenaica</x:v>
      </x:c>
      <x:c r="C52" s="22" t="n">
        <x:v>32.902344</x:v>
      </x:c>
      <x:c r="D52" s="22" t="n">
        <x:v>21.970831</x:v>
      </x:c>
      <x:c r="E52" s="16" t="str">
        <x:v>POINT (21.970831 32.902344)</x:v>
      </x:c>
      <x:c r="F52" s="16" t="str">
        <x:v>{"coordinates":[21.970831,32.902344],"type":"Point"}</x:v>
      </x:c>
      <x:c r="G52" s="14" t="str">
        <x:v>site</x:v>
      </x:c>
      <x:c r="H52" s="14" t="str">
        <x:v>high</x:v>
      </x:c>
      <x:c r="I52" s="14" t="str">
        <x:v>approximate</x:v>
      </x:c>
      <x:c r="J52" s="14" t="str">
        <x:v>Λιβύη</x:v>
      </x:c>
      <x:c r="K52" s="14" t="str">
        <x:v>Libya</x:v>
      </x:c>
      <x:c r="L52" s="14" t="str">
        <x:v>LBY</x:v>
      </x:c>
      <x:c r="M52" s="14" t="str">
        <x:v>LY</x:v>
      </x:c>
      <x:c r="N52" s="14" t="str">
        <x:v>Marsa Susa</x:v>
      </x:c>
      <x:c r="O52" s="14" t="str">
        <x:v>Pleiades representative point</x:v>
      </x:c>
      <x:c r="P52" s="16"/>
      <x:c r="Q52" s="16"/>
      <x:c r="R52" s="14" t="str">
        <x:v>src-pleiades-373732</x:v>
      </x:c>
      <x:c r="S52" s="14" t="str">
        <x:v>reviewed</x:v>
      </x:c>
    </x:row>
    <x:row r="53" ht="40" customHeight="1">
      <x:c r="A53" s="14" t="str">
        <x:v>place-colony-apollonia-illyria</x:v>
      </x:c>
      <x:c r="B53" s="14" t="str">
        <x:v>colony-apollonia-illyria</x:v>
      </x:c>
      <x:c r="C53" s="22" t="n">
        <x:v>40.720191</x:v>
      </x:c>
      <x:c r="D53" s="22" t="n">
        <x:v>19.46926</x:v>
      </x:c>
      <x:c r="E53" s="16" t="str">
        <x:v>POINT (19.46926 40.720191)</x:v>
      </x:c>
      <x:c r="F53" s="16" t="str">
        <x:v>{"coordinates":[19.46926,40.720191],"type":"Point"}</x:v>
      </x:c>
      <x:c r="G53" s="14" t="str">
        <x:v>site</x:v>
      </x:c>
      <x:c r="H53" s="14" t="str">
        <x:v>high</x:v>
      </x:c>
      <x:c r="I53" s="14" t="str">
        <x:v>exact</x:v>
      </x:c>
      <x:c r="J53" s="14" t="str">
        <x:v>Αλβανία</x:v>
      </x:c>
      <x:c r="K53" s="14" t="str">
        <x:v>Albania</x:v>
      </x:c>
      <x:c r="L53" s="14" t="str">
        <x:v>ALB</x:v>
      </x:c>
      <x:c r="M53" s="14" t="str">
        <x:v>AL</x:v>
      </x:c>
      <x:c r="N53" s="14" t="str">
        <x:v>Pojan, Fier</x:v>
      </x:c>
      <x:c r="O53" s="14" t="str">
        <x:v>Pleiades representative point</x:v>
      </x:c>
      <x:c r="P53" s="16"/>
      <x:c r="Q53" s="16"/>
      <x:c r="R53" s="14" t="str">
        <x:v>src-pleiades-481728</x:v>
      </x:c>
      <x:c r="S53" s="14" t="str">
        <x:v>reviewed</x:v>
      </x:c>
    </x:row>
    <x:row r="54" ht="40" customHeight="1">
      <x:c r="A54" s="14" t="str">
        <x:v>place-colony-apollonia-pontica</x:v>
      </x:c>
      <x:c r="B54" s="14" t="str">
        <x:v>colony-apollonia-pontica</x:v>
      </x:c>
      <x:c r="C54" s="22" t="n">
        <x:v>42.420355</x:v>
      </x:c>
      <x:c r="D54" s="22" t="n">
        <x:v>27.694272</x:v>
      </x:c>
      <x:c r="E54" s="16" t="str">
        <x:v>POINT (27.694272 42.420355)</x:v>
      </x:c>
      <x:c r="F54" s="16" t="str">
        <x:v>{"coordinates":[27.694272,42.420355],"type":"Point"}</x:v>
      </x:c>
      <x:c r="G54" s="14" t="str">
        <x:v>site</x:v>
      </x:c>
      <x:c r="H54" s="14" t="str">
        <x:v>high</x:v>
      </x:c>
      <x:c r="I54" s="14" t="str">
        <x:v>exact</x:v>
      </x:c>
      <x:c r="J54" s="14" t="str">
        <x:v>Βουλγαρία</x:v>
      </x:c>
      <x:c r="K54" s="14" t="str">
        <x:v>Bulgaria</x:v>
      </x:c>
      <x:c r="L54" s="14" t="str">
        <x:v>BGR</x:v>
      </x:c>
      <x:c r="M54" s="14" t="str">
        <x:v>BG</x:v>
      </x:c>
      <x:c r="N54" s="14" t="str">
        <x:v>Sozopol</x:v>
      </x:c>
      <x:c r="O54" s="14" t="str">
        <x:v>Pleiades representative point</x:v>
      </x:c>
      <x:c r="P54" s="16"/>
      <x:c r="Q54" s="16"/>
      <x:c r="R54" s="14" t="str">
        <x:v>src-pleiades-216706</x:v>
      </x:c>
      <x:c r="S54" s="14" t="str">
        <x:v>reviewed</x:v>
      </x:c>
    </x:row>
    <x:row r="55" ht="40" customHeight="1">
      <x:c r="A55" s="14" t="str">
        <x:v>place-colony-assos</x:v>
      </x:c>
      <x:c r="B55" s="14" t="str">
        <x:v>colony-assos</x:v>
      </x:c>
      <x:c r="C55" s="22" t="n">
        <x:v>39.490135</x:v>
      </x:c>
      <x:c r="D55" s="22" t="n">
        <x:v>26.336352</x:v>
      </x:c>
      <x:c r="E55" s="16" t="str">
        <x:v>POINT (26.336352 39.490135)</x:v>
      </x:c>
      <x:c r="F55" s="16" t="str">
        <x:v>{"coordinates":[26.336352,39.490135],"type":"Point"}</x:v>
      </x:c>
      <x:c r="G55" s="14" t="str">
        <x:v>site</x:v>
      </x:c>
      <x:c r="H55" s="14" t="str">
        <x:v>high</x:v>
      </x:c>
      <x:c r="I55" s="14" t="str">
        <x:v>exact</x:v>
      </x:c>
      <x:c r="J55" s="14" t="str">
        <x:v>Τουρκία</x:v>
      </x:c>
      <x:c r="K55" s="14" t="str">
        <x:v>Turkey</x:v>
      </x:c>
      <x:c r="L55" s="14" t="str">
        <x:v>TUR</x:v>
      </x:c>
      <x:c r="M55" s="14" t="str">
        <x:v>TR</x:v>
      </x:c>
      <x:c r="N55" s="14" t="str">
        <x:v>Behramkale, Çanakkale</x:v>
      </x:c>
      <x:c r="O55" s="14" t="str">
        <x:v>Pleiades representative point</x:v>
      </x:c>
      <x:c r="P55" s="16"/>
      <x:c r="Q55" s="16"/>
      <x:c r="R55" s="14" t="str">
        <x:v>src-pleiades-550463</x:v>
      </x:c>
      <x:c r="S55" s="14" t="str">
        <x:v>reviewed</x:v>
      </x:c>
    </x:row>
    <x:row r="56" ht="40" customHeight="1">
      <x:c r="A56" s="14" t="str">
        <x:v>place-colony-barca-cyrenaica</x:v>
      </x:c>
      <x:c r="B56" s="14" t="str">
        <x:v>colony-barca-cyrenaica</x:v>
      </x:c>
      <x:c r="C56" s="22" t="n">
        <x:v>32.499653</x:v>
      </x:c>
      <x:c r="D56" s="22" t="n">
        <x:v>20.871743</x:v>
      </x:c>
      <x:c r="E56" s="16" t="str">
        <x:v>POINT (20.871743 32.499653)</x:v>
      </x:c>
      <x:c r="F56" s="16" t="str">
        <x:v>{"coordinates":[20.871743,32.499653],"type":"Point"}</x:v>
      </x:c>
      <x:c r="G56" s="14" t="str">
        <x:v>site</x:v>
      </x:c>
      <x:c r="H56" s="14" t="str">
        <x:v>high</x:v>
      </x:c>
      <x:c r="I56" s="14" t="str">
        <x:v>exact</x:v>
      </x:c>
      <x:c r="J56" s="14" t="str">
        <x:v>Λιβύη</x:v>
      </x:c>
      <x:c r="K56" s="14" t="str">
        <x:v>Libya</x:v>
      </x:c>
      <x:c r="L56" s="14" t="str">
        <x:v>LBY</x:v>
      </x:c>
      <x:c r="M56" s="14" t="str">
        <x:v>LY</x:v>
      </x:c>
      <x:c r="N56" s="14" t="str">
        <x:v>Al Marj area</x:v>
      </x:c>
      <x:c r="O56" s="14" t="str">
        <x:v>Pleiades representative point</x:v>
      </x:c>
      <x:c r="P56" s="16"/>
      <x:c r="Q56" s="16"/>
      <x:c r="R56" s="14" t="str">
        <x:v>src-pleiades-373750</x:v>
      </x:c>
      <x:c r="S56" s="14" t="str">
        <x:v>reviewed</x:v>
      </x:c>
    </x:row>
    <x:row r="57" ht="40" customHeight="1">
      <x:c r="A57" s="14" t="str">
        <x:v>place-colony-byzantium</x:v>
      </x:c>
      <x:c r="B57" s="14" t="str">
        <x:v>colony-byzantium</x:v>
      </x:c>
      <x:c r="C57" s="22" t="n">
        <x:v>41.005902</x:v>
      </x:c>
      <x:c r="D57" s="22" t="n">
        <x:v>28.973881</x:v>
      </x:c>
      <x:c r="E57" s="16" t="str">
        <x:v>POINT (28.973881 41.005902)</x:v>
      </x:c>
      <x:c r="F57" s="16" t="str">
        <x:v>{"coordinates":[28.973881,41.005902],"type":"Point"}</x:v>
      </x:c>
      <x:c r="G57" s="14" t="str">
        <x:v>site</x:v>
      </x:c>
      <x:c r="H57" s="14" t="str">
        <x:v>high</x:v>
      </x:c>
      <x:c r="I57" s="14" t="str">
        <x:v>exact</x:v>
      </x:c>
      <x:c r="J57" s="14" t="str">
        <x:v>Τουρκία</x:v>
      </x:c>
      <x:c r="K57" s="14" t="str">
        <x:v>Turkey</x:v>
      </x:c>
      <x:c r="L57" s="14" t="str">
        <x:v>TUR</x:v>
      </x:c>
      <x:c r="M57" s="14" t="str">
        <x:v>TR</x:v>
      </x:c>
      <x:c r="N57" s="14" t="str">
        <x:v>İstanbul</x:v>
      </x:c>
      <x:c r="O57" s="14" t="str">
        <x:v>Pleiades representative point</x:v>
      </x:c>
      <x:c r="P57" s="16"/>
      <x:c r="Q57" s="16"/>
      <x:c r="R57" s="14" t="str">
        <x:v>src-pleiades-520985</x:v>
      </x:c>
      <x:c r="S57" s="14" t="str">
        <x:v>reviewed</x:v>
      </x:c>
    </x:row>
    <x:row r="58" ht="40" customHeight="1">
      <x:c r="A58" s="14" t="str">
        <x:v>place-colony-callatis</x:v>
      </x:c>
      <x:c r="B58" s="14" t="str">
        <x:v>colony-callatis</x:v>
      </x:c>
      <x:c r="C58" s="22" t="n">
        <x:v>43.817152</x:v>
      </x:c>
      <x:c r="D58" s="22" t="n">
        <x:v>28.58275</x:v>
      </x:c>
      <x:c r="E58" s="16" t="str">
        <x:v>POINT (28.58275 43.817152)</x:v>
      </x:c>
      <x:c r="F58" s="16" t="str">
        <x:v>{"coordinates":[28.58275,43.817152],"type":"Point"}</x:v>
      </x:c>
      <x:c r="G58" s="14" t="str">
        <x:v>site</x:v>
      </x:c>
      <x:c r="H58" s="14" t="str">
        <x:v>high</x:v>
      </x:c>
      <x:c r="I58" s="14" t="str">
        <x:v>exact</x:v>
      </x:c>
      <x:c r="J58" s="14" t="str">
        <x:v>Ρουμανία</x:v>
      </x:c>
      <x:c r="K58" s="14" t="str">
        <x:v>Romania</x:v>
      </x:c>
      <x:c r="L58" s="14" t="str">
        <x:v>ROU</x:v>
      </x:c>
      <x:c r="M58" s="14" t="str">
        <x:v>RO</x:v>
      </x:c>
      <x:c r="N58" s="14" t="str">
        <x:v>Mangalia</x:v>
      </x:c>
      <x:c r="O58" s="14" t="str">
        <x:v>Pleiades representative point</x:v>
      </x:c>
      <x:c r="P58" s="16"/>
      <x:c r="Q58" s="16"/>
      <x:c r="R58" s="14" t="str">
        <x:v>src-pleiades-216744</x:v>
      </x:c>
      <x:c r="S58" s="14" t="str">
        <x:v>reviewed</x:v>
      </x:c>
    </x:row>
    <x:row r="59" ht="40" customHeight="1">
      <x:c r="A59" s="14" t="str">
        <x:v>place-colony-catana</x:v>
      </x:c>
      <x:c r="B59" s="14" t="str">
        <x:v>colony-catana</x:v>
      </x:c>
      <x:c r="C59" s="22" t="n">
        <x:v>37.502959</x:v>
      </x:c>
      <x:c r="D59" s="22" t="n">
        <x:v>15.088142</x:v>
      </x:c>
      <x:c r="E59" s="16" t="str">
        <x:v>POINT (15.088142 37.502959)</x:v>
      </x:c>
      <x:c r="F59" s="16" t="str">
        <x:v>{"coordinates":[15.088142,37.502959],"type":"Point"}</x:v>
      </x:c>
      <x:c r="G59" s="14" t="str">
        <x:v>site</x:v>
      </x:c>
      <x:c r="H59" s="14" t="str">
        <x:v>high</x:v>
      </x:c>
      <x:c r="I59" s="14" t="str">
        <x:v>exact</x:v>
      </x:c>
      <x:c r="J59" s="14" t="str">
        <x:v>Ιταλία</x:v>
      </x:c>
      <x:c r="K59" s="14" t="str">
        <x:v>Italy</x:v>
      </x:c>
      <x:c r="L59" s="14" t="str">
        <x:v>ITA</x:v>
      </x:c>
      <x:c r="M59" s="14" t="str">
        <x:v>IT</x:v>
      </x:c>
      <x:c r="N59" s="14" t="str">
        <x:v>Catania</x:v>
      </x:c>
      <x:c r="O59" s="14" t="str">
        <x:v>Pleiades representative point</x:v>
      </x:c>
      <x:c r="P59" s="16"/>
      <x:c r="Q59" s="16"/>
      <x:c r="R59" s="14" t="str">
        <x:v>src-pleiades-462270</x:v>
      </x:c>
      <x:c r="S59" s="14" t="str">
        <x:v>reviewed</x:v>
      </x:c>
    </x:row>
    <x:row r="60" ht="40" customHeight="1">
      <x:c r="A60" s="14" t="str">
        <x:v>place-colony-chalcedon</x:v>
      </x:c>
      <x:c r="B60" s="14" t="str">
        <x:v>colony-chalcedon</x:v>
      </x:c>
      <x:c r="C60" s="22" t="n">
        <x:v>40.983393</x:v>
      </x:c>
      <x:c r="D60" s="22" t="n">
        <x:v>29.025789</x:v>
      </x:c>
      <x:c r="E60" s="16" t="str">
        <x:v>POINT (29.025789 40.983393)</x:v>
      </x:c>
      <x:c r="F60" s="16" t="str">
        <x:v>{"coordinates":[29.025789,40.983393],"type":"Point"}</x:v>
      </x:c>
      <x:c r="G60" s="14" t="str">
        <x:v>site</x:v>
      </x:c>
      <x:c r="H60" s="14" t="str">
        <x:v>high</x:v>
      </x:c>
      <x:c r="I60" s="14" t="str">
        <x:v>exact</x:v>
      </x:c>
      <x:c r="J60" s="14" t="str">
        <x:v>Τουρκία</x:v>
      </x:c>
      <x:c r="K60" s="14" t="str">
        <x:v>Turkey</x:v>
      </x:c>
      <x:c r="L60" s="14" t="str">
        <x:v>TUR</x:v>
      </x:c>
      <x:c r="M60" s="14" t="str">
        <x:v>TR</x:v>
      </x:c>
      <x:c r="N60" s="14" t="str">
        <x:v>Kadıköy, İstanbul</x:v>
      </x:c>
      <x:c r="O60" s="14" t="str">
        <x:v>Pleiades representative point</x:v>
      </x:c>
      <x:c r="P60" s="16"/>
      <x:c r="Q60" s="16"/>
      <x:c r="R60" s="14" t="str">
        <x:v>src-pleiades-520988</x:v>
      </x:c>
      <x:c r="S60" s="14" t="str">
        <x:v>reviewed</x:v>
      </x:c>
    </x:row>
    <x:row r="61" ht="40" customHeight="1">
      <x:c r="A61" s="14" t="str">
        <x:v>place-colony-chersonesus-taurica</x:v>
      </x:c>
      <x:c r="B61" s="14" t="str">
        <x:v>colony-chersonesus-taurica</x:v>
      </x:c>
      <x:c r="C61" s="22" t="n">
        <x:v>44.611093</x:v>
      </x:c>
      <x:c r="D61" s="22" t="n">
        <x:v>33.492258</x:v>
      </x:c>
      <x:c r="E61" s="16" t="str">
        <x:v>POINT (33.492258 44.611093)</x:v>
      </x:c>
      <x:c r="F61" s="16" t="str">
        <x:v>{"coordinates":[33.492258,44.611093],"type":"Point"}</x:v>
      </x:c>
      <x:c r="G61" s="14" t="str">
        <x:v>site</x:v>
      </x:c>
      <x:c r="H61" s="14" t="str">
        <x:v>high</x:v>
      </x:c>
      <x:c r="I61" s="14" t="str">
        <x:v>exact</x:v>
      </x:c>
      <x:c r="J61" s="14" t="str">
        <x:v>Ουκρανία</x:v>
      </x:c>
      <x:c r="K61" s="14" t="str">
        <x:v>Ukraine</x:v>
      </x:c>
      <x:c r="L61" s="14" t="str">
        <x:v>UKR</x:v>
      </x:c>
      <x:c r="M61" s="14" t="str">
        <x:v>UA</x:v>
      </x:c>
      <x:c r="N61" s="14" t="str">
        <x:v>Sevastopol, Crimea</x:v>
      </x:c>
      <x:c r="O61" s="14" t="str">
        <x:v>Pleiades representative point</x:v>
      </x:c>
      <x:c r="P61" s="16"/>
      <x:c r="Q61" s="16"/>
      <x:c r="R61" s="14" t="str">
        <x:v>src-pleiades-226564</x:v>
      </x:c>
      <x:c r="S61" s="14" t="str">
        <x:v>reviewed</x:v>
      </x:c>
    </x:row>
    <x:row r="62" ht="40" customHeight="1">
      <x:c r="A62" s="14" t="str">
        <x:v>place-colony-clazomenae</x:v>
      </x:c>
      <x:c r="B62" s="14" t="str">
        <x:v>colony-clazomenae</x:v>
      </x:c>
      <x:c r="C62" s="22" t="n">
        <x:v>38.373048</x:v>
      </x:c>
      <x:c r="D62" s="22" t="n">
        <x:v>26.78662</x:v>
      </x:c>
      <x:c r="E62" s="16" t="str">
        <x:v>POINT (26.78662 38.373048)</x:v>
      </x:c>
      <x:c r="F62" s="16" t="str">
        <x:v>{"coordinates":[26.78662,38.373048],"type":"Point"}</x:v>
      </x:c>
      <x:c r="G62" s="14" t="str">
        <x:v>site</x:v>
      </x:c>
      <x:c r="H62" s="14" t="str">
        <x:v>high</x:v>
      </x:c>
      <x:c r="I62" s="14" t="str">
        <x:v>exact</x:v>
      </x:c>
      <x:c r="J62" s="14" t="str">
        <x:v>Τουρκία</x:v>
      </x:c>
      <x:c r="K62" s="14" t="str">
        <x:v>Turkey</x:v>
      </x:c>
      <x:c r="L62" s="14" t="str">
        <x:v>TUR</x:v>
      </x:c>
      <x:c r="M62" s="14" t="str">
        <x:v>TR</x:v>
      </x:c>
      <x:c r="N62" s="14" t="str">
        <x:v>Urla, İzmir</x:v>
      </x:c>
      <x:c r="O62" s="14" t="str">
        <x:v>Pleiades representative point</x:v>
      </x:c>
      <x:c r="P62" s="16"/>
      <x:c r="Q62" s="16"/>
      <x:c r="R62" s="14" t="str">
        <x:v>src-pleiades-550651</x:v>
      </x:c>
      <x:c r="S62" s="14" t="str">
        <x:v>reviewed</x:v>
      </x:c>
    </x:row>
    <x:row r="63" ht="40" customHeight="1">
      <x:c r="A63" s="14" t="str">
        <x:v>place-colony-cnidus</x:v>
      </x:c>
      <x:c r="B63" s="14" t="str">
        <x:v>colony-cnidus</x:v>
      </x:c>
      <x:c r="C63" s="22" t="n">
        <x:v>36.68818</x:v>
      </x:c>
      <x:c r="D63" s="22" t="n">
        <x:v>27.372839</x:v>
      </x:c>
      <x:c r="E63" s="16" t="str">
        <x:v>POINT (27.372839 36.68818)</x:v>
      </x:c>
      <x:c r="F63" s="16" t="str">
        <x:v>{"coordinates":[27.372839,36.68818],"type":"Point"}</x:v>
      </x:c>
      <x:c r="G63" s="14" t="str">
        <x:v>site</x:v>
      </x:c>
      <x:c r="H63" s="14" t="str">
        <x:v>high</x:v>
      </x:c>
      <x:c r="I63" s="14" t="str">
        <x:v>exact</x:v>
      </x:c>
      <x:c r="J63" s="14" t="str">
        <x:v>Τουρκία</x:v>
      </x:c>
      <x:c r="K63" s="14" t="str">
        <x:v>Turkey</x:v>
      </x:c>
      <x:c r="L63" s="14" t="str">
        <x:v>TUR</x:v>
      </x:c>
      <x:c r="M63" s="14" t="str">
        <x:v>TR</x:v>
      </x:c>
      <x:c r="N63" s="14" t="str">
        <x:v>Tekir Burnu, Datça</x:v>
      </x:c>
      <x:c r="O63" s="14" t="str">
        <x:v>Pleiades representative point</x:v>
      </x:c>
      <x:c r="P63" s="16"/>
      <x:c r="Q63" s="16"/>
      <x:c r="R63" s="14" t="str">
        <x:v>src-pleiades-599575</x:v>
      </x:c>
      <x:c r="S63" s="14" t="str">
        <x:v>reviewed</x:v>
      </x:c>
    </x:row>
    <x:row r="64" ht="40" customHeight="1">
      <x:c r="A64" s="14" t="str">
        <x:v>place-colony-colophon</x:v>
      </x:c>
      <x:c r="B64" s="14" t="str">
        <x:v>colony-colophon</x:v>
      </x:c>
      <x:c r="C64" s="22" t="n">
        <x:v>38.108253</x:v>
      </x:c>
      <x:c r="D64" s="22" t="n">
        <x:v>27.148308</x:v>
      </x:c>
      <x:c r="E64" s="16" t="str">
        <x:v>POINT (27.148308 38.108253)</x:v>
      </x:c>
      <x:c r="F64" s="16" t="str">
        <x:v>{"coordinates":[27.148308,38.108253],"type":"Point"}</x:v>
      </x:c>
      <x:c r="G64" s="14" t="str">
        <x:v>site</x:v>
      </x:c>
      <x:c r="H64" s="14" t="str">
        <x:v>high</x:v>
      </x:c>
      <x:c r="I64" s="14" t="str">
        <x:v>exact</x:v>
      </x:c>
      <x:c r="J64" s="14" t="str">
        <x:v>Τουρκία</x:v>
      </x:c>
      <x:c r="K64" s="14" t="str">
        <x:v>Turkey</x:v>
      </x:c>
      <x:c r="L64" s="14" t="str">
        <x:v>TUR</x:v>
      </x:c>
      <x:c r="M64" s="14" t="str">
        <x:v>TR</x:v>
      </x:c>
      <x:c r="N64" s="14" t="str">
        <x:v>Değirmendere, İzmir</x:v>
      </x:c>
      <x:c r="O64" s="14" t="str">
        <x:v>Pleiades representative point</x:v>
      </x:c>
      <x:c r="P64" s="16"/>
      <x:c r="Q64" s="16"/>
      <x:c r="R64" s="14" t="str">
        <x:v>src-pleiades-599577</x:v>
      </x:c>
      <x:c r="S64" s="14" t="str">
        <x:v>reviewed</x:v>
      </x:c>
    </x:row>
    <x:row r="65" ht="40" customHeight="1">
      <x:c r="A65" s="14" t="str">
        <x:v>place-colony-corcyra</x:v>
      </x:c>
      <x:c r="B65" s="14" t="str">
        <x:v>colony-corcyra</x:v>
      </x:c>
      <x:c r="C65" s="22" t="n">
        <x:v>39.60813</x:v>
      </x:c>
      <x:c r="D65" s="22" t="n">
        <x:v>19.906703</x:v>
      </x:c>
      <x:c r="E65" s="16" t="str">
        <x:v>POINT (19.906703 39.60813)</x:v>
      </x:c>
      <x:c r="F65" s="16" t="str">
        <x:v>{"coordinates":[19.906703,39.60813],"type":"Point"}</x:v>
      </x:c>
      <x:c r="G65" s="14" t="str">
        <x:v>site</x:v>
      </x:c>
      <x:c r="H65" s="14" t="str">
        <x:v>high</x:v>
      </x:c>
      <x:c r="I65" s="14" t="str">
        <x:v>exact</x:v>
      </x:c>
      <x:c r="J65" s="14" t="str">
        <x:v>Ελλάδα</x:v>
      </x:c>
      <x:c r="K65" s="14" t="str">
        <x:v>Greece</x:v>
      </x:c>
      <x:c r="L65" s="14" t="str">
        <x:v>GRC</x:v>
      </x:c>
      <x:c r="M65" s="14" t="str">
        <x:v>GR</x:v>
      </x:c>
      <x:c r="N65" s="14" t="str">
        <x:v>Κέρκυρα</x:v>
      </x:c>
      <x:c r="O65" s="14" t="str">
        <x:v>Pleiades representative point</x:v>
      </x:c>
      <x:c r="P65" s="16"/>
      <x:c r="Q65" s="16"/>
      <x:c r="R65" s="14" t="str">
        <x:v>src-pleiades-530834</x:v>
      </x:c>
      <x:c r="S65" s="14" t="str">
        <x:v>reviewed</x:v>
      </x:c>
    </x:row>
    <x:row r="66" ht="40" customHeight="1">
      <x:c r="A66" s="14" t="str">
        <x:v>place-colony-croton</x:v>
      </x:c>
      <x:c r="B66" s="14" t="str">
        <x:v>colony-croton</x:v>
      </x:c>
      <x:c r="C66" s="22" t="n">
        <x:v>39.081167</x:v>
      </x:c>
      <x:c r="D66" s="22" t="n">
        <x:v>17.127966</x:v>
      </x:c>
      <x:c r="E66" s="16" t="str">
        <x:v>POINT (17.127966 39.081167)</x:v>
      </x:c>
      <x:c r="F66" s="16" t="str">
        <x:v>{"coordinates":[17.127966,39.081167],"type":"Point"}</x:v>
      </x:c>
      <x:c r="G66" s="14" t="str">
        <x:v>site</x:v>
      </x:c>
      <x:c r="H66" s="14" t="str">
        <x:v>high</x:v>
      </x:c>
      <x:c r="I66" s="14" t="str">
        <x:v>exact</x:v>
      </x:c>
      <x:c r="J66" s="14" t="str">
        <x:v>Ιταλία</x:v>
      </x:c>
      <x:c r="K66" s="14" t="str">
        <x:v>Italy</x:v>
      </x:c>
      <x:c r="L66" s="14" t="str">
        <x:v>ITA</x:v>
      </x:c>
      <x:c r="M66" s="14" t="str">
        <x:v>IT</x:v>
      </x:c>
      <x:c r="N66" s="14" t="str">
        <x:v>Crotone</x:v>
      </x:c>
      <x:c r="O66" s="14" t="str">
        <x:v>Pleiades representative point</x:v>
      </x:c>
      <x:c r="P66" s="16"/>
      <x:c r="Q66" s="16"/>
      <x:c r="R66" s="14" t="str">
        <x:v>src-pleiades-452317</x:v>
      </x:c>
      <x:c r="S66" s="14" t="str">
        <x:v>reviewed</x:v>
      </x:c>
    </x:row>
    <x:row r="67" ht="40" customHeight="1">
      <x:c r="A67" s="14" t="str">
        <x:v>place-colony-cumae-campania</x:v>
      </x:c>
      <x:c r="B67" s="14" t="str">
        <x:v>colony-cumae-campania</x:v>
      </x:c>
      <x:c r="C67" s="22" t="n">
        <x:v>40.84795</x:v>
      </x:c>
      <x:c r="D67" s="22" t="n">
        <x:v>14.056381</x:v>
      </x:c>
      <x:c r="E67" s="16" t="str">
        <x:v>POINT (14.056381 40.84795)</x:v>
      </x:c>
      <x:c r="F67" s="16" t="str">
        <x:v>{"coordinates":[14.056381,40.84795],"type":"Point"}</x:v>
      </x:c>
      <x:c r="G67" s="14" t="str">
        <x:v>site</x:v>
      </x:c>
      <x:c r="H67" s="14" t="str">
        <x:v>high</x:v>
      </x:c>
      <x:c r="I67" s="14" t="str">
        <x:v>exact</x:v>
      </x:c>
      <x:c r="J67" s="14" t="str">
        <x:v>Ιταλία</x:v>
      </x:c>
      <x:c r="K67" s="14" t="str">
        <x:v>Italy</x:v>
      </x:c>
      <x:c r="L67" s="14" t="str">
        <x:v>ITA</x:v>
      </x:c>
      <x:c r="M67" s="14" t="str">
        <x:v>IT</x:v>
      </x:c>
      <x:c r="N67" s="14" t="str">
        <x:v>Cuma, Campania</x:v>
      </x:c>
      <x:c r="O67" s="14" t="str">
        <x:v>Pleiades representative point</x:v>
      </x:c>
      <x:c r="P67" s="16"/>
      <x:c r="Q67" s="16"/>
      <x:c r="R67" s="14" t="str">
        <x:v>src-pleiades-432808</x:v>
      </x:c>
      <x:c r="S67" s="14" t="str">
        <x:v>reviewed</x:v>
      </x:c>
    </x:row>
    <x:row r="68" ht="40" customHeight="1">
      <x:c r="A68" s="14" t="str">
        <x:v>place-colony-cyme-aeolis</x:v>
      </x:c>
      <x:c r="B68" s="14" t="str">
        <x:v>colony-cyme-aeolis</x:v>
      </x:c>
      <x:c r="C68" s="22" t="n">
        <x:v>38.760193</x:v>
      </x:c>
      <x:c r="D68" s="22" t="n">
        <x:v>26.938319</x:v>
      </x:c>
      <x:c r="E68" s="16" t="str">
        <x:v>POINT (26.938319 38.760193)</x:v>
      </x:c>
      <x:c r="F68" s="16" t="str">
        <x:v>{"coordinates":[26.938319,38.760193],"type":"Point"}</x:v>
      </x:c>
      <x:c r="G68" s="14" t="str">
        <x:v>site</x:v>
      </x:c>
      <x:c r="H68" s="14" t="str">
        <x:v>high</x:v>
      </x:c>
      <x:c r="I68" s="14" t="str">
        <x:v>exact</x:v>
      </x:c>
      <x:c r="J68" s="14" t="str">
        <x:v>Τουρκία</x:v>
      </x:c>
      <x:c r="K68" s="14" t="str">
        <x:v>Turkey</x:v>
      </x:c>
      <x:c r="L68" s="14" t="str">
        <x:v>TUR</x:v>
      </x:c>
      <x:c r="M68" s="14" t="str">
        <x:v>TR</x:v>
      </x:c>
      <x:c r="N68" s="14" t="str">
        <x:v>Aliağa, İzmir</x:v>
      </x:c>
      <x:c r="O68" s="14" t="str">
        <x:v>Pleiades representative point</x:v>
      </x:c>
      <x:c r="P68" s="16"/>
      <x:c r="Q68" s="16"/>
      <x:c r="R68" s="14" t="str">
        <x:v>src-pleiades-550506</x:v>
      </x:c>
      <x:c r="S68" s="14" t="str">
        <x:v>reviewed</x:v>
      </x:c>
    </x:row>
    <x:row r="69" ht="40" customHeight="1">
      <x:c r="A69" s="14" t="str">
        <x:v>place-colony-cyrene</x:v>
      </x:c>
      <x:c r="B69" s="14" t="str">
        <x:v>colony-cyrene</x:v>
      </x:c>
      <x:c r="C69" s="22" t="n">
        <x:v>32.820027</x:v>
      </x:c>
      <x:c r="D69" s="22" t="n">
        <x:v>21.856539</x:v>
      </x:c>
      <x:c r="E69" s="16" t="str">
        <x:v>POINT (21.856539 32.820027)</x:v>
      </x:c>
      <x:c r="F69" s="16" t="str">
        <x:v>{"coordinates":[21.856539,32.820027],"type":"Point"}</x:v>
      </x:c>
      <x:c r="G69" s="14" t="str">
        <x:v>site</x:v>
      </x:c>
      <x:c r="H69" s="14" t="str">
        <x:v>high</x:v>
      </x:c>
      <x:c r="I69" s="14" t="str">
        <x:v>exact</x:v>
      </x:c>
      <x:c r="J69" s="14" t="str">
        <x:v>Λιβύη</x:v>
      </x:c>
      <x:c r="K69" s="14" t="str">
        <x:v>Libya</x:v>
      </x:c>
      <x:c r="L69" s="14" t="str">
        <x:v>LBY</x:v>
      </x:c>
      <x:c r="M69" s="14" t="str">
        <x:v>LY</x:v>
      </x:c>
      <x:c r="N69" s="14" t="str">
        <x:v>Shahhat</x:v>
      </x:c>
      <x:c r="O69" s="14" t="str">
        <x:v>Pleiades representative point</x:v>
      </x:c>
      <x:c r="P69" s="16"/>
      <x:c r="Q69" s="16"/>
      <x:c r="R69" s="14" t="str">
        <x:v>src-pleiades-373778</x:v>
      </x:c>
      <x:c r="S69" s="14" t="str">
        <x:v>reviewed</x:v>
      </x:c>
    </x:row>
    <x:row r="70" ht="40" customHeight="1">
      <x:c r="A70" s="14" t="str">
        <x:v>place-colony-cyzicus</x:v>
      </x:c>
      <x:c r="B70" s="14" t="str">
        <x:v>colony-cyzicus</x:v>
      </x:c>
      <x:c r="C70" s="22" t="n">
        <x:v>40.385565</x:v>
      </x:c>
      <x:c r="D70" s="22" t="n">
        <x:v>27.883191</x:v>
      </x:c>
      <x:c r="E70" s="16" t="str">
        <x:v>POINT (27.883191 40.385565)</x:v>
      </x:c>
      <x:c r="F70" s="16" t="str">
        <x:v>{"coordinates":[27.883191,40.385565],"type":"Point"}</x:v>
      </x:c>
      <x:c r="G70" s="14" t="str">
        <x:v>site</x:v>
      </x:c>
      <x:c r="H70" s="14" t="str">
        <x:v>high</x:v>
      </x:c>
      <x:c r="I70" s="14" t="str">
        <x:v>exact</x:v>
      </x:c>
      <x:c r="J70" s="14" t="str">
        <x:v>Τουρκία</x:v>
      </x:c>
      <x:c r="K70" s="14" t="str">
        <x:v>Turkey</x:v>
      </x:c>
      <x:c r="L70" s="14" t="str">
        <x:v>TUR</x:v>
      </x:c>
      <x:c r="M70" s="14" t="str">
        <x:v>TR</x:v>
      </x:c>
      <x:c r="N70" s="14" t="str">
        <x:v>Erdek, Balıkesir</x:v>
      </x:c>
      <x:c r="O70" s="14" t="str">
        <x:v>Pleiades representative point</x:v>
      </x:c>
      <x:c r="P70" s="16"/>
      <x:c r="Q70" s="16"/>
      <x:c r="R70" s="14" t="str">
        <x:v>src-pleiades-511218</x:v>
      </x:c>
      <x:c r="S70" s="14" t="str">
        <x:v>reviewed</x:v>
      </x:c>
    </x:row>
    <x:row r="71" ht="40" customHeight="1">
      <x:c r="A71" s="14" t="str">
        <x:v>place-colony-dioscurias</x:v>
      </x:c>
      <x:c r="B71" s="14" t="str">
        <x:v>colony-dioscurias</x:v>
      </x:c>
      <x:c r="C71" s="22" t="n">
        <x:v>42.998331</x:v>
      </x:c>
      <x:c r="D71" s="22" t="n">
        <x:v>41.011175</x:v>
      </x:c>
      <x:c r="E71" s="16" t="str">
        <x:v>POINT (41.011175 42.998331)</x:v>
      </x:c>
      <x:c r="F71" s="16" t="str">
        <x:v>{"coordinates":[41.011175,42.998331],"type":"Point"}</x:v>
      </x:c>
      <x:c r="G71" s="14" t="str">
        <x:v>site</x:v>
      </x:c>
      <x:c r="H71" s="14" t="str">
        <x:v>high</x:v>
      </x:c>
      <x:c r="I71" s="14" t="str">
        <x:v>exact</x:v>
      </x:c>
      <x:c r="J71" s="14" t="str">
        <x:v>Γεωργία</x:v>
      </x:c>
      <x:c r="K71" s="14" t="str">
        <x:v>Georgia</x:v>
      </x:c>
      <x:c r="L71" s="14" t="str">
        <x:v>GEO</x:v>
      </x:c>
      <x:c r="M71" s="14" t="str">
        <x:v>GE</x:v>
      </x:c>
      <x:c r="N71" s="14" t="str">
        <x:v>Sukhumi</x:v>
      </x:c>
      <x:c r="O71" s="14" t="str">
        <x:v>Pleiades representative point</x:v>
      </x:c>
      <x:c r="P71" s="16"/>
      <x:c r="Q71" s="16"/>
      <x:c r="R71" s="14" t="str">
        <x:v>src-pleiades-857107</x:v>
      </x:c>
      <x:c r="S71" s="14" t="str">
        <x:v>reviewed</x:v>
      </x:c>
    </x:row>
    <x:row r="72" ht="40" customHeight="1">
      <x:c r="A72" s="14" t="str">
        <x:v>place-colony-elea-velia</x:v>
      </x:c>
      <x:c r="B72" s="14" t="str">
        <x:v>colony-elea-velia</x:v>
      </x:c>
      <x:c r="C72" s="22" t="n">
        <x:v>40.160501</x:v>
      </x:c>
      <x:c r="D72" s="22" t="n">
        <x:v>15.156157</x:v>
      </x:c>
      <x:c r="E72" s="16" t="str">
        <x:v>POINT (15.156157 40.160501)</x:v>
      </x:c>
      <x:c r="F72" s="16" t="str">
        <x:v>{"coordinates":[15.156157,40.160501],"type":"Point"}</x:v>
      </x:c>
      <x:c r="G72" s="14" t="str">
        <x:v>site</x:v>
      </x:c>
      <x:c r="H72" s="14" t="str">
        <x:v>high</x:v>
      </x:c>
      <x:c r="I72" s="14" t="str">
        <x:v>exact</x:v>
      </x:c>
      <x:c r="J72" s="14" t="str">
        <x:v>Ιταλία</x:v>
      </x:c>
      <x:c r="K72" s="14" t="str">
        <x:v>Italy</x:v>
      </x:c>
      <x:c r="L72" s="14" t="str">
        <x:v>ITA</x:v>
      </x:c>
      <x:c r="M72" s="14" t="str">
        <x:v>IT</x:v>
      </x:c>
      <x:c r="N72" s="14" t="str">
        <x:v>Ascea, Campania</x:v>
      </x:c>
      <x:c r="O72" s="14" t="str">
        <x:v>Pleiades representative point</x:v>
      </x:c>
      <x:c r="P72" s="16"/>
      <x:c r="Q72" s="16"/>
      <x:c r="R72" s="14" t="str">
        <x:v>src-pleiades-452488</x:v>
      </x:c>
      <x:c r="S72" s="14" t="str">
        <x:v>reviewed</x:v>
      </x:c>
    </x:row>
    <x:row r="73" ht="40" customHeight="1">
      <x:c r="A73" s="14" t="str">
        <x:v>place-colony-emporion-iberia</x:v>
      </x:c>
      <x:c r="B73" s="14" t="str">
        <x:v>colony-emporion-iberia</x:v>
      </x:c>
      <x:c r="C73" s="22" t="n">
        <x:v>42.13342</x:v>
      </x:c>
      <x:c r="D73" s="22" t="n">
        <x:v>3.114549</x:v>
      </x:c>
      <x:c r="E73" s="16" t="str">
        <x:v>POINT (3.114549 42.13342)</x:v>
      </x:c>
      <x:c r="F73" s="16" t="str">
        <x:v>{"coordinates":[3.114549,42.13342],"type":"Point"}</x:v>
      </x:c>
      <x:c r="G73" s="14" t="str">
        <x:v>site</x:v>
      </x:c>
      <x:c r="H73" s="14" t="str">
        <x:v>high</x:v>
      </x:c>
      <x:c r="I73" s="14" t="str">
        <x:v>exact</x:v>
      </x:c>
      <x:c r="J73" s="14" t="str">
        <x:v>Ισπανία</x:v>
      </x:c>
      <x:c r="K73" s="14" t="str">
        <x:v>Spain</x:v>
      </x:c>
      <x:c r="L73" s="14" t="str">
        <x:v>ESP</x:v>
      </x:c>
      <x:c r="M73" s="14" t="str">
        <x:v>ES</x:v>
      </x:c>
      <x:c r="N73" s="14" t="str">
        <x:v>Empúries, Catalonia</x:v>
      </x:c>
      <x:c r="O73" s="14" t="str">
        <x:v>Pleiades representative point</x:v>
      </x:c>
      <x:c r="P73" s="16"/>
      <x:c r="Q73" s="16"/>
      <x:c r="R73" s="14" t="str">
        <x:v>src-pleiades-246382</x:v>
      </x:c>
      <x:c r="S73" s="14" t="str">
        <x:v>reviewed</x:v>
      </x:c>
    </x:row>
    <x:row r="74" ht="40" customHeight="1">
      <x:c r="A74" s="14" t="str">
        <x:v>place-colony-ephesus</x:v>
      </x:c>
      <x:c r="B74" s="14" t="str">
        <x:v>colony-ephesus</x:v>
      </x:c>
      <x:c r="C74" s="22" t="n">
        <x:v>37.940164</x:v>
      </x:c>
      <x:c r="D74" s="22" t="n">
        <x:v>27.342403</x:v>
      </x:c>
      <x:c r="E74" s="16" t="str">
        <x:v>POINT (27.342403 37.940164)</x:v>
      </x:c>
      <x:c r="F74" s="16" t="str">
        <x:v>{"coordinates":[27.342403,37.940164],"type":"Point"}</x:v>
      </x:c>
      <x:c r="G74" s="14" t="str">
        <x:v>site</x:v>
      </x:c>
      <x:c r="H74" s="14" t="str">
        <x:v>high</x:v>
      </x:c>
      <x:c r="I74" s="14" t="str">
        <x:v>exact</x:v>
      </x:c>
      <x:c r="J74" s="14" t="str">
        <x:v>Τουρκία</x:v>
      </x:c>
      <x:c r="K74" s="14" t="str">
        <x:v>Turkey</x:v>
      </x:c>
      <x:c r="L74" s="14" t="str">
        <x:v>TUR</x:v>
      </x:c>
      <x:c r="M74" s="14" t="str">
        <x:v>TR</x:v>
      </x:c>
      <x:c r="N74" s="14" t="str">
        <x:v>Selçuk, İzmir</x:v>
      </x:c>
      <x:c r="O74" s="14" t="str">
        <x:v>Pleiades representative point</x:v>
      </x:c>
      <x:c r="P74" s="16"/>
      <x:c r="Q74" s="16"/>
      <x:c r="R74" s="14" t="str">
        <x:v>src-pleiades-599612</x:v>
      </x:c>
      <x:c r="S74" s="14" t="str">
        <x:v>reviewed</x:v>
      </x:c>
    </x:row>
    <x:row r="75" ht="40" customHeight="1">
      <x:c r="A75" s="14" t="str">
        <x:v>place-colony-epidamnos</x:v>
      </x:c>
      <x:c r="B75" s="14" t="str">
        <x:v>colony-epidamnos</x:v>
      </x:c>
      <x:c r="C75" s="22" t="n">
        <x:v>41.316342</x:v>
      </x:c>
      <x:c r="D75" s="22" t="n">
        <x:v>19.447355</x:v>
      </x:c>
      <x:c r="E75" s="16" t="str">
        <x:v>POINT (19.447355 41.316342)</x:v>
      </x:c>
      <x:c r="F75" s="16" t="str">
        <x:v>{"coordinates":[19.447355,41.316342],"type":"Point"}</x:v>
      </x:c>
      <x:c r="G75" s="14" t="str">
        <x:v>site</x:v>
      </x:c>
      <x:c r="H75" s="14" t="str">
        <x:v>high</x:v>
      </x:c>
      <x:c r="I75" s="14" t="str">
        <x:v>exact</x:v>
      </x:c>
      <x:c r="J75" s="14" t="str">
        <x:v>Αλβανία</x:v>
      </x:c>
      <x:c r="K75" s="14" t="str">
        <x:v>Albania</x:v>
      </x:c>
      <x:c r="L75" s="14" t="str">
        <x:v>ALB</x:v>
      </x:c>
      <x:c r="M75" s="14" t="str">
        <x:v>AL</x:v>
      </x:c>
      <x:c r="N75" s="14" t="str">
        <x:v>Durrës</x:v>
      </x:c>
      <x:c r="O75" s="14" t="str">
        <x:v>Pleiades representative point</x:v>
      </x:c>
      <x:c r="P75" s="16"/>
      <x:c r="Q75" s="16"/>
      <x:c r="R75" s="14" t="str">
        <x:v>src-pleiades-481818</x:v>
      </x:c>
      <x:c r="S75" s="14" t="str">
        <x:v>reviewed</x:v>
      </x:c>
    </x:row>
    <x:row r="76" ht="40" customHeight="1">
      <x:c r="A76" s="14" t="str">
        <x:v>place-colony-erythrae-ionia</x:v>
      </x:c>
      <x:c r="B76" s="14" t="str">
        <x:v>colony-erythrae-ionia</x:v>
      </x:c>
      <x:c r="C76" s="22" t="n">
        <x:v>38.382778</x:v>
      </x:c>
      <x:c r="D76" s="22" t="n">
        <x:v>26.480833</x:v>
      </x:c>
      <x:c r="E76" s="16" t="str">
        <x:v>POINT (26.480833 38.382778)</x:v>
      </x:c>
      <x:c r="F76" s="16" t="str">
        <x:v>{"coordinates":[26.480833,38.382778],"type":"Point"}</x:v>
      </x:c>
      <x:c r="G76" s="14" t="str">
        <x:v>site</x:v>
      </x:c>
      <x:c r="H76" s="14" t="str">
        <x:v>high</x:v>
      </x:c>
      <x:c r="I76" s="14" t="str">
        <x:v>exact</x:v>
      </x:c>
      <x:c r="J76" s="14" t="str">
        <x:v>Τουρκία</x:v>
      </x:c>
      <x:c r="K76" s="14" t="str">
        <x:v>Turkey</x:v>
      </x:c>
      <x:c r="L76" s="14" t="str">
        <x:v>TUR</x:v>
      </x:c>
      <x:c r="M76" s="14" t="str">
        <x:v>TR</x:v>
      </x:c>
      <x:c r="N76" s="14" t="str">
        <x:v>Ildırı, Çeşme</x:v>
      </x:c>
      <x:c r="O76" s="14" t="str">
        <x:v>Pleiades representative point</x:v>
      </x:c>
      <x:c r="P76" s="16"/>
      <x:c r="Q76" s="16"/>
      <x:c r="R76" s="14" t="str">
        <x:v>src-pleiades-550535</x:v>
      </x:c>
      <x:c r="S76" s="14" t="str">
        <x:v>reviewed</x:v>
      </x:c>
    </x:row>
    <x:row r="77" ht="40" customHeight="1">
      <x:c r="A77" s="14" t="str">
        <x:v>place-colony-euesperides</x:v>
      </x:c>
      <x:c r="B77" s="14" t="str">
        <x:v>colony-euesperides</x:v>
      </x:c>
      <x:c r="C77" s="22" t="n">
        <x:v>32.145666</x:v>
      </x:c>
      <x:c r="D77" s="22" t="n">
        <x:v>20.096022</x:v>
      </x:c>
      <x:c r="E77" s="16" t="str">
        <x:v>POINT (20.096022 32.145666)</x:v>
      </x:c>
      <x:c r="F77" s="16" t="str">
        <x:v>{"coordinates":[20.096022,32.145666],"type":"Point"}</x:v>
      </x:c>
      <x:c r="G77" s="14" t="str">
        <x:v>site</x:v>
      </x:c>
      <x:c r="H77" s="14" t="str">
        <x:v>high</x:v>
      </x:c>
      <x:c r="I77" s="14" t="str">
        <x:v>exact</x:v>
      </x:c>
      <x:c r="J77" s="14" t="str">
        <x:v>Λιβύη</x:v>
      </x:c>
      <x:c r="K77" s="14" t="str">
        <x:v>Libya</x:v>
      </x:c>
      <x:c r="L77" s="14" t="str">
        <x:v>LBY</x:v>
      </x:c>
      <x:c r="M77" s="14" t="str">
        <x:v>LY</x:v>
      </x:c>
      <x:c r="N77" s="14" t="str">
        <x:v>Benghazi</x:v>
      </x:c>
      <x:c r="O77" s="14" t="str">
        <x:v>Pleiades representative point</x:v>
      </x:c>
      <x:c r="P77" s="16"/>
      <x:c r="Q77" s="16"/>
      <x:c r="R77" s="14" t="str">
        <x:v>src-pleiades-373786</x:v>
      </x:c>
      <x:c r="S77" s="14" t="str">
        <x:v>reviewed</x:v>
      </x:c>
    </x:row>
    <x:row r="78" ht="40" customHeight="1">
      <x:c r="A78" s="14" t="str">
        <x:v>place-colony-gela</x:v>
      </x:c>
      <x:c r="B78" s="14" t="str">
        <x:v>colony-gela</x:v>
      </x:c>
      <x:c r="C78" s="22" t="n">
        <x:v>37.063092</x:v>
      </x:c>
      <x:c r="D78" s="22" t="n">
        <x:v>14.258471</x:v>
      </x:c>
      <x:c r="E78" s="16" t="str">
        <x:v>POINT (14.258471 37.063092)</x:v>
      </x:c>
      <x:c r="F78" s="16" t="str">
        <x:v>{"coordinates":[14.258471,37.063092],"type":"Point"}</x:v>
      </x:c>
      <x:c r="G78" s="14" t="str">
        <x:v>site</x:v>
      </x:c>
      <x:c r="H78" s="14" t="str">
        <x:v>high</x:v>
      </x:c>
      <x:c r="I78" s="14" t="str">
        <x:v>exact</x:v>
      </x:c>
      <x:c r="J78" s="14" t="str">
        <x:v>Ιταλία</x:v>
      </x:c>
      <x:c r="K78" s="14" t="str">
        <x:v>Italy</x:v>
      </x:c>
      <x:c r="L78" s="14" t="str">
        <x:v>ITA</x:v>
      </x:c>
      <x:c r="M78" s="14" t="str">
        <x:v>IT</x:v>
      </x:c>
      <x:c r="N78" s="14" t="str">
        <x:v>Gela</x:v>
      </x:c>
      <x:c r="O78" s="14" t="str">
        <x:v>Pleiades representative point</x:v>
      </x:c>
      <x:c r="P78" s="16"/>
      <x:c r="Q78" s="16"/>
      <x:c r="R78" s="14" t="str">
        <x:v>src-pleiades-462214</x:v>
      </x:c>
      <x:c r="S78" s="14" t="str">
        <x:v>reviewed</x:v>
      </x:c>
    </x:row>
    <x:row r="79" ht="40" customHeight="1">
      <x:c r="A79" s="14" t="str">
        <x:v>place-colony-halicarnassus</x:v>
      </x:c>
      <x:c r="B79" s="14" t="str">
        <x:v>colony-halicarnassus</x:v>
      </x:c>
      <x:c r="C79" s="22" t="n">
        <x:v>37.040401</x:v>
      </x:c>
      <x:c r="D79" s="22" t="n">
        <x:v>27.422151</x:v>
      </x:c>
      <x:c r="E79" s="16" t="str">
        <x:v>POINT (27.422151 37.040401)</x:v>
      </x:c>
      <x:c r="F79" s="16" t="str">
        <x:v>{"coordinates":[27.422151,37.040401],"type":"Point"}</x:v>
      </x:c>
      <x:c r="G79" s="14" t="str">
        <x:v>site</x:v>
      </x:c>
      <x:c r="H79" s="14" t="str">
        <x:v>high</x:v>
      </x:c>
      <x:c r="I79" s="14" t="str">
        <x:v>exact</x:v>
      </x:c>
      <x:c r="J79" s="14" t="str">
        <x:v>Τουρκία</x:v>
      </x:c>
      <x:c r="K79" s="14" t="str">
        <x:v>Turkey</x:v>
      </x:c>
      <x:c r="L79" s="14" t="str">
        <x:v>TUR</x:v>
      </x:c>
      <x:c r="M79" s="14" t="str">
        <x:v>TR</x:v>
      </x:c>
      <x:c r="N79" s="14" t="str">
        <x:v>Bodrum, Muğla</x:v>
      </x:c>
      <x:c r="O79" s="14" t="str">
        <x:v>Pleiades representative point</x:v>
      </x:c>
      <x:c r="P79" s="16"/>
      <x:c r="Q79" s="16"/>
      <x:c r="R79" s="14" t="str">
        <x:v>src-pleiades-599636</x:v>
      </x:c>
      <x:c r="S79" s="14" t="str">
        <x:v>reviewed</x:v>
      </x:c>
    </x:row>
    <x:row r="80" ht="40" customHeight="1">
      <x:c r="A80" s="14" t="str">
        <x:v>place-colony-heraclea-pontica</x:v>
      </x:c>
      <x:c r="B80" s="14" t="str">
        <x:v>colony-heraclea-pontica</x:v>
      </x:c>
      <x:c r="C80" s="22" t="n">
        <x:v>41.283255</x:v>
      </x:c>
      <x:c r="D80" s="22" t="n">
        <x:v>31.417414</x:v>
      </x:c>
      <x:c r="E80" s="16" t="str">
        <x:v>POINT (31.417414 41.283255)</x:v>
      </x:c>
      <x:c r="F80" s="16" t="str">
        <x:v>{"coordinates":[31.417414,41.283255],"type":"Point"}</x:v>
      </x:c>
      <x:c r="G80" s="14" t="str">
        <x:v>site</x:v>
      </x:c>
      <x:c r="H80" s="14" t="str">
        <x:v>high</x:v>
      </x:c>
      <x:c r="I80" s="14" t="str">
        <x:v>exact</x:v>
      </x:c>
      <x:c r="J80" s="14" t="str">
        <x:v>Τουρκία</x:v>
      </x:c>
      <x:c r="K80" s="14" t="str">
        <x:v>Turkey</x:v>
      </x:c>
      <x:c r="L80" s="14" t="str">
        <x:v>TUR</x:v>
      </x:c>
      <x:c r="M80" s="14" t="str">
        <x:v>TR</x:v>
      </x:c>
      <x:c r="N80" s="14" t="str">
        <x:v>Karadeniz Ereğli</x:v>
      </x:c>
      <x:c r="O80" s="14" t="str">
        <x:v>Pleiades representative point</x:v>
      </x:c>
      <x:c r="P80" s="16"/>
      <x:c r="Q80" s="16"/>
      <x:c r="R80" s="14" t="str">
        <x:v>src-pleiades-844944</x:v>
      </x:c>
      <x:c r="S80" s="14" t="str">
        <x:v>reviewed</x:v>
      </x:c>
    </x:row>
    <x:row r="81" ht="40" customHeight="1">
      <x:c r="A81" s="14" t="str">
        <x:v>place-colony-himera</x:v>
      </x:c>
      <x:c r="B81" s="14" t="str">
        <x:v>colony-himera</x:v>
      </x:c>
      <x:c r="C81" s="22" t="n">
        <x:v>37.969837</x:v>
      </x:c>
      <x:c r="D81" s="22" t="n">
        <x:v>13.822344</x:v>
      </x:c>
      <x:c r="E81" s="16" t="str">
        <x:v>POINT (13.822344 37.969837)</x:v>
      </x:c>
      <x:c r="F81" s="16" t="str">
        <x:v>{"coordinates":[13.822344,37.969837],"type":"Point"}</x:v>
      </x:c>
      <x:c r="G81" s="14" t="str">
        <x:v>site</x:v>
      </x:c>
      <x:c r="H81" s="14" t="str">
        <x:v>high</x:v>
      </x:c>
      <x:c r="I81" s="14" t="str">
        <x:v>exact</x:v>
      </x:c>
      <x:c r="J81" s="14" t="str">
        <x:v>Ιταλία</x:v>
      </x:c>
      <x:c r="K81" s="14" t="str">
        <x:v>Italy</x:v>
      </x:c>
      <x:c r="L81" s="14" t="str">
        <x:v>ITA</x:v>
      </x:c>
      <x:c r="M81" s="14" t="str">
        <x:v>IT</x:v>
      </x:c>
      <x:c r="N81" s="14" t="str">
        <x:v>Buonfornello, Termini Imerese</x:v>
      </x:c>
      <x:c r="O81" s="14" t="str">
        <x:v>Pleiades representative point</x:v>
      </x:c>
      <x:c r="P81" s="16"/>
      <x:c r="Q81" s="16"/>
      <x:c r="R81" s="14" t="str">
        <x:v>src-pleiades-462244</x:v>
      </x:c>
      <x:c r="S81" s="14" t="str">
        <x:v>reviewed</x:v>
      </x:c>
    </x:row>
    <x:row r="82" ht="40" customHeight="1">
      <x:c r="A82" s="14" t="str">
        <x:v>place-colony-histria-pontica</x:v>
      </x:c>
      <x:c r="B82" s="14" t="str">
        <x:v>colony-histria-pontica</x:v>
      </x:c>
      <x:c r="C82" s="22" t="n">
        <x:v>44.547787</x:v>
      </x:c>
      <x:c r="D82" s="22" t="n">
        <x:v>28.775129</x:v>
      </x:c>
      <x:c r="E82" s="16" t="str">
        <x:v>POINT (28.775129 44.547787)</x:v>
      </x:c>
      <x:c r="F82" s="16" t="str">
        <x:v>{"coordinates":[28.775129,44.547787],"type":"Point"}</x:v>
      </x:c>
      <x:c r="G82" s="14" t="str">
        <x:v>site</x:v>
      </x:c>
      <x:c r="H82" s="14" t="str">
        <x:v>high</x:v>
      </x:c>
      <x:c r="I82" s="14" t="str">
        <x:v>exact</x:v>
      </x:c>
      <x:c r="J82" s="14" t="str">
        <x:v>Ρουμανία</x:v>
      </x:c>
      <x:c r="K82" s="14" t="str">
        <x:v>Romania</x:v>
      </x:c>
      <x:c r="L82" s="14" t="str">
        <x:v>ROU</x:v>
      </x:c>
      <x:c r="M82" s="14" t="str">
        <x:v>RO</x:v>
      </x:c>
      <x:c r="N82" s="14" t="str">
        <x:v>Istria, Constanța County</x:v>
      </x:c>
      <x:c r="O82" s="14" t="str">
        <x:v>Pleiades representative point</x:v>
      </x:c>
      <x:c r="P82" s="16"/>
      <x:c r="Q82" s="16"/>
      <x:c r="R82" s="14" t="str">
        <x:v>src-pleiades-216839</x:v>
      </x:c>
      <x:c r="S82" s="14" t="str">
        <x:v>reviewed</x:v>
      </x:c>
    </x:row>
    <x:row r="83" ht="40" customHeight="1">
      <x:c r="A83" s="14" t="str">
        <x:v>place-colony-iasos</x:v>
      </x:c>
      <x:c r="B83" s="14" t="str">
        <x:v>colony-iasos</x:v>
      </x:c>
      <x:c r="C83" s="22" t="n">
        <x:v>37.279196</x:v>
      </x:c>
      <x:c r="D83" s="22" t="n">
        <x:v>27.58487</x:v>
      </x:c>
      <x:c r="E83" s="16" t="str">
        <x:v>POINT (27.58487 37.279196)</x:v>
      </x:c>
      <x:c r="F83" s="16" t="str">
        <x:v>{"coordinates":[27.58487,37.279196],"type":"Point"}</x:v>
      </x:c>
      <x:c r="G83" s="14" t="str">
        <x:v>site</x:v>
      </x:c>
      <x:c r="H83" s="14" t="str">
        <x:v>high</x:v>
      </x:c>
      <x:c r="I83" s="14" t="str">
        <x:v>exact</x:v>
      </x:c>
      <x:c r="J83" s="14" t="str">
        <x:v>Τουρκία</x:v>
      </x:c>
      <x:c r="K83" s="14" t="str">
        <x:v>Turkey</x:v>
      </x:c>
      <x:c r="L83" s="14" t="str">
        <x:v>TUR</x:v>
      </x:c>
      <x:c r="M83" s="14" t="str">
        <x:v>TR</x:v>
      </x:c>
      <x:c r="N83" s="14" t="str">
        <x:v>Kıyıkışlacık, Milas</x:v>
      </x:c>
      <x:c r="O83" s="14" t="str">
        <x:v>Pleiades representative point</x:v>
      </x:c>
      <x:c r="P83" s="16"/>
      <x:c r="Q83" s="16"/>
      <x:c r="R83" s="14" t="str">
        <x:v>src-pleiades-599664</x:v>
      </x:c>
      <x:c r="S83" s="14" t="str">
        <x:v>reviewed</x:v>
      </x:c>
    </x:row>
    <x:row r="84" ht="40" customHeight="1">
      <x:c r="A84" s="14" t="str">
        <x:v>place-colony-issa-vis</x:v>
      </x:c>
      <x:c r="B84" s="14" t="str">
        <x:v>colony-issa-vis</x:v>
      </x:c>
      <x:c r="C84" s="22" t="n">
        <x:v>43.0619</x:v>
      </x:c>
      <x:c r="D84" s="22" t="n">
        <x:v>16.1836</x:v>
      </x:c>
      <x:c r="E84" s="16" t="str">
        <x:v>POINT (16.1836 43.0619)</x:v>
      </x:c>
      <x:c r="F84" s="16" t="str">
        <x:v>{"coordinates":[16.1836,43.0619],"type":"Point"}</x:v>
      </x:c>
      <x:c r="G84" s="14" t="str">
        <x:v>site</x:v>
      </x:c>
      <x:c r="H84" s="14" t="str">
        <x:v>medium</x:v>
      </x:c>
      <x:c r="I84" s="14" t="str">
        <x:v>unknown</x:v>
      </x:c>
      <x:c r="J84" s="14" t="str">
        <x:v>Κροατία</x:v>
      </x:c>
      <x:c r="K84" s="14" t="str">
        <x:v>Croatia</x:v>
      </x:c>
      <x:c r="L84" s="14" t="str">
        <x:v>HRV</x:v>
      </x:c>
      <x:c r="M84" s="14" t="str">
        <x:v>HR</x:v>
      </x:c>
      <x:c r="N84" s="14" t="str">
        <x:v>Vis, island of Vis</x:v>
      </x:c>
      <x:c r="O84" s="14" t="str">
        <x:v>www.armus.hr</x:v>
      </x:c>
      <x:c r="P84" s="16"/>
      <x:c r="Q84" s="16"/>
      <x:c r="R84" s="14" t="str">
        <x:v>src-armus-4dde844bac8f</x:v>
      </x:c>
      <x:c r="S84" s="14" t="str">
        <x:v>reviewed</x:v>
      </x:c>
    </x:row>
    <x:row r="85" ht="40" customHeight="1">
      <x:c r="A85" s="14" t="str">
        <x:v>place-colony-lampsacus</x:v>
      </x:c>
      <x:c r="B85" s="14" t="str">
        <x:v>colony-lampsacus</x:v>
      </x:c>
      <x:c r="C85" s="22" t="n">
        <x:v>40.346685</x:v>
      </x:c>
      <x:c r="D85" s="22" t="n">
        <x:v>26.699162</x:v>
      </x:c>
      <x:c r="E85" s="16" t="str">
        <x:v>POINT (26.699162 40.346685)</x:v>
      </x:c>
      <x:c r="F85" s="16" t="str">
        <x:v>{"coordinates":[26.699162,40.346685],"type":"Point"}</x:v>
      </x:c>
      <x:c r="G85" s="14" t="str">
        <x:v>site</x:v>
      </x:c>
      <x:c r="H85" s="14" t="str">
        <x:v>high</x:v>
      </x:c>
      <x:c r="I85" s="14" t="str">
        <x:v>exact</x:v>
      </x:c>
      <x:c r="J85" s="14" t="str">
        <x:v>Τουρκία</x:v>
      </x:c>
      <x:c r="K85" s="14" t="str">
        <x:v>Turkey</x:v>
      </x:c>
      <x:c r="L85" s="14" t="str">
        <x:v>TUR</x:v>
      </x:c>
      <x:c r="M85" s="14" t="str">
        <x:v>TR</x:v>
      </x:c>
      <x:c r="N85" s="14" t="str">
        <x:v>Lapseki, Çanakkale</x:v>
      </x:c>
      <x:c r="O85" s="14" t="str">
        <x:v>Pleiades representative point</x:v>
      </x:c>
      <x:c r="P85" s="16"/>
      <x:c r="Q85" s="16"/>
      <x:c r="R85" s="14" t="str">
        <x:v>src-pleiades-501570</x:v>
      </x:c>
      <x:c r="S85" s="14" t="str">
        <x:v>reviewed</x:v>
      </x:c>
    </x:row>
    <x:row r="86" ht="40" customHeight="1">
      <x:c r="A86" s="14" t="str">
        <x:v>place-colony-leontinoi</x:v>
      </x:c>
      <x:c r="B86" s="14" t="str">
        <x:v>colony-leontinoi</x:v>
      </x:c>
      <x:c r="C86" s="22" t="n">
        <x:v>37.285478</x:v>
      </x:c>
      <x:c r="D86" s="22" t="n">
        <x:v>14.998115</x:v>
      </x:c>
      <x:c r="E86" s="16" t="str">
        <x:v>POINT (14.998115 37.285478)</x:v>
      </x:c>
      <x:c r="F86" s="16" t="str">
        <x:v>{"coordinates":[14.998115,37.285478],"type":"Point"}</x:v>
      </x:c>
      <x:c r="G86" s="14" t="str">
        <x:v>site</x:v>
      </x:c>
      <x:c r="H86" s="14" t="str">
        <x:v>high</x:v>
      </x:c>
      <x:c r="I86" s="14" t="str">
        <x:v>exact</x:v>
      </x:c>
      <x:c r="J86" s="14" t="str">
        <x:v>Ιταλία</x:v>
      </x:c>
      <x:c r="K86" s="14" t="str">
        <x:v>Italy</x:v>
      </x:c>
      <x:c r="L86" s="14" t="str">
        <x:v>ITA</x:v>
      </x:c>
      <x:c r="M86" s="14" t="str">
        <x:v>IT</x:v>
      </x:c>
      <x:c r="N86" s="14" t="str">
        <x:v>Lentini</x:v>
      </x:c>
      <x:c r="O86" s="14" t="str">
        <x:v>Pleiades representative point</x:v>
      </x:c>
      <x:c r="P86" s="16"/>
      <x:c r="Q86" s="16"/>
      <x:c r="R86" s="14" t="str">
        <x:v>src-pleiades-462279</x:v>
      </x:c>
      <x:c r="S86" s="14" t="str">
        <x:v>reviewed</x:v>
      </x:c>
    </x:row>
    <x:row r="87" ht="40" customHeight="1">
      <x:c r="A87" s="14" t="str">
        <x:v>place-colony-locri-epizephyrii</x:v>
      </x:c>
      <x:c r="B87" s="14" t="str">
        <x:v>colony-locri-epizephyrii</x:v>
      </x:c>
      <x:c r="C87" s="22" t="n">
        <x:v>38.226296</x:v>
      </x:c>
      <x:c r="D87" s="22" t="n">
        <x:v>16.24434</x:v>
      </x:c>
      <x:c r="E87" s="16" t="str">
        <x:v>POINT (16.24434 38.226296)</x:v>
      </x:c>
      <x:c r="F87" s="16" t="str">
        <x:v>{"coordinates":[16.24434,38.226296],"type":"Point"}</x:v>
      </x:c>
      <x:c r="G87" s="14" t="str">
        <x:v>site</x:v>
      </x:c>
      <x:c r="H87" s="14" t="str">
        <x:v>high</x:v>
      </x:c>
      <x:c r="I87" s="14" t="str">
        <x:v>exact</x:v>
      </x:c>
      <x:c r="J87" s="14" t="str">
        <x:v>Ιταλία</x:v>
      </x:c>
      <x:c r="K87" s="14" t="str">
        <x:v>Italy</x:v>
      </x:c>
      <x:c r="L87" s="14" t="str">
        <x:v>ITA</x:v>
      </x:c>
      <x:c r="M87" s="14" t="str">
        <x:v>IT</x:v>
      </x:c>
      <x:c r="N87" s="14" t="str">
        <x:v>Locri, Calabria</x:v>
      </x:c>
      <x:c r="O87" s="14" t="str">
        <x:v>Pleiades representative point</x:v>
      </x:c>
      <x:c r="P87" s="16"/>
      <x:c r="Q87" s="16"/>
      <x:c r="R87" s="14" t="str">
        <x:v>src-pleiades-452369</x:v>
      </x:c>
      <x:c r="S87" s="14" t="str">
        <x:v>reviewed</x:v>
      </x:c>
    </x:row>
    <x:row r="88" ht="40" customHeight="1">
      <x:c r="A88" s="14" t="str">
        <x:v>place-colony-magnesia-maeander</x:v>
      </x:c>
      <x:c r="B88" s="14" t="str">
        <x:v>colony-magnesia-maeander</x:v>
      </x:c>
      <x:c r="C88" s="22" t="n">
        <x:v>37.849862</x:v>
      </x:c>
      <x:c r="D88" s="22" t="n">
        <x:v>27.523178</x:v>
      </x:c>
      <x:c r="E88" s="16" t="str">
        <x:v>POINT (27.523178 37.849862)</x:v>
      </x:c>
      <x:c r="F88" s="16" t="str">
        <x:v>{"coordinates":[27.523178,37.849862],"type":"Point"}</x:v>
      </x:c>
      <x:c r="G88" s="14" t="str">
        <x:v>site</x:v>
      </x:c>
      <x:c r="H88" s="14" t="str">
        <x:v>high</x:v>
      </x:c>
      <x:c r="I88" s="14" t="str">
        <x:v>exact</x:v>
      </x:c>
      <x:c r="J88" s="14" t="str">
        <x:v>Τουρκία</x:v>
      </x:c>
      <x:c r="K88" s="14" t="str">
        <x:v>Turkey</x:v>
      </x:c>
      <x:c r="L88" s="14" t="str">
        <x:v>TUR</x:v>
      </x:c>
      <x:c r="M88" s="14" t="str">
        <x:v>TR</x:v>
      </x:c>
      <x:c r="N88" s="14" t="str">
        <x:v>Tekin, Germencik</x:v>
      </x:c>
      <x:c r="O88" s="14" t="str">
        <x:v>Pleiades representative point</x:v>
      </x:c>
      <x:c r="P88" s="16"/>
      <x:c r="Q88" s="16"/>
      <x:c r="R88" s="14" t="str">
        <x:v>src-pleiades-599778</x:v>
      </x:c>
      <x:c r="S88" s="14" t="str">
        <x:v>reviewed</x:v>
      </x:c>
    </x:row>
    <x:row r="89" ht="40" customHeight="1">
      <x:c r="A89" s="14" t="str">
        <x:v>place-colony-massalia</x:v>
      </x:c>
      <x:c r="B89" s="14" t="str">
        <x:v>colony-massalia</x:v>
      </x:c>
      <x:c r="C89" s="22" t="n">
        <x:v>43.296854</x:v>
      </x:c>
      <x:c r="D89" s="22" t="n">
        <x:v>5.382499</x:v>
      </x:c>
      <x:c r="E89" s="16" t="str">
        <x:v>POINT (5.382499 43.296854)</x:v>
      </x:c>
      <x:c r="F89" s="16" t="str">
        <x:v>{"coordinates":[5.382499,43.296854],"type":"Point"}</x:v>
      </x:c>
      <x:c r="G89" s="14" t="str">
        <x:v>site</x:v>
      </x:c>
      <x:c r="H89" s="14" t="str">
        <x:v>high</x:v>
      </x:c>
      <x:c r="I89" s="14" t="str">
        <x:v>exact</x:v>
      </x:c>
      <x:c r="J89" s="14" t="str">
        <x:v>Γαλλία</x:v>
      </x:c>
      <x:c r="K89" s="14" t="str">
        <x:v>France</x:v>
      </x:c>
      <x:c r="L89" s="14" t="str">
        <x:v>FRA</x:v>
      </x:c>
      <x:c r="M89" s="14" t="str">
        <x:v>FR</x:v>
      </x:c>
      <x:c r="N89" s="14" t="str">
        <x:v>Marseille</x:v>
      </x:c>
      <x:c r="O89" s="14" t="str">
        <x:v>Pleiades representative point</x:v>
      </x:c>
      <x:c r="P89" s="16"/>
      <x:c r="Q89" s="16"/>
      <x:c r="R89" s="14" t="str">
        <x:v>src-pleiades-148127</x:v>
      </x:c>
      <x:c r="S89" s="14" t="str">
        <x:v>reviewed</x:v>
      </x:c>
    </x:row>
    <x:row r="90" ht="40" customHeight="1">
      <x:c r="A90" s="14" t="str">
        <x:v>place-colony-megara-hyblaea</x:v>
      </x:c>
      <x:c r="B90" s="14" t="str">
        <x:v>colony-megara-hyblaea</x:v>
      </x:c>
      <x:c r="C90" s="22" t="n">
        <x:v>37.203801</x:v>
      </x:c>
      <x:c r="D90" s="22" t="n">
        <x:v>15.182285</x:v>
      </x:c>
      <x:c r="E90" s="16" t="str">
        <x:v>POINT (15.182285 37.203801)</x:v>
      </x:c>
      <x:c r="F90" s="16" t="str">
        <x:v>{"coordinates":[15.182285,37.203801],"type":"Point"}</x:v>
      </x:c>
      <x:c r="G90" s="14" t="str">
        <x:v>site</x:v>
      </x:c>
      <x:c r="H90" s="14" t="str">
        <x:v>high</x:v>
      </x:c>
      <x:c r="I90" s="14" t="str">
        <x:v>exact</x:v>
      </x:c>
      <x:c r="J90" s="14" t="str">
        <x:v>Ιταλία</x:v>
      </x:c>
      <x:c r="K90" s="14" t="str">
        <x:v>Italy</x:v>
      </x:c>
      <x:c r="L90" s="14" t="str">
        <x:v>ITA</x:v>
      </x:c>
      <x:c r="M90" s="14" t="str">
        <x:v>IT</x:v>
      </x:c>
      <x:c r="N90" s="14" t="str">
        <x:v>Augusta, Sicily</x:v>
      </x:c>
      <x:c r="O90" s="14" t="str">
        <x:v>Pleiades representative point</x:v>
      </x:c>
      <x:c r="P90" s="16"/>
      <x:c r="Q90" s="16"/>
      <x:c r="R90" s="14" t="str">
        <x:v>src-pleiades-462307</x:v>
      </x:c>
      <x:c r="S90" s="14" t="str">
        <x:v>reviewed</x:v>
      </x:c>
    </x:row>
    <x:row r="91" ht="40" customHeight="1">
      <x:c r="A91" s="14" t="str">
        <x:v>place-colony-mesembria</x:v>
      </x:c>
      <x:c r="B91" s="14" t="str">
        <x:v>colony-mesembria</x:v>
      </x:c>
      <x:c r="C91" s="22" t="n">
        <x:v>42.65958</x:v>
      </x:c>
      <x:c r="D91" s="22" t="n">
        <x:v>27.724443</x:v>
      </x:c>
      <x:c r="E91" s="16" t="str">
        <x:v>POINT (27.724443 42.65958)</x:v>
      </x:c>
      <x:c r="F91" s="16" t="str">
        <x:v>{"coordinates":[27.724443,42.65958],"type":"Point"}</x:v>
      </x:c>
      <x:c r="G91" s="14" t="str">
        <x:v>site</x:v>
      </x:c>
      <x:c r="H91" s="14" t="str">
        <x:v>high</x:v>
      </x:c>
      <x:c r="I91" s="14" t="str">
        <x:v>exact</x:v>
      </x:c>
      <x:c r="J91" s="14" t="str">
        <x:v>Βουλγαρία</x:v>
      </x:c>
      <x:c r="K91" s="14" t="str">
        <x:v>Bulgaria</x:v>
      </x:c>
      <x:c r="L91" s="14" t="str">
        <x:v>BGR</x:v>
      </x:c>
      <x:c r="M91" s="14" t="str">
        <x:v>BG</x:v>
      </x:c>
      <x:c r="N91" s="14" t="str">
        <x:v>Nesebar</x:v>
      </x:c>
      <x:c r="O91" s="14" t="str">
        <x:v>Pleiades representative point</x:v>
      </x:c>
      <x:c r="P91" s="16"/>
      <x:c r="Q91" s="16"/>
      <x:c r="R91" s="14" t="str">
        <x:v>src-pleiades-216882</x:v>
      </x:c>
      <x:c r="S91" s="14" t="str">
        <x:v>reviewed</x:v>
      </x:c>
    </x:row>
    <x:row r="92" ht="40" customHeight="1">
      <x:c r="A92" s="14" t="str">
        <x:v>place-colony-metapontum</x:v>
      </x:c>
      <x:c r="B92" s="14" t="str">
        <x:v>colony-metapontum</x:v>
      </x:c>
      <x:c r="C92" s="22" t="n">
        <x:v>40.383641</x:v>
      </x:c>
      <x:c r="D92" s="22" t="n">
        <x:v>16.824332</x:v>
      </x:c>
      <x:c r="E92" s="16" t="str">
        <x:v>POINT (16.824332 40.383641)</x:v>
      </x:c>
      <x:c r="F92" s="16" t="str">
        <x:v>{"coordinates":[16.824332,40.383641],"type":"Point"}</x:v>
      </x:c>
      <x:c r="G92" s="14" t="str">
        <x:v>site</x:v>
      </x:c>
      <x:c r="H92" s="14" t="str">
        <x:v>high</x:v>
      </x:c>
      <x:c r="I92" s="14" t="str">
        <x:v>exact</x:v>
      </x:c>
      <x:c r="J92" s="14" t="str">
        <x:v>Ιταλία</x:v>
      </x:c>
      <x:c r="K92" s="14" t="str">
        <x:v>Italy</x:v>
      </x:c>
      <x:c r="L92" s="14" t="str">
        <x:v>ITA</x:v>
      </x:c>
      <x:c r="M92" s="14" t="str">
        <x:v>IT</x:v>
      </x:c>
      <x:c r="N92" s="14" t="str">
        <x:v>Metaponto</x:v>
      </x:c>
      <x:c r="O92" s="14" t="str">
        <x:v>Pleiades representative point</x:v>
      </x:c>
      <x:c r="P92" s="16"/>
      <x:c r="Q92" s="16"/>
      <x:c r="R92" s="14" t="str">
        <x:v>src-pleiades-442658</x:v>
      </x:c>
      <x:c r="S92" s="14" t="str">
        <x:v>reviewed</x:v>
      </x:c>
    </x:row>
    <x:row r="93" ht="40" customHeight="1">
      <x:c r="A93" s="14" t="str">
        <x:v>place-colony-miletus</x:v>
      </x:c>
      <x:c r="B93" s="14" t="str">
        <x:v>colony-miletus</x:v>
      </x:c>
      <x:c r="C93" s="22" t="n">
        <x:v>37.530464</x:v>
      </x:c>
      <x:c r="D93" s="22" t="n">
        <x:v>27.278808</x:v>
      </x:c>
      <x:c r="E93" s="16" t="str">
        <x:v>POINT (27.278808 37.530464)</x:v>
      </x:c>
      <x:c r="F93" s="16" t="str">
        <x:v>{"coordinates":[27.278808,37.530464],"type":"Point"}</x:v>
      </x:c>
      <x:c r="G93" s="14" t="str">
        <x:v>site</x:v>
      </x:c>
      <x:c r="H93" s="14" t="str">
        <x:v>high</x:v>
      </x:c>
      <x:c r="I93" s="14" t="str">
        <x:v>exact</x:v>
      </x:c>
      <x:c r="J93" s="14" t="str">
        <x:v>Τουρκία</x:v>
      </x:c>
      <x:c r="K93" s="14" t="str">
        <x:v>Turkey</x:v>
      </x:c>
      <x:c r="L93" s="14" t="str">
        <x:v>TUR</x:v>
      </x:c>
      <x:c r="M93" s="14" t="str">
        <x:v>TR</x:v>
      </x:c>
      <x:c r="N93" s="14" t="str">
        <x:v>Balat, Aydın</x:v>
      </x:c>
      <x:c r="O93" s="14" t="str">
        <x:v>Pleiades representative point</x:v>
      </x:c>
      <x:c r="P93" s="16"/>
      <x:c r="Q93" s="16"/>
      <x:c r="R93" s="14" t="str">
        <x:v>src-pleiades-599799</x:v>
      </x:c>
      <x:c r="S93" s="14" t="str">
        <x:v>reviewed</x:v>
      </x:c>
    </x:row>
    <x:row r="94" ht="40" customHeight="1">
      <x:c r="A94" s="14" t="str">
        <x:v>place-colony-myrina-aeolis</x:v>
      </x:c>
      <x:c r="B94" s="14" t="str">
        <x:v>colony-myrina-aeolis</x:v>
      </x:c>
      <x:c r="C94" s="22" t="n">
        <x:v>38.846976</x:v>
      </x:c>
      <x:c r="D94" s="22" t="n">
        <x:v>26.980202</x:v>
      </x:c>
      <x:c r="E94" s="16" t="str">
        <x:v>POINT (26.980202 38.846976)</x:v>
      </x:c>
      <x:c r="F94" s="16" t="str">
        <x:v>{"coordinates":[26.980202,38.846976],"type":"Point"}</x:v>
      </x:c>
      <x:c r="G94" s="14" t="str">
        <x:v>site</x:v>
      </x:c>
      <x:c r="H94" s="14" t="str">
        <x:v>medium</x:v>
      </x:c>
      <x:c r="I94" s="14" t="str">
        <x:v>exact</x:v>
      </x:c>
      <x:c r="J94" s="14" t="str">
        <x:v>Τουρκία</x:v>
      </x:c>
      <x:c r="K94" s="14" t="str">
        <x:v>Turkey</x:v>
      </x:c>
      <x:c r="L94" s="14" t="str">
        <x:v>TUR</x:v>
      </x:c>
      <x:c r="M94" s="14" t="str">
        <x:v>TR</x:v>
      </x:c>
      <x:c r="N94" s="14" t="str">
        <x:v>Kalabak, Aliağa</x:v>
      </x:c>
      <x:c r="O94" s="14" t="str">
        <x:v>Pleiades representative point</x:v>
      </x:c>
      <x:c r="P94" s="16"/>
      <x:c r="Q94" s="16"/>
      <x:c r="R94" s="14" t="str">
        <x:v>src-pleiades-550756</x:v>
      </x:c>
      <x:c r="S94" s="14" t="str">
        <x:v>reviewed</x:v>
      </x:c>
    </x:row>
    <x:row r="95" ht="40" customHeight="1">
      <x:c r="A95" s="14" t="str">
        <x:v>place-colony-naucratis</x:v>
      </x:c>
      <x:c r="B95" s="14" t="str">
        <x:v>colony-naucratis</x:v>
      </x:c>
      <x:c r="C95" s="22" t="n">
        <x:v>30.900508</x:v>
      </x:c>
      <x:c r="D95" s="22" t="n">
        <x:v>30.591928</x:v>
      </x:c>
      <x:c r="E95" s="16" t="str">
        <x:v>POINT (30.591928 30.900508)</x:v>
      </x:c>
      <x:c r="F95" s="16" t="str">
        <x:v>{"coordinates":[30.591928,30.900508],"type":"Point"}</x:v>
      </x:c>
      <x:c r="G95" s="14" t="str">
        <x:v>site</x:v>
      </x:c>
      <x:c r="H95" s="14" t="str">
        <x:v>high</x:v>
      </x:c>
      <x:c r="I95" s="14" t="str">
        <x:v>exact</x:v>
      </x:c>
      <x:c r="J95" s="14" t="str">
        <x:v>Αίγυπτος</x:v>
      </x:c>
      <x:c r="K95" s="14" t="str">
        <x:v>Egypt</x:v>
      </x:c>
      <x:c r="L95" s="14" t="str">
        <x:v>EGY</x:v>
      </x:c>
      <x:c r="M95" s="14" t="str">
        <x:v>EG</x:v>
      </x:c>
      <x:c r="N95" s="14" t="str">
        <x:v>Kom Gi'eif, Beheira</x:v>
      </x:c>
      <x:c r="O95" s="14" t="str">
        <x:v>Pleiades representative point</x:v>
      </x:c>
      <x:c r="P95" s="16"/>
      <x:c r="Q95" s="16"/>
      <x:c r="R95" s="14" t="str">
        <x:v>src-pleiades-727169</x:v>
      </x:c>
      <x:c r="S95" s="14" t="str">
        <x:v>reviewed</x:v>
      </x:c>
    </x:row>
    <x:row r="96" ht="40" customHeight="1">
      <x:c r="A96" s="14" t="str">
        <x:v>place-colony-naxos-sicily</x:v>
      </x:c>
      <x:c r="B96" s="14" t="str">
        <x:v>colony-naxos-sicily</x:v>
      </x:c>
      <x:c r="C96" s="22" t="n">
        <x:v>37.822487</x:v>
      </x:c>
      <x:c r="D96" s="22" t="n">
        <x:v>15.267795</x:v>
      </x:c>
      <x:c r="E96" s="16" t="str">
        <x:v>POINT (15.267795 37.822487)</x:v>
      </x:c>
      <x:c r="F96" s="16" t="str">
        <x:v>{"coordinates":[15.267795,37.822487],"type":"Point"}</x:v>
      </x:c>
      <x:c r="G96" s="14" t="str">
        <x:v>site</x:v>
      </x:c>
      <x:c r="H96" s="14" t="str">
        <x:v>high</x:v>
      </x:c>
      <x:c r="I96" s="14" t="str">
        <x:v>exact</x:v>
      </x:c>
      <x:c r="J96" s="14" t="str">
        <x:v>Ιταλία</x:v>
      </x:c>
      <x:c r="K96" s="14" t="str">
        <x:v>Italy</x:v>
      </x:c>
      <x:c r="L96" s="14" t="str">
        <x:v>ITA</x:v>
      </x:c>
      <x:c r="M96" s="14" t="str">
        <x:v>IT</x:v>
      </x:c>
      <x:c r="N96" s="14" t="str">
        <x:v>Giardini Naxos</x:v>
      </x:c>
      <x:c r="O96" s="14" t="str">
        <x:v>Pleiades representative point</x:v>
      </x:c>
      <x:c r="P96" s="16"/>
      <x:c r="Q96" s="16"/>
      <x:c r="R96" s="14" t="str">
        <x:v>src-pleiades-462386</x:v>
      </x:c>
      <x:c r="S96" s="14" t="str">
        <x:v>reviewed</x:v>
      </x:c>
    </x:row>
    <x:row r="97" ht="40" customHeight="1">
      <x:c r="A97" s="14" t="str">
        <x:v>place-colony-neapolis-campania</x:v>
      </x:c>
      <x:c r="B97" s="14" t="str">
        <x:v>colony-neapolis-campania</x:v>
      </x:c>
      <x:c r="C97" s="22" t="n">
        <x:v>40.839995</x:v>
      </x:c>
      <x:c r="D97" s="22" t="n">
        <x:v>14.25287</x:v>
      </x:c>
      <x:c r="E97" s="16" t="str">
        <x:v>POINT (14.25287 40.839995)</x:v>
      </x:c>
      <x:c r="F97" s="16" t="str">
        <x:v>{"coordinates":[14.25287,40.839995],"type":"Point"}</x:v>
      </x:c>
      <x:c r="G97" s="14" t="str">
        <x:v>site</x:v>
      </x:c>
      <x:c r="H97" s="14" t="str">
        <x:v>high</x:v>
      </x:c>
      <x:c r="I97" s="14" t="str">
        <x:v>exact</x:v>
      </x:c>
      <x:c r="J97" s="14" t="str">
        <x:v>Ιταλία</x:v>
      </x:c>
      <x:c r="K97" s="14" t="str">
        <x:v>Italy</x:v>
      </x:c>
      <x:c r="L97" s="14" t="str">
        <x:v>ITA</x:v>
      </x:c>
      <x:c r="M97" s="14" t="str">
        <x:v>IT</x:v>
      </x:c>
      <x:c r="N97" s="14" t="str">
        <x:v>Napoli</x:v>
      </x:c>
      <x:c r="O97" s="14" t="str">
        <x:v>Pleiades representative point</x:v>
      </x:c>
      <x:c r="P97" s="16"/>
      <x:c r="Q97" s="16"/>
      <x:c r="R97" s="14" t="str">
        <x:v>src-pleiades-433014</x:v>
      </x:c>
      <x:c r="S97" s="14" t="str">
        <x:v>reviewed</x:v>
      </x:c>
    </x:row>
    <x:row r="98" ht="40" customHeight="1">
      <x:c r="A98" s="14" t="str">
        <x:v>place-colony-odessos</x:v>
      </x:c>
      <x:c r="B98" s="14" t="str">
        <x:v>colony-odessos</x:v>
      </x:c>
      <x:c r="C98" s="22" t="n">
        <x:v>43.20616</x:v>
      </x:c>
      <x:c r="D98" s="22" t="n">
        <x:v>27.913472</x:v>
      </x:c>
      <x:c r="E98" s="16" t="str">
        <x:v>POINT (27.913472 43.20616)</x:v>
      </x:c>
      <x:c r="F98" s="16" t="str">
        <x:v>{"coordinates":[27.913472,43.20616],"type":"Point"}</x:v>
      </x:c>
      <x:c r="G98" s="14" t="str">
        <x:v>site</x:v>
      </x:c>
      <x:c r="H98" s="14" t="str">
        <x:v>high</x:v>
      </x:c>
      <x:c r="I98" s="14" t="str">
        <x:v>exact</x:v>
      </x:c>
      <x:c r="J98" s="14" t="str">
        <x:v>Βουλγαρία</x:v>
      </x:c>
      <x:c r="K98" s="14" t="str">
        <x:v>Bulgaria</x:v>
      </x:c>
      <x:c r="L98" s="14" t="str">
        <x:v>BGR</x:v>
      </x:c>
      <x:c r="M98" s="14" t="str">
        <x:v>BG</x:v>
      </x:c>
      <x:c r="N98" s="14" t="str">
        <x:v>Varna</x:v>
      </x:c>
      <x:c r="O98" s="14" t="str">
        <x:v>Pleiades representative point</x:v>
      </x:c>
      <x:c r="P98" s="16"/>
      <x:c r="Q98" s="16"/>
      <x:c r="R98" s="14" t="str">
        <x:v>src-pleiades-216904</x:v>
      </x:c>
      <x:c r="S98" s="14" t="str">
        <x:v>reviewed</x:v>
      </x:c>
    </x:row>
    <x:row r="99" ht="40" customHeight="1">
      <x:c r="A99" s="14" t="str">
        <x:v>place-colony-olbia-pontica</x:v>
      </x:c>
      <x:c r="B99" s="14" t="str">
        <x:v>colony-olbia-pontica</x:v>
      </x:c>
      <x:c r="C99" s="22" t="n">
        <x:v>46.692386</x:v>
      </x:c>
      <x:c r="D99" s="22" t="n">
        <x:v>31.905857</x:v>
      </x:c>
      <x:c r="E99" s="16" t="str">
        <x:v>POINT (31.905857 46.692386)</x:v>
      </x:c>
      <x:c r="F99" s="16" t="str">
        <x:v>{"coordinates":[31.905857,46.692386],"type":"Point"}</x:v>
      </x:c>
      <x:c r="G99" s="14" t="str">
        <x:v>site</x:v>
      </x:c>
      <x:c r="H99" s="14" t="str">
        <x:v>high</x:v>
      </x:c>
      <x:c r="I99" s="14" t="str">
        <x:v>exact</x:v>
      </x:c>
      <x:c r="J99" s="14" t="str">
        <x:v>Ουκρανία</x:v>
      </x:c>
      <x:c r="K99" s="14" t="str">
        <x:v>Ukraine</x:v>
      </x:c>
      <x:c r="L99" s="14" t="str">
        <x:v>UKR</x:v>
      </x:c>
      <x:c r="M99" s="14" t="str">
        <x:v>UA</x:v>
      </x:c>
      <x:c r="N99" s="14" t="str">
        <x:v>Parutyne, Mykolaiv Oblast</x:v>
      </x:c>
      <x:c r="O99" s="14" t="str">
        <x:v>Pleiades representative point</x:v>
      </x:c>
      <x:c r="P99" s="16"/>
      <x:c r="Q99" s="16"/>
      <x:c r="R99" s="14" t="str">
        <x:v>src-pleiades-226546</x:v>
      </x:c>
      <x:c r="S99" s="14" t="str">
        <x:v>reviewed</x:v>
      </x:c>
    </x:row>
    <x:row r="100" ht="40" customHeight="1">
      <x:c r="A100" s="14" t="str">
        <x:v>place-colony-panticapaeum</x:v>
      </x:c>
      <x:c r="B100" s="14" t="str">
        <x:v>colony-panticapaeum</x:v>
      </x:c>
      <x:c r="C100" s="22" t="n">
        <x:v>45.350983</x:v>
      </x:c>
      <x:c r="D100" s="22" t="n">
        <x:v>36.46858</x:v>
      </x:c>
      <x:c r="E100" s="16" t="str">
        <x:v>POINT (36.46858 45.350983)</x:v>
      </x:c>
      <x:c r="F100" s="16" t="str">
        <x:v>{"coordinates":[36.46858,45.350983],"type":"Point"}</x:v>
      </x:c>
      <x:c r="G100" s="14" t="str">
        <x:v>site</x:v>
      </x:c>
      <x:c r="H100" s="14" t="str">
        <x:v>high</x:v>
      </x:c>
      <x:c r="I100" s="14" t="str">
        <x:v>exact</x:v>
      </x:c>
      <x:c r="J100" s="14" t="str">
        <x:v>Ουκρανία</x:v>
      </x:c>
      <x:c r="K100" s="14" t="str">
        <x:v>Ukraine</x:v>
      </x:c>
      <x:c r="L100" s="14" t="str">
        <x:v>UKR</x:v>
      </x:c>
      <x:c r="M100" s="14" t="str">
        <x:v>UA</x:v>
      </x:c>
      <x:c r="N100" s="14" t="str">
        <x:v>Kerch, Crimea</x:v>
      </x:c>
      <x:c r="O100" s="14" t="str">
        <x:v>Pleiades representative point</x:v>
      </x:c>
      <x:c r="P100" s="16"/>
      <x:c r="Q100" s="16"/>
      <x:c r="R100" s="14" t="str">
        <x:v>src-pleiades-854719</x:v>
      </x:c>
      <x:c r="S100" s="14" t="str">
        <x:v>reviewed</x:v>
      </x:c>
    </x:row>
    <x:row r="101" ht="40" customHeight="1">
      <x:c r="A101" s="14" t="str">
        <x:v>place-colony-phanagoria</x:v>
      </x:c>
      <x:c r="B101" s="14" t="str">
        <x:v>colony-phanagoria</x:v>
      </x:c>
      <x:c r="C101" s="22" t="n">
        <x:v>45.276258</x:v>
      </x:c>
      <x:c r="D101" s="22" t="n">
        <x:v>36.959668</x:v>
      </x:c>
      <x:c r="E101" s="16" t="str">
        <x:v>POINT (36.959668 45.276258)</x:v>
      </x:c>
      <x:c r="F101" s="16" t="str">
        <x:v>{"coordinates":[36.959668,45.276258],"type":"Point"}</x:v>
      </x:c>
      <x:c r="G101" s="14" t="str">
        <x:v>site</x:v>
      </x:c>
      <x:c r="H101" s="14" t="str">
        <x:v>high</x:v>
      </x:c>
      <x:c r="I101" s="14" t="str">
        <x:v>exact</x:v>
      </x:c>
      <x:c r="J101" s="14" t="str">
        <x:v>Ρωσία</x:v>
      </x:c>
      <x:c r="K101" s="14" t="str">
        <x:v>Russia</x:v>
      </x:c>
      <x:c r="L101" s="14" t="str">
        <x:v>RUS</x:v>
      </x:c>
      <x:c r="M101" s="14" t="str">
        <x:v>RU</x:v>
      </x:c>
      <x:c r="N101" s="14" t="str">
        <x:v>Sennoy, Krasnodar Krai</x:v>
      </x:c>
      <x:c r="O101" s="14" t="str">
        <x:v>Pleiades representative point</x:v>
      </x:c>
      <x:c r="P101" s="16"/>
      <x:c r="Q101" s="16"/>
      <x:c r="R101" s="14" t="str">
        <x:v>src-pleiades-854724</x:v>
      </x:c>
      <x:c r="S101" s="14" t="str">
        <x:v>reviewed</x:v>
      </x:c>
    </x:row>
    <x:row r="102" ht="40" customHeight="1">
      <x:c r="A102" s="14" t="str">
        <x:v>place-colony-pharos-hvar</x:v>
      </x:c>
      <x:c r="B102" s="14" t="str">
        <x:v>colony-pharos-hvar</x:v>
      </x:c>
      <x:c r="C102" s="22" t="n">
        <x:v>43.184286</x:v>
      </x:c>
      <x:c r="D102" s="22" t="n">
        <x:v>16.601041</x:v>
      </x:c>
      <x:c r="E102" s="16" t="str">
        <x:v>POINT (16.601041 43.184286)</x:v>
      </x:c>
      <x:c r="F102" s="16" t="str">
        <x:v>{"coordinates":[16.601041,43.184286],"type":"Point"}</x:v>
      </x:c>
      <x:c r="G102" s="14" t="str">
        <x:v>site</x:v>
      </x:c>
      <x:c r="H102" s="14" t="str">
        <x:v>high</x:v>
      </x:c>
      <x:c r="I102" s="14" t="str">
        <x:v>exact</x:v>
      </x:c>
      <x:c r="J102" s="14" t="str">
        <x:v>Κροατία</x:v>
      </x:c>
      <x:c r="K102" s="14" t="str">
        <x:v>Croatia</x:v>
      </x:c>
      <x:c r="L102" s="14" t="str">
        <x:v>HRV</x:v>
      </x:c>
      <x:c r="M102" s="14" t="str">
        <x:v>HR</x:v>
      </x:c>
      <x:c r="N102" s="14" t="str">
        <x:v>Stari Grad, Hvar</x:v>
      </x:c>
      <x:c r="O102" s="14" t="str">
        <x:v>Pleiades representative point</x:v>
      </x:c>
      <x:c r="P102" s="16"/>
      <x:c r="Q102" s="16"/>
      <x:c r="R102" s="14" t="str">
        <x:v>src-pleiades-197433</x:v>
      </x:c>
      <x:c r="S102" s="14" t="str">
        <x:v>reviewed</x:v>
      </x:c>
    </x:row>
    <x:row r="103" ht="40" customHeight="1">
      <x:c r="A103" s="14" t="str">
        <x:v>place-colony-phaselis</x:v>
      </x:c>
      <x:c r="B103" s="14" t="str">
        <x:v>colony-phaselis</x:v>
      </x:c>
      <x:c r="C103" s="22" t="n">
        <x:v>36.523492</x:v>
      </x:c>
      <x:c r="D103" s="22" t="n">
        <x:v>30.552167</x:v>
      </x:c>
      <x:c r="E103" s="16" t="str">
        <x:v>POINT (30.552167 36.523492)</x:v>
      </x:c>
      <x:c r="F103" s="16" t="str">
        <x:v>{"coordinates":[30.552167,36.523492],"type":"Point"}</x:v>
      </x:c>
      <x:c r="G103" s="14" t="str">
        <x:v>site</x:v>
      </x:c>
      <x:c r="H103" s="14" t="str">
        <x:v>high</x:v>
      </x:c>
      <x:c r="I103" s="14" t="str">
        <x:v>exact</x:v>
      </x:c>
      <x:c r="J103" s="14" t="str">
        <x:v>Τουρκία</x:v>
      </x:c>
      <x:c r="K103" s="14" t="str">
        <x:v>Turkey</x:v>
      </x:c>
      <x:c r="L103" s="14" t="str">
        <x:v>TUR</x:v>
      </x:c>
      <x:c r="M103" s="14" t="str">
        <x:v>TR</x:v>
      </x:c>
      <x:c r="N103" s="14" t="str">
        <x:v>Tekirova, Antalya</x:v>
      </x:c>
      <x:c r="O103" s="14" t="str">
        <x:v>Pleiades representative point</x:v>
      </x:c>
      <x:c r="P103" s="16"/>
      <x:c r="Q103" s="16"/>
      <x:c r="R103" s="14" t="str">
        <x:v>src-pleiades-639051</x:v>
      </x:c>
      <x:c r="S103" s="14" t="str">
        <x:v>reviewed</x:v>
      </x:c>
    </x:row>
    <x:row r="104" ht="40" customHeight="1">
      <x:c r="A104" s="14" t="str">
        <x:v>place-colony-phasis-city</x:v>
      </x:c>
      <x:c r="B104" s="14" t="str">
        <x:v>colony-phasis-city</x:v>
      </x:c>
      <x:c r="C104" s="22" t="n">
        <x:v>42.135867</x:v>
      </x:c>
      <x:c r="D104" s="22" t="n">
        <x:v>41.692323</x:v>
      </x:c>
      <x:c r="E104" s="16" t="str">
        <x:v>POINT (41.692323 42.135867)</x:v>
      </x:c>
      <x:c r="F104" s="16" t="str">
        <x:v>{"coordinates":[41.692323,42.135867],"type":"Point"}</x:v>
      </x:c>
      <x:c r="G104" s="14" t="str">
        <x:v>site</x:v>
      </x:c>
      <x:c r="H104" s="14" t="str">
        <x:v>medium</x:v>
      </x:c>
      <x:c r="I104" s="14" t="str">
        <x:v>exact</x:v>
      </x:c>
      <x:c r="J104" s="14" t="str">
        <x:v>Γεωργία</x:v>
      </x:c>
      <x:c r="K104" s="14" t="str">
        <x:v>Georgia</x:v>
      </x:c>
      <x:c r="L104" s="14" t="str">
        <x:v>GEO</x:v>
      </x:c>
      <x:c r="M104" s="14" t="str">
        <x:v>GE</x:v>
      </x:c>
      <x:c r="N104" s="14" t="str">
        <x:v>περιοχή Poti</x:v>
      </x:c>
      <x:c r="O104" s="14" t="str">
        <x:v>Pleiades representative point</x:v>
      </x:c>
      <x:c r="P104" s="16"/>
      <x:c r="Q104" s="16"/>
      <x:c r="R104" s="14" t="str">
        <x:v>src-pleiades-857275</x:v>
      </x:c>
      <x:c r="S104" s="14" t="str">
        <x:v>reviewed</x:v>
      </x:c>
    </x:row>
    <x:row r="105" ht="40" customHeight="1">
      <x:c r="A105" s="14" t="str">
        <x:v>place-colony-philippi</x:v>
      </x:c>
      <x:c r="B105" s="14" t="str">
        <x:v>colony-philippi</x:v>
      </x:c>
      <x:c r="C105" s="22" t="n">
        <x:v>41.012651</x:v>
      </x:c>
      <x:c r="D105" s="22" t="n">
        <x:v>24.284637</x:v>
      </x:c>
      <x:c r="E105" s="16" t="str">
        <x:v>POINT (24.284637 41.012651)</x:v>
      </x:c>
      <x:c r="F105" s="16" t="str">
        <x:v>{"coordinates":[24.284637,41.012651],"type":"Point"}</x:v>
      </x:c>
      <x:c r="G105" s="14" t="str">
        <x:v>site</x:v>
      </x:c>
      <x:c r="H105" s="14" t="str">
        <x:v>high</x:v>
      </x:c>
      <x:c r="I105" s="14" t="str">
        <x:v>exact</x:v>
      </x:c>
      <x:c r="J105" s="14" t="str">
        <x:v>Ελλάδα</x:v>
      </x:c>
      <x:c r="K105" s="14" t="str">
        <x:v>Greece</x:v>
      </x:c>
      <x:c r="L105" s="14" t="str">
        <x:v>GRC</x:v>
      </x:c>
      <x:c r="M105" s="14" t="str">
        <x:v>GR</x:v>
      </x:c>
      <x:c r="N105" s="14" t="str">
        <x:v>Κρηνίδες Καβάλας</x:v>
      </x:c>
      <x:c r="O105" s="14" t="str">
        <x:v>Pleiades representative point</x:v>
      </x:c>
      <x:c r="P105" s="16"/>
      <x:c r="Q105" s="16"/>
      <x:c r="R105" s="14" t="str">
        <x:v>src-pleiades-501482</x:v>
      </x:c>
      <x:c r="S105" s="14" t="str">
        <x:v>reviewed</x:v>
      </x:c>
    </x:row>
    <x:row r="106" ht="40" customHeight="1">
      <x:c r="A106" s="14" t="str">
        <x:v>place-colony-phocaea</x:v>
      </x:c>
      <x:c r="B106" s="14" t="str">
        <x:v>colony-phocaea</x:v>
      </x:c>
      <x:c r="C106" s="22" t="n">
        <x:v>38.6703</x:v>
      </x:c>
      <x:c r="D106" s="22" t="n">
        <x:v>26.75656</x:v>
      </x:c>
      <x:c r="E106" s="16" t="str">
        <x:v>POINT (26.75656 38.6703)</x:v>
      </x:c>
      <x:c r="F106" s="16" t="str">
        <x:v>{"coordinates":[26.75656,38.6703],"type":"Point"}</x:v>
      </x:c>
      <x:c r="G106" s="14" t="str">
        <x:v>site</x:v>
      </x:c>
      <x:c r="H106" s="14" t="str">
        <x:v>high</x:v>
      </x:c>
      <x:c r="I106" s="14" t="str">
        <x:v>exact</x:v>
      </x:c>
      <x:c r="J106" s="14" t="str">
        <x:v>Τουρκία</x:v>
      </x:c>
      <x:c r="K106" s="14" t="str">
        <x:v>Turkey</x:v>
      </x:c>
      <x:c r="L106" s="14" t="str">
        <x:v>TUR</x:v>
      </x:c>
      <x:c r="M106" s="14" t="str">
        <x:v>TR</x:v>
      </x:c>
      <x:c r="N106" s="14" t="str">
        <x:v>Foça, İzmir</x:v>
      </x:c>
      <x:c r="O106" s="14" t="str">
        <x:v>Pleiades representative point</x:v>
      </x:c>
      <x:c r="P106" s="16"/>
      <x:c r="Q106" s="16"/>
      <x:c r="R106" s="14" t="str">
        <x:v>src-pleiades-550823</x:v>
      </x:c>
      <x:c r="S106" s="14" t="str">
        <x:v>reviewed</x:v>
      </x:c>
    </x:row>
    <x:row r="107" ht="40" customHeight="1">
      <x:c r="A107" s="14" t="str">
        <x:v>place-colony-poseidonia</x:v>
      </x:c>
      <x:c r="B107" s="14" t="str">
        <x:v>colony-poseidonia</x:v>
      </x:c>
      <x:c r="C107" s="22" t="n">
        <x:v>40.420848</x:v>
      </x:c>
      <x:c r="D107" s="22" t="n">
        <x:v>15.005079</x:v>
      </x:c>
      <x:c r="E107" s="16" t="str">
        <x:v>POINT (15.005079 40.420848)</x:v>
      </x:c>
      <x:c r="F107" s="16" t="str">
        <x:v>{"coordinates":[15.005079,40.420848],"type":"Point"}</x:v>
      </x:c>
      <x:c r="G107" s="14" t="str">
        <x:v>site</x:v>
      </x:c>
      <x:c r="H107" s="14" t="str">
        <x:v>high</x:v>
      </x:c>
      <x:c r="I107" s="14" t="str">
        <x:v>exact</x:v>
      </x:c>
      <x:c r="J107" s="14" t="str">
        <x:v>Ιταλία</x:v>
      </x:c>
      <x:c r="K107" s="14" t="str">
        <x:v>Italy</x:v>
      </x:c>
      <x:c r="L107" s="14" t="str">
        <x:v>ITA</x:v>
      </x:c>
      <x:c r="M107" s="14" t="str">
        <x:v>IT</x:v>
      </x:c>
      <x:c r="N107" s="14" t="str">
        <x:v>Paestum</x:v>
      </x:c>
      <x:c r="O107" s="14" t="str">
        <x:v>Pleiades representative point</x:v>
      </x:c>
      <x:c r="P107" s="16"/>
      <x:c r="Q107" s="16"/>
      <x:c r="R107" s="14" t="str">
        <x:v>src-pleiades-442733</x:v>
      </x:c>
      <x:c r="S107" s="14" t="str">
        <x:v>reviewed</x:v>
      </x:c>
    </x:row>
    <x:row r="108" ht="40" customHeight="1">
      <x:c r="A108" s="14" t="str">
        <x:v>place-colony-priene</x:v>
      </x:c>
      <x:c r="B108" s="14" t="str">
        <x:v>colony-priene</x:v>
      </x:c>
      <x:c r="C108" s="22" t="n">
        <x:v>37.66078</x:v>
      </x:c>
      <x:c r="D108" s="22" t="n">
        <x:v>27.296584</x:v>
      </x:c>
      <x:c r="E108" s="16" t="str">
        <x:v>POINT (27.296584 37.66078)</x:v>
      </x:c>
      <x:c r="F108" s="16" t="str">
        <x:v>{"coordinates":[27.296584,37.66078],"type":"Point"}</x:v>
      </x:c>
      <x:c r="G108" s="14" t="str">
        <x:v>site</x:v>
      </x:c>
      <x:c r="H108" s="14" t="str">
        <x:v>high</x:v>
      </x:c>
      <x:c r="I108" s="14" t="str">
        <x:v>exact</x:v>
      </x:c>
      <x:c r="J108" s="14" t="str">
        <x:v>Τουρκία</x:v>
      </x:c>
      <x:c r="K108" s="14" t="str">
        <x:v>Turkey</x:v>
      </x:c>
      <x:c r="L108" s="14" t="str">
        <x:v>TUR</x:v>
      </x:c>
      <x:c r="M108" s="14" t="str">
        <x:v>TR</x:v>
      </x:c>
      <x:c r="N108" s="14" t="str">
        <x:v>Güllübahçe, Söke</x:v>
      </x:c>
      <x:c r="O108" s="14" t="str">
        <x:v>Pleiades representative point</x:v>
      </x:c>
      <x:c r="P108" s="16"/>
      <x:c r="Q108" s="16"/>
      <x:c r="R108" s="14" t="str">
        <x:v>src-pleiades-599905</x:v>
      </x:c>
      <x:c r="S108" s="14" t="str">
        <x:v>reviewed</x:v>
      </x:c>
    </x:row>
    <x:row r="109" ht="40" customHeight="1">
      <x:c r="A109" s="14" t="str">
        <x:v>place-colony-rhegion</x:v>
      </x:c>
      <x:c r="B109" s="14" t="str">
        <x:v>colony-rhegion</x:v>
      </x:c>
      <x:c r="C109" s="22" t="n">
        <x:v>38.109279</x:v>
      </x:c>
      <x:c r="D109" s="22" t="n">
        <x:v>15.64393</x:v>
      </x:c>
      <x:c r="E109" s="16" t="str">
        <x:v>POINT (15.64393 38.109279)</x:v>
      </x:c>
      <x:c r="F109" s="16" t="str">
        <x:v>{"coordinates":[15.64393,38.109279],"type":"Point"}</x:v>
      </x:c>
      <x:c r="G109" s="14" t="str">
        <x:v>site</x:v>
      </x:c>
      <x:c r="H109" s="14" t="str">
        <x:v>high</x:v>
      </x:c>
      <x:c r="I109" s="14" t="str">
        <x:v>exact</x:v>
      </x:c>
      <x:c r="J109" s="14" t="str">
        <x:v>Ιταλία</x:v>
      </x:c>
      <x:c r="K109" s="14" t="str">
        <x:v>Italy</x:v>
      </x:c>
      <x:c r="L109" s="14" t="str">
        <x:v>ITA</x:v>
      </x:c>
      <x:c r="M109" s="14" t="str">
        <x:v>IT</x:v>
      </x:c>
      <x:c r="N109" s="14" t="str">
        <x:v>Reggio Calabria</x:v>
      </x:c>
      <x:c r="O109" s="14" t="str">
        <x:v>Pleiades representative point</x:v>
      </x:c>
      <x:c r="P109" s="16"/>
      <x:c r="Q109" s="16"/>
      <x:c r="R109" s="14" t="str">
        <x:v>src-pleiades-452416</x:v>
      </x:c>
      <x:c r="S109" s="14" t="str">
        <x:v>reviewed</x:v>
      </x:c>
    </x:row>
    <x:row r="110" ht="40" customHeight="1">
      <x:c r="A110" s="14" t="str">
        <x:v>place-colony-selinus</x:v>
      </x:c>
      <x:c r="B110" s="14" t="str">
        <x:v>colony-selinus</x:v>
      </x:c>
      <x:c r="C110" s="22" t="n">
        <x:v>37.588282</x:v>
      </x:c>
      <x:c r="D110" s="22" t="n">
        <x:v>12.824893</x:v>
      </x:c>
      <x:c r="E110" s="16" t="str">
        <x:v>POINT (12.824893 37.588282)</x:v>
      </x:c>
      <x:c r="F110" s="16" t="str">
        <x:v>{"coordinates":[12.824893,37.588282],"type":"Point"}</x:v>
      </x:c>
      <x:c r="G110" s="14" t="str">
        <x:v>site</x:v>
      </x:c>
      <x:c r="H110" s="14" t="str">
        <x:v>high</x:v>
      </x:c>
      <x:c r="I110" s="14" t="str">
        <x:v>exact</x:v>
      </x:c>
      <x:c r="J110" s="14" t="str">
        <x:v>Ιταλία</x:v>
      </x:c>
      <x:c r="K110" s="14" t="str">
        <x:v>Italy</x:v>
      </x:c>
      <x:c r="L110" s="14" t="str">
        <x:v>ITA</x:v>
      </x:c>
      <x:c r="M110" s="14" t="str">
        <x:v>IT</x:v>
      </x:c>
      <x:c r="N110" s="14" t="str">
        <x:v>Marinella di Selinunte</x:v>
      </x:c>
      <x:c r="O110" s="14" t="str">
        <x:v>Pleiades representative point</x:v>
      </x:c>
      <x:c r="P110" s="16"/>
      <x:c r="Q110" s="16"/>
      <x:c r="R110" s="14" t="str">
        <x:v>src-pleiades-462489</x:v>
      </x:c>
      <x:c r="S110" s="14" t="str">
        <x:v>reviewed</x:v>
      </x:c>
    </x:row>
    <x:row r="111" ht="40" customHeight="1">
      <x:c r="A111" s="14" t="str">
        <x:v>place-colony-sinope</x:v>
      </x:c>
      <x:c r="B111" s="14" t="str">
        <x:v>colony-sinope</x:v>
      </x:c>
      <x:c r="C111" s="22" t="n">
        <x:v>42.025776</x:v>
      </x:c>
      <x:c r="D111" s="22" t="n">
        <x:v>35.143037</x:v>
      </x:c>
      <x:c r="E111" s="16" t="str">
        <x:v>POINT (35.143037 42.025776)</x:v>
      </x:c>
      <x:c r="F111" s="16" t="str">
        <x:v>{"coordinates":[35.143037,42.025776],"type":"Point"}</x:v>
      </x:c>
      <x:c r="G111" s="14" t="str">
        <x:v>site</x:v>
      </x:c>
      <x:c r="H111" s="14" t="str">
        <x:v>high</x:v>
      </x:c>
      <x:c r="I111" s="14" t="str">
        <x:v>exact</x:v>
      </x:c>
      <x:c r="J111" s="14" t="str">
        <x:v>Τουρκία</x:v>
      </x:c>
      <x:c r="K111" s="14" t="str">
        <x:v>Turkey</x:v>
      </x:c>
      <x:c r="L111" s="14" t="str">
        <x:v>TUR</x:v>
      </x:c>
      <x:c r="M111" s="14" t="str">
        <x:v>TR</x:v>
      </x:c>
      <x:c r="N111" s="14" t="str">
        <x:v>Sinop</x:v>
      </x:c>
      <x:c r="O111" s="14" t="str">
        <x:v>Pleiades representative point</x:v>
      </x:c>
      <x:c r="P111" s="16"/>
      <x:c r="Q111" s="16"/>
      <x:c r="R111" s="14" t="str">
        <x:v>src-pleiades-857321</x:v>
      </x:c>
      <x:c r="S111" s="14" t="str">
        <x:v>reviewed</x:v>
      </x:c>
    </x:row>
    <x:row r="112" ht="40" customHeight="1">
      <x:c r="A112" s="14" t="str">
        <x:v>place-colony-sybaris</x:v>
      </x:c>
      <x:c r="B112" s="14" t="str">
        <x:v>colony-sybaris</x:v>
      </x:c>
      <x:c r="C112" s="22" t="n">
        <x:v>39.717328</x:v>
      </x:c>
      <x:c r="D112" s="22" t="n">
        <x:v>16.494262</x:v>
      </x:c>
      <x:c r="E112" s="16" t="str">
        <x:v>POINT (16.494262 39.717328)</x:v>
      </x:c>
      <x:c r="F112" s="16" t="str">
        <x:v>{"coordinates":[16.494262,39.717328],"type":"Point"}</x:v>
      </x:c>
      <x:c r="G112" s="14" t="str">
        <x:v>site</x:v>
      </x:c>
      <x:c r="H112" s="14" t="str">
        <x:v>high</x:v>
      </x:c>
      <x:c r="I112" s="14" t="str">
        <x:v>exact</x:v>
      </x:c>
      <x:c r="J112" s="14" t="str">
        <x:v>Ιταλία</x:v>
      </x:c>
      <x:c r="K112" s="14" t="str">
        <x:v>Italy</x:v>
      </x:c>
      <x:c r="L112" s="14" t="str">
        <x:v>ITA</x:v>
      </x:c>
      <x:c r="M112" s="14" t="str">
        <x:v>IT</x:v>
      </x:c>
      <x:c r="N112" s="14" t="str">
        <x:v>Sibari, Calabria</x:v>
      </x:c>
      <x:c r="O112" s="14" t="str">
        <x:v>Pleiades representative point</x:v>
      </x:c>
      <x:c r="P112" s="16"/>
      <x:c r="Q112" s="16"/>
      <x:c r="R112" s="14" t="str">
        <x:v>src-pleiades-452457</x:v>
      </x:c>
      <x:c r="S112" s="14" t="str">
        <x:v>reviewed</x:v>
      </x:c>
    </x:row>
    <x:row r="113" ht="40" customHeight="1">
      <x:c r="A113" s="14" t="str">
        <x:v>place-colony-syracuse</x:v>
      </x:c>
      <x:c r="B113" s="14" t="str">
        <x:v>colony-syracuse</x:v>
      </x:c>
      <x:c r="C113" s="22" t="n">
        <x:v>37.070079</x:v>
      </x:c>
      <x:c r="D113" s="22" t="n">
        <x:v>15.283336</x:v>
      </x:c>
      <x:c r="E113" s="16" t="str">
        <x:v>POINT (15.283336 37.070079)</x:v>
      </x:c>
      <x:c r="F113" s="16" t="str">
        <x:v>{"coordinates":[15.283336,37.070079],"type":"Point"}</x:v>
      </x:c>
      <x:c r="G113" s="14" t="str">
        <x:v>site</x:v>
      </x:c>
      <x:c r="H113" s="14" t="str">
        <x:v>high</x:v>
      </x:c>
      <x:c r="I113" s="14" t="str">
        <x:v>approximate</x:v>
      </x:c>
      <x:c r="J113" s="14" t="str">
        <x:v>Ιταλία</x:v>
      </x:c>
      <x:c r="K113" s="14" t="str">
        <x:v>Italy</x:v>
      </x:c>
      <x:c r="L113" s="14" t="str">
        <x:v>ITA</x:v>
      </x:c>
      <x:c r="M113" s="14" t="str">
        <x:v>IT</x:v>
      </x:c>
      <x:c r="N113" s="14" t="str">
        <x:v>Siracusa</x:v>
      </x:c>
      <x:c r="O113" s="14" t="str">
        <x:v>Pleiades representative point</x:v>
      </x:c>
      <x:c r="P113" s="16"/>
      <x:c r="Q113" s="16"/>
      <x:c r="R113" s="14" t="str">
        <x:v>src-pleiades-462503</x:v>
      </x:c>
      <x:c r="S113" s="14" t="str">
        <x:v>reviewed</x:v>
      </x:c>
    </x:row>
    <x:row r="114" ht="40" customHeight="1">
      <x:c r="A114" s="14" t="str">
        <x:v>place-colony-tanais</x:v>
      </x:c>
      <x:c r="B114" s="14" t="str">
        <x:v>colony-tanais</x:v>
      </x:c>
      <x:c r="C114" s="22" t="n">
        <x:v>47.268688</x:v>
      </x:c>
      <x:c r="D114" s="22" t="n">
        <x:v>39.335671</x:v>
      </x:c>
      <x:c r="E114" s="16" t="str">
        <x:v>POINT (39.335671 47.268688)</x:v>
      </x:c>
      <x:c r="F114" s="16" t="str">
        <x:v>{"coordinates":[39.335671,47.268688],"type":"Point"}</x:v>
      </x:c>
      <x:c r="G114" s="14" t="str">
        <x:v>site</x:v>
      </x:c>
      <x:c r="H114" s="14" t="str">
        <x:v>high</x:v>
      </x:c>
      <x:c r="I114" s="14" t="str">
        <x:v>exact</x:v>
      </x:c>
      <x:c r="J114" s="14" t="str">
        <x:v>Ρωσία</x:v>
      </x:c>
      <x:c r="K114" s="14" t="str">
        <x:v>Russia</x:v>
      </x:c>
      <x:c r="L114" s="14" t="str">
        <x:v>RUS</x:v>
      </x:c>
      <x:c r="M114" s="14" t="str">
        <x:v>RU</x:v>
      </x:c>
      <x:c r="N114" s="14" t="str">
        <x:v>Nedvigovka, Rostov Oblast</x:v>
      </x:c>
      <x:c r="O114" s="14" t="str">
        <x:v>Pleiades representative point</x:v>
      </x:c>
      <x:c r="P114" s="16"/>
      <x:c r="Q114" s="16"/>
      <x:c r="R114" s="14" t="str">
        <x:v>src-pleiades-825397</x:v>
      </x:c>
      <x:c r="S114" s="14" t="str">
        <x:v>reviewed</x:v>
      </x:c>
    </x:row>
    <x:row r="115" ht="40" customHeight="1">
      <x:c r="A115" s="14" t="str">
        <x:v>place-colony-taras</x:v>
      </x:c>
      <x:c r="B115" s="14" t="str">
        <x:v>colony-taras</x:v>
      </x:c>
      <x:c r="C115" s="22" t="n">
        <x:v>40.473787</x:v>
      </x:c>
      <x:c r="D115" s="22" t="n">
        <x:v>17.233042</x:v>
      </x:c>
      <x:c r="E115" s="16" t="str">
        <x:v>POINT (17.233042 40.473787)</x:v>
      </x:c>
      <x:c r="F115" s="16" t="str">
        <x:v>{"coordinates":[17.233042,40.473787],"type":"Point"}</x:v>
      </x:c>
      <x:c r="G115" s="14" t="str">
        <x:v>site</x:v>
      </x:c>
      <x:c r="H115" s="14" t="str">
        <x:v>high</x:v>
      </x:c>
      <x:c r="I115" s="14" t="str">
        <x:v>approximate</x:v>
      </x:c>
      <x:c r="J115" s="14" t="str">
        <x:v>Ιταλία</x:v>
      </x:c>
      <x:c r="K115" s="14" t="str">
        <x:v>Italy</x:v>
      </x:c>
      <x:c r="L115" s="14" t="str">
        <x:v>ITA</x:v>
      </x:c>
      <x:c r="M115" s="14" t="str">
        <x:v>IT</x:v>
      </x:c>
      <x:c r="N115" s="14" t="str">
        <x:v>Taranto</x:v>
      </x:c>
      <x:c r="O115" s="14" t="str">
        <x:v>Pleiades representative point</x:v>
      </x:c>
      <x:c r="P115" s="16"/>
      <x:c r="Q115" s="16"/>
      <x:c r="R115" s="14" t="str">
        <x:v>src-pleiades-442810</x:v>
      </x:c>
      <x:c r="S115" s="14" t="str">
        <x:v>reviewed</x:v>
      </x:c>
    </x:row>
    <x:row r="116" ht="40" customHeight="1">
      <x:c r="A116" s="14" t="str">
        <x:v>place-colony-taucheira</x:v>
      </x:c>
      <x:c r="B116" s="14" t="str">
        <x:v>colony-taucheira</x:v>
      </x:c>
      <x:c r="C116" s="22" t="n">
        <x:v>32.536399</x:v>
      </x:c>
      <x:c r="D116" s="22" t="n">
        <x:v>20.567298</x:v>
      </x:c>
      <x:c r="E116" s="16" t="str">
        <x:v>POINT (20.567298 32.536399)</x:v>
      </x:c>
      <x:c r="F116" s="16" t="str">
        <x:v>{"coordinates":[20.567298,32.536399],"type":"Point"}</x:v>
      </x:c>
      <x:c r="G116" s="14" t="str">
        <x:v>site</x:v>
      </x:c>
      <x:c r="H116" s="14" t="str">
        <x:v>high</x:v>
      </x:c>
      <x:c r="I116" s="14" t="str">
        <x:v>exact</x:v>
      </x:c>
      <x:c r="J116" s="14" t="str">
        <x:v>Λιβύη</x:v>
      </x:c>
      <x:c r="K116" s="14" t="str">
        <x:v>Libya</x:v>
      </x:c>
      <x:c r="L116" s="14" t="str">
        <x:v>LBY</x:v>
      </x:c>
      <x:c r="M116" s="14" t="str">
        <x:v>LY</x:v>
      </x:c>
      <x:c r="N116" s="14" t="str">
        <x:v>Tocra</x:v>
      </x:c>
      <x:c r="O116" s="14" t="str">
        <x:v>Pleiades representative point</x:v>
      </x:c>
      <x:c r="P116" s="16"/>
      <x:c r="Q116" s="16"/>
      <x:c r="R116" s="14" t="str">
        <x:v>src-pleiades-373736</x:v>
      </x:c>
      <x:c r="S116" s="14" t="str">
        <x:v>reviewed</x:v>
      </x:c>
    </x:row>
    <x:row r="117" ht="40" customHeight="1">
      <x:c r="A117" s="14" t="str">
        <x:v>place-colony-teos</x:v>
      </x:c>
      <x:c r="B117" s="14" t="str">
        <x:v>colony-teos</x:v>
      </x:c>
      <x:c r="C117" s="22" t="n">
        <x:v>38.177262</x:v>
      </x:c>
      <x:c r="D117" s="22" t="n">
        <x:v>26.785014</x:v>
      </x:c>
      <x:c r="E117" s="16" t="str">
        <x:v>POINT (26.785014 38.177262)</x:v>
      </x:c>
      <x:c r="F117" s="16" t="str">
        <x:v>{"coordinates":[26.785014,38.177262],"type":"Point"}</x:v>
      </x:c>
      <x:c r="G117" s="14" t="str">
        <x:v>site</x:v>
      </x:c>
      <x:c r="H117" s="14" t="str">
        <x:v>high</x:v>
      </x:c>
      <x:c r="I117" s="14" t="str">
        <x:v>exact</x:v>
      </x:c>
      <x:c r="J117" s="14" t="str">
        <x:v>Τουρκία</x:v>
      </x:c>
      <x:c r="K117" s="14" t="str">
        <x:v>Turkey</x:v>
      </x:c>
      <x:c r="L117" s="14" t="str">
        <x:v>TUR</x:v>
      </x:c>
      <x:c r="M117" s="14" t="str">
        <x:v>TR</x:v>
      </x:c>
      <x:c r="N117" s="14" t="str">
        <x:v>Sığacık, Seferihisar</x:v>
      </x:c>
      <x:c r="O117" s="14" t="str">
        <x:v>Pleiades representative point</x:v>
      </x:c>
      <x:c r="P117" s="16"/>
      <x:c r="Q117" s="16"/>
      <x:c r="R117" s="14" t="str">
        <x:v>src-pleiades-550913</x:v>
      </x:c>
      <x:c r="S117" s="14" t="str">
        <x:v>reviewed</x:v>
      </x:c>
    </x:row>
    <x:row r="118" ht="40" customHeight="1">
      <x:c r="A118" s="14" t="str">
        <x:v>place-colony-theodosia-crimea</x:v>
      </x:c>
      <x:c r="B118" s="14" t="str">
        <x:v>colony-theodosia-crimea</x:v>
      </x:c>
      <x:c r="C118" s="22" t="n">
        <x:v>45.04609</x:v>
      </x:c>
      <x:c r="D118" s="22" t="n">
        <x:v>35.378768</x:v>
      </x:c>
      <x:c r="E118" s="16" t="str">
        <x:v>POINT (35.378768 45.04609)</x:v>
      </x:c>
      <x:c r="F118" s="16" t="str">
        <x:v>{"coordinates":[35.378768,45.04609],"type":"Point"}</x:v>
      </x:c>
      <x:c r="G118" s="14" t="str">
        <x:v>site</x:v>
      </x:c>
      <x:c r="H118" s="14" t="str">
        <x:v>high</x:v>
      </x:c>
      <x:c r="I118" s="14" t="str">
        <x:v>exact</x:v>
      </x:c>
      <x:c r="J118" s="14" t="str">
        <x:v>Ουκρανία</x:v>
      </x:c>
      <x:c r="K118" s="14" t="str">
        <x:v>Ukraine</x:v>
      </x:c>
      <x:c r="L118" s="14" t="str">
        <x:v>UKR</x:v>
      </x:c>
      <x:c r="M118" s="14" t="str">
        <x:v>UA</x:v>
      </x:c>
      <x:c r="N118" s="14" t="str">
        <x:v>Feodosia, Crimea</x:v>
      </x:c>
      <x:c r="O118" s="14" t="str">
        <x:v>Pleiades representative point</x:v>
      </x:c>
      <x:c r="P118" s="16"/>
      <x:c r="Q118" s="16"/>
      <x:c r="R118" s="14" t="str">
        <x:v>src-pleiades-854743</x:v>
      </x:c>
      <x:c r="S118" s="14" t="str">
        <x:v>reviewed</x:v>
      </x:c>
    </x:row>
    <x:row r="119" ht="40" customHeight="1">
      <x:c r="A119" s="14" t="str">
        <x:v>place-colony-tomis</x:v>
      </x:c>
      <x:c r="B119" s="14" t="str">
        <x:v>colony-tomis</x:v>
      </x:c>
      <x:c r="C119" s="22" t="n">
        <x:v>44.172856</x:v>
      </x:c>
      <x:c r="D119" s="22" t="n">
        <x:v>28.649738</x:v>
      </x:c>
      <x:c r="E119" s="16" t="str">
        <x:v>POINT (28.649738 44.172856)</x:v>
      </x:c>
      <x:c r="F119" s="16" t="str">
        <x:v>{"coordinates":[28.649738,44.172856],"type":"Point"}</x:v>
      </x:c>
      <x:c r="G119" s="14" t="str">
        <x:v>site</x:v>
      </x:c>
      <x:c r="H119" s="14" t="str">
        <x:v>high</x:v>
      </x:c>
      <x:c r="I119" s="14" t="str">
        <x:v>exact</x:v>
      </x:c>
      <x:c r="J119" s="14" t="str">
        <x:v>Ρουμανία</x:v>
      </x:c>
      <x:c r="K119" s="14" t="str">
        <x:v>Romania</x:v>
      </x:c>
      <x:c r="L119" s="14" t="str">
        <x:v>ROU</x:v>
      </x:c>
      <x:c r="M119" s="14" t="str">
        <x:v>RO</x:v>
      </x:c>
      <x:c r="N119" s="14" t="str">
        <x:v>Constanța</x:v>
      </x:c>
      <x:c r="O119" s="14" t="str">
        <x:v>Pleiades representative point</x:v>
      </x:c>
      <x:c r="P119" s="16"/>
      <x:c r="Q119" s="16"/>
      <x:c r="R119" s="14" t="str">
        <x:v>src-pleiades-217016</x:v>
      </x:c>
      <x:c r="S119" s="14" t="str">
        <x:v>reviewed</x:v>
      </x:c>
    </x:row>
    <x:row r="120" ht="40" customHeight="1">
      <x:c r="A120" s="14" t="str">
        <x:v>place-colony-tragurion</x:v>
      </x:c>
      <x:c r="B120" s="14" t="str">
        <x:v>colony-tragurion</x:v>
      </x:c>
      <x:c r="C120" s="22" t="n">
        <x:v>43.517639</x:v>
      </x:c>
      <x:c r="D120" s="22" t="n">
        <x:v>16.25063</x:v>
      </x:c>
      <x:c r="E120" s="16" t="str">
        <x:v>POINT (16.25063 43.517639)</x:v>
      </x:c>
      <x:c r="F120" s="16" t="str">
        <x:v>{"coordinates":[16.25063,43.517639],"type":"Point"}</x:v>
      </x:c>
      <x:c r="G120" s="14" t="str">
        <x:v>site</x:v>
      </x:c>
      <x:c r="H120" s="14" t="str">
        <x:v>high</x:v>
      </x:c>
      <x:c r="I120" s="14" t="str">
        <x:v>exact</x:v>
      </x:c>
      <x:c r="J120" s="14" t="str">
        <x:v>Κροατία</x:v>
      </x:c>
      <x:c r="K120" s="14" t="str">
        <x:v>Croatia</x:v>
      </x:c>
      <x:c r="L120" s="14" t="str">
        <x:v>HRV</x:v>
      </x:c>
      <x:c r="M120" s="14" t="str">
        <x:v>HR</x:v>
      </x:c>
      <x:c r="N120" s="14" t="str">
        <x:v>Trogir</x:v>
      </x:c>
      <x:c r="O120" s="14" t="str">
        <x:v>Pleiades representative point</x:v>
      </x:c>
      <x:c r="P120" s="16"/>
      <x:c r="Q120" s="16"/>
      <x:c r="R120" s="14" t="str">
        <x:v>src-pleiades-197555</x:v>
      </x:c>
      <x:c r="S120" s="14" t="str">
        <x:v>reviewed</x:v>
      </x:c>
    </x:row>
    <x:row r="121" ht="40" customHeight="1">
      <x:c r="A121" s="14" t="str">
        <x:v>place-colony-trapezus</x:v>
      </x:c>
      <x:c r="B121" s="14" t="str">
        <x:v>colony-trapezus</x:v>
      </x:c>
      <x:c r="C121" s="22" t="n">
        <x:v>41.004269</x:v>
      </x:c>
      <x:c r="D121" s="22" t="n">
        <x:v>39.723312</x:v>
      </x:c>
      <x:c r="E121" s="16" t="str">
        <x:v>POINT (39.723312 41.004269)</x:v>
      </x:c>
      <x:c r="F121" s="16" t="str">
        <x:v>{"coordinates":[39.723312,41.004269],"type":"Point"}</x:v>
      </x:c>
      <x:c r="G121" s="14" t="str">
        <x:v>site</x:v>
      </x:c>
      <x:c r="H121" s="14" t="str">
        <x:v>high</x:v>
      </x:c>
      <x:c r="I121" s="14" t="str">
        <x:v>exact</x:v>
      </x:c>
      <x:c r="J121" s="14" t="str">
        <x:v>Τουρκία</x:v>
      </x:c>
      <x:c r="K121" s="14" t="str">
        <x:v>Turkey</x:v>
      </x:c>
      <x:c r="L121" s="14" t="str">
        <x:v>TUR</x:v>
      </x:c>
      <x:c r="M121" s="14" t="str">
        <x:v>TR</x:v>
      </x:c>
      <x:c r="N121" s="14" t="str">
        <x:v>Trabzon</x:v>
      </x:c>
      <x:c r="O121" s="14" t="str">
        <x:v>Pleiades representative point</x:v>
      </x:c>
      <x:c r="P121" s="16"/>
      <x:c r="Q121" s="16"/>
      <x:c r="R121" s="14" t="str">
        <x:v>src-pleiades-857359</x:v>
      </x:c>
      <x:c r="S121" s="14" t="str">
        <x:v>reviewed</x:v>
      </x:c>
    </x:row>
    <x:row r="122" ht="40" customHeight="1">
      <x:c r="A122" s="14" t="str">
        <x:v>place-colony-tyras</x:v>
      </x:c>
      <x:c r="B122" s="14" t="str">
        <x:v>colony-tyras</x:v>
      </x:c>
      <x:c r="C122" s="22" t="n">
        <x:v>46.200755</x:v>
      </x:c>
      <x:c r="D122" s="22" t="n">
        <x:v>30.350134</x:v>
      </x:c>
      <x:c r="E122" s="16" t="str">
        <x:v>POINT (30.350134 46.200755)</x:v>
      </x:c>
      <x:c r="F122" s="16" t="str">
        <x:v>{"coordinates":[30.350134,46.200755],"type":"Point"}</x:v>
      </x:c>
      <x:c r="G122" s="14" t="str">
        <x:v>site</x:v>
      </x:c>
      <x:c r="H122" s="14" t="str">
        <x:v>high</x:v>
      </x:c>
      <x:c r="I122" s="14" t="str">
        <x:v>exact</x:v>
      </x:c>
      <x:c r="J122" s="14" t="str">
        <x:v>Ουκρανία</x:v>
      </x:c>
      <x:c r="K122" s="14" t="str">
        <x:v>Ukraine</x:v>
      </x:c>
      <x:c r="L122" s="14" t="str">
        <x:v>UKR</x:v>
      </x:c>
      <x:c r="M122" s="14" t="str">
        <x:v>UA</x:v>
      </x:c>
      <x:c r="N122" s="14" t="str">
        <x:v>Bilhorod-Dnistrovskyi</x:v>
      </x:c>
      <x:c r="O122" s="14" t="str">
        <x:v>Pleiades representative point</x:v>
      </x:c>
      <x:c r="P122" s="16"/>
      <x:c r="Q122" s="16"/>
      <x:c r="R122" s="14" t="str">
        <x:v>src-pleiades-226800</x:v>
      </x:c>
      <x:c r="S122" s="14" t="str">
        <x:v>reviewed</x:v>
      </x:c>
    </x:row>
    <x:row r="123" ht="40" customHeight="1">
      <x:c r="A123" s="14" t="str">
        <x:v>place-colony-zancle-messana</x:v>
      </x:c>
      <x:c r="B123" s="14" t="str">
        <x:v>colony-zancle-messana</x:v>
      </x:c>
      <x:c r="C123" s="22" t="n">
        <x:v>38.192251</x:v>
      </x:c>
      <x:c r="D123" s="22" t="n">
        <x:v>15.556634</x:v>
      </x:c>
      <x:c r="E123" s="16" t="str">
        <x:v>POINT (15.556634 38.192251)</x:v>
      </x:c>
      <x:c r="F123" s="16" t="str">
        <x:v>{"coordinates":[15.556634,38.192251],"type":"Point"}</x:v>
      </x:c>
      <x:c r="G123" s="14" t="str">
        <x:v>site</x:v>
      </x:c>
      <x:c r="H123" s="14" t="str">
        <x:v>high</x:v>
      </x:c>
      <x:c r="I123" s="14" t="str">
        <x:v>exact</x:v>
      </x:c>
      <x:c r="J123" s="14" t="str">
        <x:v>Ιταλία</x:v>
      </x:c>
      <x:c r="K123" s="14" t="str">
        <x:v>Italy</x:v>
      </x:c>
      <x:c r="L123" s="14" t="str">
        <x:v>ITA</x:v>
      </x:c>
      <x:c r="M123" s="14" t="str">
        <x:v>IT</x:v>
      </x:c>
      <x:c r="N123" s="14" t="str">
        <x:v>Messina</x:v>
      </x:c>
      <x:c r="O123" s="14" t="str">
        <x:v>Pleiades representative point</x:v>
      </x:c>
      <x:c r="P123" s="16"/>
      <x:c r="Q123" s="16"/>
      <x:c r="R123" s="14" t="str">
        <x:v>src-pleiades-462538</x:v>
      </x:c>
      <x:c r="S123" s="14" t="str">
        <x:v>reviewed</x:v>
      </x:c>
    </x:row>
    <x:row r="124" ht="40" customHeight="1">
      <x:c r="A124" s="14" t="str">
        <x:v>place-kingdom-alexander-empire</x:v>
      </x:c>
      <x:c r="B124" s="14" t="str">
        <x:v>kingdom-alexander-empire</x:v>
      </x:c>
      <x:c r="C124" s="22" t="n">
        <x:v>32.5423</x:v>
      </x:c>
      <x:c r="D124" s="22" t="n">
        <x:v>44.4208</x:v>
      </x:c>
      <x:c r="E124" s="16" t="str">
        <x:v>POINT (44.4208 32.5423)</x:v>
      </x:c>
      <x:c r="F124" s="16" t="str">
        <x:v>{"coordinates":[44.4208,32.5423],"type":"Point"}</x:v>
      </x:c>
      <x:c r="G124" s="14" t="str">
        <x:v>representative_center</x:v>
      </x:c>
      <x:c r="H124" s="14" t="str">
        <x:v>high</x:v>
      </x:c>
      <x:c r="I124" s="14" t="str">
        <x:v>unknown</x:v>
      </x:c>
      <x:c r="J124" s="14" t="str">
        <x:v>Ιράκ</x:v>
      </x:c>
      <x:c r="K124" s="14" t="str">
        <x:v>Iraq</x:v>
      </x:c>
      <x:c r="L124" s="14" t="str">
        <x:v>IRQ</x:v>
      </x:c>
      <x:c r="M124" s="14" t="str">
        <x:v>IQ</x:v>
      </x:c>
      <x:c r="N124" s="14"/>
      <x:c r="O124" s="14" t="str">
        <x:v>www.metmuseum.org</x:v>
      </x:c>
      <x:c r="P124" s="16" t="str">
        <x:v>Το σημείο αποδίδει τη Βαβυλώνα ως τελικό διοικητικό κέντρο και τόπο θανάτου του Αλεξάνδρου· η αυλή ήταν κινητή και η αυτοκρατορική έκταση απαιτεί ξεχωριστά χρονολογημένα πολύγωνα.</x:v>
      </x:c>
      <x:c r="Q124" s="16" t="str">
        <x:v>The point marks Babylon as a representative centre; it does not represent the polity's territorial extent.</x:v>
      </x:c>
      <x:c r="R124" s="14" t="str">
        <x:v>src-metmuseum-89019924e8c3</x:v>
      </x:c>
      <x:c r="S124" s="14" t="str">
        <x:v>reviewed</x:v>
      </x:c>
    </x:row>
    <x:row r="125" ht="40" customHeight="1">
      <x:c r="A125" s="14" t="str">
        <x:v>place-kingdom-athens-mycenaean</x:v>
      </x:c>
      <x:c r="B125" s="14" t="str">
        <x:v>kingdom-athens-mycenaean</x:v>
      </x:c>
      <x:c r="C125" s="22" t="n">
        <x:v>37.9715</x:v>
      </x:c>
      <x:c r="D125" s="22" t="n">
        <x:v>23.7257</x:v>
      </x:c>
      <x:c r="E125" s="16" t="str">
        <x:v>POINT (23.7257 37.9715)</x:v>
      </x:c>
      <x:c r="F125" s="16" t="str">
        <x:v>{"coordinates":[23.7257,37.9715],"type":"Point"}</x:v>
      </x:c>
      <x:c r="G125" s="14" t="str">
        <x:v>representative_center</x:v>
      </x:c>
      <x:c r="H125" s="14" t="str">
        <x:v>high</x:v>
      </x:c>
      <x:c r="I125" s="14" t="str">
        <x:v>unknown</x:v>
      </x:c>
      <x:c r="J125" s="14" t="str">
        <x:v>Ελλάδα</x:v>
      </x:c>
      <x:c r="K125" s="14" t="str">
        <x:v>Greece</x:v>
      </x:c>
      <x:c r="L125" s="14" t="str">
        <x:v>GRC</x:v>
      </x:c>
      <x:c r="M125" s="14" t="str">
        <x:v>GR</x:v>
      </x:c>
      <x:c r="N125" s="14"/>
      <x:c r="O125" s="14" t="str">
        <x:v>whc.unesco.org</x:v>
      </x:c>
      <x:c r="P125" s="16" t="str">
        <x:v>Το σημείο αποδίδει τη μυκηναϊκή Ακρόπολη και όχι βέβαιη επικράτεια· οποιοδήποτε μελλοντικό πολύγωνο πρέπει να δηλώνεται ως υποθετικό.</x:v>
      </x:c>
      <x:c r="Q125" s="16" t="str">
        <x:v>The point marks Acropolis of Athens as a representative centre; it does not represent the polity's territorial extent.</x:v>
      </x:c>
      <x:c r="R125" s="14" t="str">
        <x:v>src-whc-228f1be9c035</x:v>
      </x:c>
      <x:c r="S125" s="14" t="str">
        <x:v>reviewed</x:v>
      </x:c>
    </x:row>
    <x:row r="126" ht="40" customHeight="1">
      <x:c r="A126" s="14" t="str">
        <x:v>place-kingdom-attalid-pergamon</x:v>
      </x:c>
      <x:c r="B126" s="14" t="str">
        <x:v>kingdom-attalid-pergamon</x:v>
      </x:c>
      <x:c r="C126" s="22" t="n">
        <x:v>39.1327</x:v>
      </x:c>
      <x:c r="D126" s="22" t="n">
        <x:v>27.1841</x:v>
      </x:c>
      <x:c r="E126" s="16" t="str">
        <x:v>POINT (27.1841 39.1327)</x:v>
      </x:c>
      <x:c r="F126" s="16" t="str">
        <x:v>{"coordinates":[27.1841,39.1327],"type":"Point"}</x:v>
      </x:c>
      <x:c r="G126" s="14" t="str">
        <x:v>representative_center</x:v>
      </x:c>
      <x:c r="H126" s="14" t="str">
        <x:v>high</x:v>
      </x:c>
      <x:c r="I126" s="14" t="str">
        <x:v>unknown</x:v>
      </x:c>
      <x:c r="J126" s="14" t="str">
        <x:v>Τουρκία</x:v>
      </x:c>
      <x:c r="K126" s="14" t="str">
        <x:v>Turkey</x:v>
      </x:c>
      <x:c r="L126" s="14" t="str">
        <x:v>TUR</x:v>
      </x:c>
      <x:c r="M126" s="14" t="str">
        <x:v>TR</x:v>
      </x:c>
      <x:c r="N126" s="14"/>
      <x:c r="O126" s="14" t="str">
        <x:v>www.metmuseum.org</x:v>
      </x:c>
      <x:c r="P126" s="16" t="str">
        <x:v>Το σημείο αποδίδει την ακρόπολη της Περγάμου ως πρωτεύουσα, όχι την επικράτεια· τα πολύγωνα θα διαχωρίζουν την πρώιμη ηγεμονία από το ώριμο βασίλειο.</x:v>
      </x:c>
      <x:c r="Q126" s="16" t="str">
        <x:v>The point marks Pergamon as a representative centre; it does not represent the polity's territorial extent.</x:v>
      </x:c>
      <x:c r="R126" s="14" t="str">
        <x:v>src-metmuseum-50fe20dc493f</x:v>
      </x:c>
      <x:c r="S126" s="14" t="str">
        <x:v>reviewed</x:v>
      </x:c>
    </x:row>
    <x:row r="127" ht="40" customHeight="1">
      <x:c r="A127" s="14" t="str">
        <x:v>place-kingdom-bithynia</x:v>
      </x:c>
      <x:c r="B127" s="14" t="str">
        <x:v>kingdom-bithynia</x:v>
      </x:c>
      <x:c r="C127" s="22" t="n">
        <x:v>40.7654</x:v>
      </x:c>
      <x:c r="D127" s="22" t="n">
        <x:v>29.9408</x:v>
      </x:c>
      <x:c r="E127" s="16" t="str">
        <x:v>POINT (29.9408 40.7654)</x:v>
      </x:c>
      <x:c r="F127" s="16" t="str">
        <x:v>{"coordinates":[29.9408,40.7654],"type":"Point"}</x:v>
      </x:c>
      <x:c r="G127" s="14" t="str">
        <x:v>representative_center</x:v>
      </x:c>
      <x:c r="H127" s="14" t="str">
        <x:v>high</x:v>
      </x:c>
      <x:c r="I127" s="14" t="str">
        <x:v>unknown</x:v>
      </x:c>
      <x:c r="J127" s="14" t="str">
        <x:v>Τουρκία</x:v>
      </x:c>
      <x:c r="K127" s="14" t="str">
        <x:v>Turkey</x:v>
      </x:c>
      <x:c r="L127" s="14" t="str">
        <x:v>TUR</x:v>
      </x:c>
      <x:c r="M127" s="14" t="str">
        <x:v>TR</x:v>
      </x:c>
      <x:c r="N127" s="14"/>
      <x:c r="O127" s="14" t="str">
        <x:v>www.attalus.org</x:v>
      </x:c>
      <x:c r="P127" s="16" t="str">
        <x:v>Το σημείο αποδίδει τη Νικομήδεια ως πρωτεύουσα από τον Νικομήδη Α΄, όχι την πλήρη έκταση του βασιλείου· τα πολύγωνα θα αποθηκευθούν χωριστά.</x:v>
      </x:c>
      <x:c r="Q127" s="16" t="str">
        <x:v>The point marks Nicomedia as a representative centre; it does not represent the polity's territorial extent.</x:v>
      </x:c>
      <x:c r="R127" s="14" t="str">
        <x:v>src-attalus-1b40f4436114</x:v>
      </x:c>
      <x:c r="S127" s="14" t="str">
        <x:v>reviewed</x:v>
      </x:c>
    </x:row>
    <x:row r="128" ht="40" customHeight="1">
      <x:c r="A128" s="14" t="str">
        <x:v>place-kingdom-bosporus-archaeanactid</x:v>
      </x:c>
      <x:c r="B128" s="14" t="str">
        <x:v>kingdom-bosporus-archaeanactid</x:v>
      </x:c>
      <x:c r="C128" s="22" t="n">
        <x:v>45.3507</x:v>
      </x:c>
      <x:c r="D128" s="22" t="n">
        <x:v>36.47</x:v>
      </x:c>
      <x:c r="E128" s="16" t="str">
        <x:v>POINT (36.47 45.3507)</x:v>
      </x:c>
      <x:c r="F128" s="16" t="str">
        <x:v>{"coordinates":[36.47,45.3507],"type":"Point"}</x:v>
      </x:c>
      <x:c r="G128" s="14" t="str">
        <x:v>representative_center</x:v>
      </x:c>
      <x:c r="H128" s="14" t="str">
        <x:v>high</x:v>
      </x:c>
      <x:c r="I128" s="14" t="str">
        <x:v>unknown</x:v>
      </x:c>
      <x:c r="J128" s="14" t="str">
        <x:v>Ουκρανία</x:v>
      </x:c>
      <x:c r="K128" s="14" t="str">
        <x:v>Ukraine</x:v>
      </x:c>
      <x:c r="L128" s="14" t="str">
        <x:v>UKR</x:v>
      </x:c>
      <x:c r="M128" s="14" t="str">
        <x:v>UA</x:v>
      </x:c>
      <x:c r="N128" s="14"/>
      <x:c r="O128" s="14" t="str">
        <x:v>www.iranicaonline.org</x:v>
      </x:c>
      <x:c r="P128" s="16" t="str">
        <x:v>Το σημείο αποδίδει το Παντικάπαιον ως πρωτεύουσα, όχι το δίκτυο πόλεων και εδαφών· τα πολύγωνα θα τηρούνται χωριστά. Η αναφορά στην Κριμαία δεν δηλώνει θέση περί σύγχρονης κυριαρχίας.</x:v>
      </x:c>
      <x:c r="Q128" s="16" t="str">
        <x:v>The point marks Pantikapaion, Kerch as a representative centre; it does not represent the polity's territorial extent.</x:v>
      </x:c>
      <x:c r="R128" s="14" t="str">
        <x:v>src-iranicaonline-4a607235e191</x:v>
      </x:c>
      <x:c r="S128" s="14" t="str">
        <x:v>reviewed</x:v>
      </x:c>
    </x:row>
    <x:row r="129" ht="40" customHeight="1">
      <x:c r="A129" s="14" t="str">
        <x:v>place-kingdom-bosporus-mithridatic</x:v>
      </x:c>
      <x:c r="B129" s="14" t="str">
        <x:v>kingdom-bosporus-mithridatic</x:v>
      </x:c>
      <x:c r="C129" s="22" t="n">
        <x:v>45.3507</x:v>
      </x:c>
      <x:c r="D129" s="22" t="n">
        <x:v>36.47</x:v>
      </x:c>
      <x:c r="E129" s="16" t="str">
        <x:v>POINT (36.47 45.3507)</x:v>
      </x:c>
      <x:c r="F129" s="16" t="str">
        <x:v>{"coordinates":[36.47,45.3507],"type":"Point"}</x:v>
      </x:c>
      <x:c r="G129" s="14" t="str">
        <x:v>representative_center</x:v>
      </x:c>
      <x:c r="H129" s="14" t="str">
        <x:v>high</x:v>
      </x:c>
      <x:c r="I129" s="14" t="str">
        <x:v>unknown</x:v>
      </x:c>
      <x:c r="J129" s="14" t="str">
        <x:v>Ουκρανία</x:v>
      </x:c>
      <x:c r="K129" s="14" t="str">
        <x:v>Ukraine</x:v>
      </x:c>
      <x:c r="L129" s="14" t="str">
        <x:v>UKR</x:v>
      </x:c>
      <x:c r="M129" s="14" t="str">
        <x:v>UA</x:v>
      </x:c>
      <x:c r="N129" s="14"/>
      <x:c r="O129" s="14" t="str">
        <x:v>www.iranicaonline.org</x:v>
      </x:c>
      <x:c r="P129" s="16" t="str">
        <x:v>Το σημείο αποδίδει το Παντικάπαιον ως πρωτεύουσα, όχι την ποντιακή ή βοσποριανή επικράτεια· τα πολύγωνα θα τηρούνται χωριστά. Η σύγχρονη κυριαρχία στην Κριμαία δεν υπονοείται.</x:v>
      </x:c>
      <x:c r="Q129" s="16" t="str">
        <x:v>The point marks Pantikapaion, Kerch as a representative centre; it does not represent the polity's territorial extent.</x:v>
      </x:c>
      <x:c r="R129" s="14" t="str">
        <x:v>src-iranicaonline-4a607235e191</x:v>
      </x:c>
      <x:c r="S129" s="14" t="str">
        <x:v>reviewed</x:v>
      </x:c>
    </x:row>
    <x:row r="130" ht="40" customHeight="1">
      <x:c r="A130" s="14" t="str">
        <x:v>place-kingdom-bosporus-spartocid</x:v>
      </x:c>
      <x:c r="B130" s="14" t="str">
        <x:v>kingdom-bosporus-spartocid</x:v>
      </x:c>
      <x:c r="C130" s="22" t="n">
        <x:v>45.3507</x:v>
      </x:c>
      <x:c r="D130" s="22" t="n">
        <x:v>36.47</x:v>
      </x:c>
      <x:c r="E130" s="16" t="str">
        <x:v>POINT (36.47 45.3507)</x:v>
      </x:c>
      <x:c r="F130" s="16" t="str">
        <x:v>{"coordinates":[36.47,45.3507],"type":"Point"}</x:v>
      </x:c>
      <x:c r="G130" s="14" t="str">
        <x:v>representative_center</x:v>
      </x:c>
      <x:c r="H130" s="14" t="str">
        <x:v>high</x:v>
      </x:c>
      <x:c r="I130" s="14" t="str">
        <x:v>unknown</x:v>
      </x:c>
      <x:c r="J130" s="14" t="str">
        <x:v>Ουκρανία</x:v>
      </x:c>
      <x:c r="K130" s="14" t="str">
        <x:v>Ukraine</x:v>
      </x:c>
      <x:c r="L130" s="14" t="str">
        <x:v>UKR</x:v>
      </x:c>
      <x:c r="M130" s="14" t="str">
        <x:v>UA</x:v>
      </x:c>
      <x:c r="N130" s="14"/>
      <x:c r="O130" s="14" t="str">
        <x:v>www.encyclopediaofukraine.com</x:v>
      </x:c>
      <x:c r="P130" s="16" t="str">
        <x:v>Το σημείο αποδίδει την πρωτεύουσα Παντικάπαιον, όχι τα μεταβαλλόμενα εδάφη σε Κριμαία και Ταμάν· τα πολύγωνα θα είναι χωριστά. Η σύγχρονη κυριαρχία δεν υπονοείται.</x:v>
      </x:c>
      <x:c r="Q130" s="16" t="str">
        <x:v>The point marks Pantikapaion, Kerch as a representative centre; it does not represent the polity's territorial extent.</x:v>
      </x:c>
      <x:c r="R130" s="14" t="str">
        <x:v>src-encyclopediaofukraine-237e86aa1350</x:v>
      </x:c>
      <x:c r="S130" s="14" t="str">
        <x:v>reviewed</x:v>
      </x:c>
    </x:row>
    <x:row r="131" ht="40" customHeight="1">
      <x:c r="A131" s="14" t="str">
        <x:v>place-kingdom-cappadocia-ariarathid</x:v>
      </x:c>
      <x:c r="B131" s="14" t="str">
        <x:v>kingdom-cappadocia-ariarathid</x:v>
      </x:c>
      <x:c r="C131" s="22" t="n">
        <x:v>38.7225</x:v>
      </x:c>
      <x:c r="D131" s="22" t="n">
        <x:v>35.4875</x:v>
      </x:c>
      <x:c r="E131" s="16" t="str">
        <x:v>POINT (35.4875 38.7225)</x:v>
      </x:c>
      <x:c r="F131" s="16" t="str">
        <x:v>{"coordinates":[35.4875,38.7225],"type":"Point"}</x:v>
      </x:c>
      <x:c r="G131" s="14" t="str">
        <x:v>representative_center</x:v>
      </x:c>
      <x:c r="H131" s="14" t="str">
        <x:v>high</x:v>
      </x:c>
      <x:c r="I131" s="14" t="str">
        <x:v>unknown</x:v>
      </x:c>
      <x:c r="J131" s="14" t="str">
        <x:v>Τουρκία</x:v>
      </x:c>
      <x:c r="K131" s="14" t="str">
        <x:v>Turkey</x:v>
      </x:c>
      <x:c r="L131" s="14" t="str">
        <x:v>TUR</x:v>
      </x:c>
      <x:c r="M131" s="14" t="str">
        <x:v>TR</x:v>
      </x:c>
      <x:c r="N131" s="14"/>
      <x:c r="O131" s="14" t="str">
        <x:v>www.iranicaonline.org</x:v>
      </x:c>
      <x:c r="P131" s="16" t="str">
        <x:v>Το σημείο αποδίδει τη Μάζακα ως βασιλικό κέντρο, όχι την επικράτεια ή όλες τις μετακινήσεις της αυλής· τα εδαφικά πολύγωνα θα τηρούνται χωριστά.</x:v>
      </x:c>
      <x:c r="Q131" s="16" t="str">
        <x:v>The point marks Mazaca as a representative centre; it does not represent the polity's territorial extent.</x:v>
      </x:c>
      <x:c r="R131" s="14" t="str">
        <x:v>src-iranicaonline-0624b0b64cf3</x:v>
      </x:c>
      <x:c r="S131" s="14" t="str">
        <x:v>reviewed</x:v>
      </x:c>
    </x:row>
    <x:row r="132" ht="40" customHeight="1">
      <x:c r="A132" s="14" t="str">
        <x:v>place-kingdom-cappadocia-late-client</x:v>
      </x:c>
      <x:c r="B132" s="14" t="str">
        <x:v>kingdom-cappadocia-late-client</x:v>
      </x:c>
      <x:c r="C132" s="22" t="n">
        <x:v>38.7225</x:v>
      </x:c>
      <x:c r="D132" s="22" t="n">
        <x:v>35.4875</x:v>
      </x:c>
      <x:c r="E132" s="16" t="str">
        <x:v>POINT (35.4875 38.7225)</x:v>
      </x:c>
      <x:c r="F132" s="16" t="str">
        <x:v>{"coordinates":[35.4875,38.7225],"type":"Point"}</x:v>
      </x:c>
      <x:c r="G132" s="14" t="str">
        <x:v>representative_center</x:v>
      </x:c>
      <x:c r="H132" s="14" t="str">
        <x:v>high</x:v>
      </x:c>
      <x:c r="I132" s="14" t="str">
        <x:v>unknown</x:v>
      </x:c>
      <x:c r="J132" s="14" t="str">
        <x:v>Τουρκία</x:v>
      </x:c>
      <x:c r="K132" s="14" t="str">
        <x:v>Turkey</x:v>
      </x:c>
      <x:c r="L132" s="14" t="str">
        <x:v>TUR</x:v>
      </x:c>
      <x:c r="M132" s="14" t="str">
        <x:v>TR</x:v>
      </x:c>
      <x:c r="N132" s="14"/>
      <x:c r="O132" s="14" t="str">
        <x:v>www.iranicaonline.org</x:v>
      </x:c>
      <x:c r="P132" s="16" t="str">
        <x:v>Το σημείο αποδίδει τη Μάζακα ως κύριο βασιλικό κέντρο, όχι την εδαφική έκταση· οι διακοπές και μεταβολές κυριαρχίας χρειάζονται ξεχωριστές χρονικές φάσεις και πολύγωνα.</x:v>
      </x:c>
      <x:c r="Q132" s="16" t="str">
        <x:v>The point marks Mazaca as a representative centre; it does not represent the polity's territorial extent.</x:v>
      </x:c>
      <x:c r="R132" s="14" t="str">
        <x:v>src-iranicaonline-0624b0b64cf3</x:v>
      </x:c>
      <x:c r="S132" s="14" t="str">
        <x:v>reviewed</x:v>
      </x:c>
    </x:row>
    <x:row r="133" ht="40" customHeight="1">
      <x:c r="A133" s="14" t="str">
        <x:v>place-kingdom-commagene</x:v>
      </x:c>
      <x:c r="B133" s="14" t="str">
        <x:v>kingdom-commagene</x:v>
      </x:c>
      <x:c r="C133" s="22" t="n">
        <x:v>37.5451</x:v>
      </x:c>
      <x:c r="D133" s="22" t="n">
        <x:v>38.5008</x:v>
      </x:c>
      <x:c r="E133" s="16" t="str">
        <x:v>POINT (38.5008 37.5451)</x:v>
      </x:c>
      <x:c r="F133" s="16" t="str">
        <x:v>{"coordinates":[38.5008,37.5451],"type":"Point"}</x:v>
      </x:c>
      <x:c r="G133" s="14" t="str">
        <x:v>representative_center</x:v>
      </x:c>
      <x:c r="H133" s="14" t="str">
        <x:v>high</x:v>
      </x:c>
      <x:c r="I133" s="14" t="str">
        <x:v>unknown</x:v>
      </x:c>
      <x:c r="J133" s="14" t="str">
        <x:v>Τουρκία</x:v>
      </x:c>
      <x:c r="K133" s="14" t="str">
        <x:v>Turkey</x:v>
      </x:c>
      <x:c r="L133" s="14" t="str">
        <x:v>TUR</x:v>
      </x:c>
      <x:c r="M133" s="14" t="str">
        <x:v>TR</x:v>
      </x:c>
      <x:c r="N133" s="14"/>
      <x:c r="O133" s="14" t="str">
        <x:v>whc.unesco.org</x:v>
      </x:c>
      <x:c r="P133" s="16" t="str">
        <x:v>Το σημείο αποδίδει τη Σαμόσατα, σήμερα σε μεγάλο βαθμό κατακλυσμένη, ως πρωτεύουσα· η επικράτεια και η διακοπή του 17–38 μ.Χ. θα αποδοθούν χωριστά.</x:v>
      </x:c>
      <x:c r="Q133" s="16" t="str">
        <x:v>The point marks Samosata as a representative centre; it does not represent the polity's territorial extent.</x:v>
      </x:c>
      <x:c r="R133" s="14" t="str">
        <x:v>src-whc-758c2c416617</x:v>
      </x:c>
      <x:c r="S133" s="14" t="str">
        <x:v>reviewed</x:v>
      </x:c>
    </x:row>
    <x:row r="134" ht="40" customHeight="1">
      <x:c r="A134" s="14" t="str">
        <x:v>place-kingdom-cyrene-battiad</x:v>
      </x:c>
      <x:c r="B134" s="14" t="str">
        <x:v>kingdom-cyrene-battiad</x:v>
      </x:c>
      <x:c r="C134" s="22" t="n">
        <x:v>32.825</x:v>
      </x:c>
      <x:c r="D134" s="22" t="n">
        <x:v>21.8583</x:v>
      </x:c>
      <x:c r="E134" s="16" t="str">
        <x:v>POINT (21.8583 32.825)</x:v>
      </x:c>
      <x:c r="F134" s="16" t="str">
        <x:v>{"coordinates":[21.8583,32.825],"type":"Point"}</x:v>
      </x:c>
      <x:c r="G134" s="14" t="str">
        <x:v>representative_center</x:v>
      </x:c>
      <x:c r="H134" s="14" t="str">
        <x:v>high</x:v>
      </x:c>
      <x:c r="I134" s="14" t="str">
        <x:v>unknown</x:v>
      </x:c>
      <x:c r="J134" s="14" t="str">
        <x:v>Λιβύη</x:v>
      </x:c>
      <x:c r="K134" s="14" t="str">
        <x:v>Libya</x:v>
      </x:c>
      <x:c r="L134" s="14" t="str">
        <x:v>LBY</x:v>
      </x:c>
      <x:c r="M134" s="14" t="str">
        <x:v>LY</x:v>
      </x:c>
      <x:c r="N134" s="14"/>
      <x:c r="O134" s="14" t="str">
        <x:v>whc.unesco.org</x:v>
      </x:c>
      <x:c r="P134" s="16" t="str">
        <x:v>Το σημείο αποδίδει την πόλη-πρωτεύουσα Κυρήνη, όχι το σύνολο της Κυρηναϊκής· τα εδαφικά πολύγωνα θα τηρούνται σε ξεχωριστό GeoJSON.</x:v>
      </x:c>
      <x:c r="Q134" s="16" t="str">
        <x:v>The point marks Cyrene as a representative centre; it does not represent the polity's territorial extent.</x:v>
      </x:c>
      <x:c r="R134" s="14" t="str">
        <x:v>src-whc-52a1efeb60e3</x:v>
      </x:c>
      <x:c r="S134" s="14" t="str">
        <x:v>reviewed</x:v>
      </x:c>
    </x:row>
    <x:row r="135" ht="40" customHeight="1">
      <x:c r="A135" s="14" t="str">
        <x:v>place-kingdom-cyrene-magas</x:v>
      </x:c>
      <x:c r="B135" s="14" t="str">
        <x:v>kingdom-cyrene-magas</x:v>
      </x:c>
      <x:c r="C135" s="22" t="n">
        <x:v>32.825</x:v>
      </x:c>
      <x:c r="D135" s="22" t="n">
        <x:v>21.8583</x:v>
      </x:c>
      <x:c r="E135" s="16" t="str">
        <x:v>POINT (21.8583 32.825)</x:v>
      </x:c>
      <x:c r="F135" s="16" t="str">
        <x:v>{"coordinates":[21.8583,32.825],"type":"Point"}</x:v>
      </x:c>
      <x:c r="G135" s="14" t="str">
        <x:v>representative_center</x:v>
      </x:c>
      <x:c r="H135" s="14" t="str">
        <x:v>high</x:v>
      </x:c>
      <x:c r="I135" s="14" t="str">
        <x:v>unknown</x:v>
      </x:c>
      <x:c r="J135" s="14" t="str">
        <x:v>Λιβύη</x:v>
      </x:c>
      <x:c r="K135" s="14" t="str">
        <x:v>Libya</x:v>
      </x:c>
      <x:c r="L135" s="14" t="str">
        <x:v>LBY</x:v>
      </x:c>
      <x:c r="M135" s="14" t="str">
        <x:v>LY</x:v>
      </x:c>
      <x:c r="N135" s="14"/>
      <x:c r="O135" s="14" t="str">
        <x:v>discovery.ucl.ac.uk</x:v>
      </x:c>
      <x:c r="P135" s="16" t="str">
        <x:v>Το σημείο αποδίδει την πόλη Κυρήνη ως βασιλικό κέντρο, όχι ολόκληρη την Κυρηναϊκή· η σχέση εξάρτησης από την Αίγυπτο και τα εδάφη χρειάζονται χωριστές φάσεις.</x:v>
      </x:c>
      <x:c r="Q135" s="16" t="str">
        <x:v>The point marks Cyrene as a representative centre; it does not represent the polity's territorial extent.</x:v>
      </x:c>
      <x:c r="R135" s="14" t="str">
        <x:v>src-persee-a9866e5e43d7</x:v>
      </x:c>
      <x:c r="S135" s="14" t="str">
        <x:v>reviewed</x:v>
      </x:c>
    </x:row>
    <x:row r="136" ht="40" customHeight="1">
      <x:c r="A136" s="14" t="str">
        <x:v>place-kingdom-epirus-aeacid</x:v>
      </x:c>
      <x:c r="B136" s="14" t="str">
        <x:v>kingdom-epirus-aeacid</x:v>
      </x:c>
      <x:c r="C136" s="22" t="n">
        <x:v>39.5465</x:v>
      </x:c>
      <x:c r="D136" s="22" t="n">
        <x:v>20.7877</x:v>
      </x:c>
      <x:c r="E136" s="16" t="str">
        <x:v>POINT (20.7877 39.5465)</x:v>
      </x:c>
      <x:c r="F136" s="16" t="str">
        <x:v>{"coordinates":[20.7877,39.5465],"type":"Point"}</x:v>
      </x:c>
      <x:c r="G136" s="14" t="str">
        <x:v>representative_center</x:v>
      </x:c>
      <x:c r="H136" s="14" t="str">
        <x:v>high</x:v>
      </x:c>
      <x:c r="I136" s="14" t="str">
        <x:v>unknown</x:v>
      </x:c>
      <x:c r="J136" s="14" t="str">
        <x:v>Ελλάδα</x:v>
      </x:c>
      <x:c r="K136" s="14" t="str">
        <x:v>Greece</x:v>
      </x:c>
      <x:c r="L136" s="14" t="str">
        <x:v>GRC</x:v>
      </x:c>
      <x:c r="M136" s="14" t="str">
        <x:v>GR</x:v>
      </x:c>
      <x:c r="N136" s="14"/>
      <x:c r="O136" s="14" t="str">
        <x:v>www.cambridge.org</x:v>
      </x:c>
      <x:c r="P136" s="16" t="str">
        <x:v>Το σημείο αποδίδει τη Δωδώνη ως κύριο πολιτικό και θρησκευτικό κέντρο, όχι σταθερή πρωτεύουσα ή επικράτεια· τα πολύγωνα θα είναι ξεχωριστά.</x:v>
      </x:c>
      <x:c r="Q136" s="16" t="str">
        <x:v>The point marks Dodona as a representative centre; it does not represent the polity's territorial extent.</x:v>
      </x:c>
      <x:c r="R136" s="14" t="str">
        <x:v>src-cambridge-96106a304cc6</x:v>
      </x:c>
      <x:c r="S136" s="14" t="str">
        <x:v>reviewed</x:v>
      </x:c>
    </x:row>
    <x:row r="137" ht="40" customHeight="1">
      <x:c r="A137" s="14" t="str">
        <x:v>place-kingdom-greco-bactrian-diodotid</x:v>
      </x:c>
      <x:c r="B137" s="14" t="str">
        <x:v>kingdom-greco-bactrian-diodotid</x:v>
      </x:c>
      <x:c r="C137" s="22" t="n">
        <x:v>36.7679</x:v>
      </x:c>
      <x:c r="D137" s="22" t="n">
        <x:v>66.9011</x:v>
      </x:c>
      <x:c r="E137" s="16" t="str">
        <x:v>POINT (66.9011 36.7679)</x:v>
      </x:c>
      <x:c r="F137" s="16" t="str">
        <x:v>{"coordinates":[66.9011,36.7679],"type":"Point"}</x:v>
      </x:c>
      <x:c r="G137" s="14" t="str">
        <x:v>representative_center</x:v>
      </x:c>
      <x:c r="H137" s="14" t="str">
        <x:v>high</x:v>
      </x:c>
      <x:c r="I137" s="14" t="str">
        <x:v>unknown</x:v>
      </x:c>
      <x:c r="J137" s="14" t="str">
        <x:v>Αφγανιστάν</x:v>
      </x:c>
      <x:c r="K137" s="14" t="str">
        <x:v>Afghanistan</x:v>
      </x:c>
      <x:c r="L137" s="14" t="str">
        <x:v>AFG</x:v>
      </x:c>
      <x:c r="M137" s="14" t="str">
        <x:v>AF</x:v>
      </x:c>
      <x:c r="N137" s="14"/>
      <x:c r="O137" s="14" t="str">
        <x:v>www.metmuseum.org</x:v>
      </x:c>
      <x:c r="P137" s="16" t="str">
        <x:v>Το σημείο αποδίδει τα Βάκτρα ως συμβατική πρωτεύουσα, όχι την ακριβή εδαφική έκταση της φάσης· τα πολύγωνα θα φέρουν χρονολογική και χωρική αβεβαιότητα.</x:v>
      </x:c>
      <x:c r="Q137" s="16" t="str">
        <x:v>The point marks Bactra as a representative centre; it does not represent the polity's territorial extent.</x:v>
      </x:c>
      <x:c r="R137" s="14" t="str">
        <x:v>src-metmuseum-50fe20dc493f</x:v>
      </x:c>
      <x:c r="S137" s="14" t="str">
        <x:v>reviewed</x:v>
      </x:c>
    </x:row>
    <x:row r="138" ht="40" customHeight="1">
      <x:c r="A138" s="14" t="str">
        <x:v>place-kingdom-greco-bactrian-eucratid</x:v>
      </x:c>
      <x:c r="B138" s="14" t="str">
        <x:v>kingdom-greco-bactrian-eucratid</x:v>
      </x:c>
      <x:c r="C138" s="22" t="n">
        <x:v>36.7679</x:v>
      </x:c>
      <x:c r="D138" s="22" t="n">
        <x:v>66.9011</x:v>
      </x:c>
      <x:c r="E138" s="16" t="str">
        <x:v>POINT (66.9011 36.7679)</x:v>
      </x:c>
      <x:c r="F138" s="16" t="str">
        <x:v>{"coordinates":[66.9011,36.7679],"type":"Point"}</x:v>
      </x:c>
      <x:c r="G138" s="14" t="str">
        <x:v>representative_center</x:v>
      </x:c>
      <x:c r="H138" s="14" t="str">
        <x:v>high</x:v>
      </x:c>
      <x:c r="I138" s="14" t="str">
        <x:v>unknown</x:v>
      </x:c>
      <x:c r="J138" s="14" t="str">
        <x:v>Αφγανιστάν</x:v>
      </x:c>
      <x:c r="K138" s="14" t="str">
        <x:v>Afghanistan</x:v>
      </x:c>
      <x:c r="L138" s="14" t="str">
        <x:v>AFG</x:v>
      </x:c>
      <x:c r="M138" s="14" t="str">
        <x:v>AF</x:v>
      </x:c>
      <x:c r="N138" s="14"/>
      <x:c r="O138" s="14" t="str">
        <x:v>www.iranicaonline.org</x:v>
      </x:c>
      <x:c r="P138" s="16" t="str">
        <x:v>Το σημείο αποδίδει τα Βάκτρα ως κύριο κέντρο, όχι τα αβέβαια και γρήγορα μεταβαλλόμενα όρια· τα μελλοντικά πολύγωνα πρέπει να δηλώνουν βαθμό βεβαιότητας.</x:v>
      </x:c>
      <x:c r="Q138" s="16" t="str">
        <x:v>The point marks Bactra as a representative centre; it does not represent the polity's territorial extent.</x:v>
      </x:c>
      <x:c r="R138" s="14" t="str">
        <x:v>src-iranicaonline-2bb61f112fc3</x:v>
      </x:c>
      <x:c r="S138" s="14" t="str">
        <x:v>reviewed</x:v>
      </x:c>
    </x:row>
    <x:row r="139" ht="40" customHeight="1">
      <x:c r="A139" s="14" t="str">
        <x:v>place-kingdom-greco-bactrian-euthydemid</x:v>
      </x:c>
      <x:c r="B139" s="14" t="str">
        <x:v>kingdom-greco-bactrian-euthydemid</x:v>
      </x:c>
      <x:c r="C139" s="22" t="n">
        <x:v>36.7679</x:v>
      </x:c>
      <x:c r="D139" s="22" t="n">
        <x:v>66.9011</x:v>
      </x:c>
      <x:c r="E139" s="16" t="str">
        <x:v>POINT (66.9011 36.7679)</x:v>
      </x:c>
      <x:c r="F139" s="16" t="str">
        <x:v>{"coordinates":[66.9011,36.7679],"type":"Point"}</x:v>
      </x:c>
      <x:c r="G139" s="14" t="str">
        <x:v>representative_center</x:v>
      </x:c>
      <x:c r="H139" s="14" t="str">
        <x:v>high</x:v>
      </x:c>
      <x:c r="I139" s="14" t="str">
        <x:v>unknown</x:v>
      </x:c>
      <x:c r="J139" s="14" t="str">
        <x:v>Αφγανιστάν</x:v>
      </x:c>
      <x:c r="K139" s="14" t="str">
        <x:v>Afghanistan</x:v>
      </x:c>
      <x:c r="L139" s="14" t="str">
        <x:v>AFG</x:v>
      </x:c>
      <x:c r="M139" s="14" t="str">
        <x:v>AF</x:v>
      </x:c>
      <x:c r="N139" s="14"/>
      <x:c r="O139" s="14" t="str">
        <x:v>www.iranicaonline.org</x:v>
      </x:c>
      <x:c r="P139" s="16" t="str">
        <x:v>Το σημείο αποδίδει τα Βάκτρα ως κύριο κέντρο, όχι μία αμετάβλητη επικράτεια· οι ανατολικές και ινδικές επεκτάσεις θα αποδοθούν με ξεχωριστά πολύγωνα.</x:v>
      </x:c>
      <x:c r="Q139" s="16" t="str">
        <x:v>The point marks Bactra as a representative centre; it does not represent the polity's territorial extent.</x:v>
      </x:c>
      <x:c r="R139" s="14" t="str">
        <x:v>src-iranicaonline-d4697d4d5c1a</x:v>
      </x:c>
      <x:c r="S139" s="14" t="str">
        <x:v>reviewed</x:v>
      </x:c>
    </x:row>
    <x:row r="140" ht="40" customHeight="1">
      <x:c r="A140" s="14" t="str">
        <x:v>place-kingdom-indo-greek-early</x:v>
      </x:c>
      <x:c r="B140" s="14" t="str">
        <x:v>kingdom-indo-greek-early</x:v>
      </x:c>
      <x:c r="C140" s="22" t="n">
        <x:v>33.7457</x:v>
      </x:c>
      <x:c r="D140" s="22" t="n">
        <x:v>72.8152</x:v>
      </x:c>
      <x:c r="E140" s="16" t="str">
        <x:v>POINT (72.8152 33.7457)</x:v>
      </x:c>
      <x:c r="F140" s="16" t="str">
        <x:v>{"coordinates":[72.8152,33.7457],"type":"Point"}</x:v>
      </x:c>
      <x:c r="G140" s="14" t="str">
        <x:v>representative_center</x:v>
      </x:c>
      <x:c r="H140" s="14" t="str">
        <x:v>high</x:v>
      </x:c>
      <x:c r="I140" s="14" t="str">
        <x:v>unknown</x:v>
      </x:c>
      <x:c r="J140" s="14" t="str">
        <x:v>Πακιστάν</x:v>
      </x:c>
      <x:c r="K140" s="14" t="str">
        <x:v>Pakistan</x:v>
      </x:c>
      <x:c r="L140" s="14" t="str">
        <x:v>PAK</x:v>
      </x:c>
      <x:c r="M140" s="14" t="str">
        <x:v>PK</x:v>
      </x:c>
      <x:c r="N140" s="14"/>
      <x:c r="O140" s="14" t="str">
        <x:v>www.iranicaonline.org</x:v>
      </x:c>
      <x:c r="P140" s="16" t="str">
        <x:v>Το σημείο αποδίδει την Τάξιλα ως κύριο αστικό και νομισματικό κέντρο, όχι βέβαιη μοναδική πρωτεύουσα ή ενιαία επικράτεια· τα πολύγωνα θα είναι υποθετικά.</x:v>
      </x:c>
      <x:c r="Q140" s="16" t="str">
        <x:v>The point marks Taxila as a representative centre; it does not represent the polity's territorial extent.</x:v>
      </x:c>
      <x:c r="R140" s="14" t="str">
        <x:v>src-iranicaonline-612dff96c99c</x:v>
      </x:c>
      <x:c r="S140" s="14" t="str">
        <x:v>reviewed</x:v>
      </x:c>
    </x:row>
    <x:row r="141" ht="40" customHeight="1">
      <x:c r="A141" s="14" t="str">
        <x:v>place-kingdom-indo-greek-late</x:v>
      </x:c>
      <x:c r="B141" s="14" t="str">
        <x:v>kingdom-indo-greek-late</x:v>
      </x:c>
      <x:c r="C141" s="22" t="n">
        <x:v>33.7457</x:v>
      </x:c>
      <x:c r="D141" s="22" t="n">
        <x:v>72.8152</x:v>
      </x:c>
      <x:c r="E141" s="16" t="str">
        <x:v>POINT (72.8152 33.7457)</x:v>
      </x:c>
      <x:c r="F141" s="16" t="str">
        <x:v>{"coordinates":[72.8152,33.7457],"type":"Point"}</x:v>
      </x:c>
      <x:c r="G141" s="14" t="str">
        <x:v>representative_center</x:v>
      </x:c>
      <x:c r="H141" s="14" t="str">
        <x:v>high</x:v>
      </x:c>
      <x:c r="I141" s="14" t="str">
        <x:v>unknown</x:v>
      </x:c>
      <x:c r="J141" s="14" t="str">
        <x:v>Πακιστάν</x:v>
      </x:c>
      <x:c r="K141" s="14" t="str">
        <x:v>Pakistan</x:v>
      </x:c>
      <x:c r="L141" s="14" t="str">
        <x:v>PAK</x:v>
      </x:c>
      <x:c r="M141" s="14" t="str">
        <x:v>PK</x:v>
      </x:c>
      <x:c r="N141" s="14"/>
      <x:c r="O141" s="14" t="str">
        <x:v>www.iranicaonline.org</x:v>
      </x:c>
      <x:c r="P141" s="16" t="str">
        <x:v>Το σημείο αποδίδει την Τάξιλα ως ένα από τα σημαντικότερα κέντρα και όχι κοινή πρωτεύουσα· απαιτούνται στο μέλλον επιμέρους εγγραφές και επικαλυπτόμενα πολύγωνα.</x:v>
      </x:c>
      <x:c r="Q141" s="16" t="str">
        <x:v>The point marks Taxila as a representative centre; it does not represent the polity's territorial extent.</x:v>
      </x:c>
      <x:c r="R141" s="14" t="str">
        <x:v>src-iranicaonline-612dff96c99c</x:v>
      </x:c>
      <x:c r="S141" s="14" t="str">
        <x:v>reviewed</x:v>
      </x:c>
    </x:row>
    <x:row r="142" ht="40" customHeight="1">
      <x:c r="A142" s="14" t="str">
        <x:v>place-kingdom-indo-greek-menandrid</x:v>
      </x:c>
      <x:c r="B142" s="14" t="str">
        <x:v>kingdom-indo-greek-menandrid</x:v>
      </x:c>
      <x:c r="C142" s="22" t="n">
        <x:v>32.4945</x:v>
      </x:c>
      <x:c r="D142" s="22" t="n">
        <x:v>74.5229</x:v>
      </x:c>
      <x:c r="E142" s="16" t="str">
        <x:v>POINT (74.5229 32.4945)</x:v>
      </x:c>
      <x:c r="F142" s="16" t="str">
        <x:v>{"coordinates":[74.5229,32.4945],"type":"Point"}</x:v>
      </x:c>
      <x:c r="G142" s="14" t="str">
        <x:v>representative_center</x:v>
      </x:c>
      <x:c r="H142" s="14" t="str">
        <x:v>high</x:v>
      </x:c>
      <x:c r="I142" s="14" t="str">
        <x:v>unknown</x:v>
      </x:c>
      <x:c r="J142" s="14" t="str">
        <x:v>Πακιστάν</x:v>
      </x:c>
      <x:c r="K142" s="14" t="str">
        <x:v>Pakistan</x:v>
      </x:c>
      <x:c r="L142" s="14" t="str">
        <x:v>PAK</x:v>
      </x:c>
      <x:c r="M142" s="14" t="str">
        <x:v>PK</x:v>
      </x:c>
      <x:c r="N142" s="14"/>
      <x:c r="O142" s="14" t="str">
        <x:v>www.iranicaonline.org</x:v>
      </x:c>
      <x:c r="P142" s="16" t="str">
        <x:v>Το σημείο αποδίδει τη Σάγαλα, που ταυτίζεται συνήθως με τη Σιαλκότ, ως παραδοσιακή βασιλική έδρα· η ταύτιση και τα εδαφικά όρια δεν είναι απολύτως βέβαια.</x:v>
      </x:c>
      <x:c r="Q142" s="16" t="str">
        <x:v>The point marks Sagala as a representative centre; it does not represent the polity's territorial extent.</x:v>
      </x:c>
      <x:c r="R142" s="14" t="str">
        <x:v>src-iranicaonline-612dff96c99c</x:v>
      </x:c>
      <x:c r="S142" s="14" t="str">
        <x:v>reviewed</x:v>
      </x:c>
    </x:row>
    <x:row r="143" ht="40" customHeight="1">
      <x:c r="A143" s="14" t="str">
        <x:v>place-kingdom-iolcos-palatial</x:v>
      </x:c>
      <x:c r="B143" s="14" t="str">
        <x:v>kingdom-iolcos-palatial</x:v>
      </x:c>
      <x:c r="C143" s="22" t="n">
        <x:v>39.3619</x:v>
      </x:c>
      <x:c r="D143" s="22" t="n">
        <x:v>22.8919</x:v>
      </x:c>
      <x:c r="E143" s="16" t="str">
        <x:v>POINT (22.8919 39.3619)</x:v>
      </x:c>
      <x:c r="F143" s="16" t="str">
        <x:v>{"coordinates":[22.8919,39.3619],"type":"Point"}</x:v>
      </x:c>
      <x:c r="G143" s="14" t="str">
        <x:v>representative_center</x:v>
      </x:c>
      <x:c r="H143" s="14" t="str">
        <x:v>high</x:v>
      </x:c>
      <x:c r="I143" s="14" t="str">
        <x:v>unknown</x:v>
      </x:c>
      <x:c r="J143" s="14" t="str">
        <x:v>Ελλάδα</x:v>
      </x:c>
      <x:c r="K143" s="14" t="str">
        <x:v>Greece</x:v>
      </x:c>
      <x:c r="L143" s="14" t="str">
        <x:v>GRC</x:v>
      </x:c>
      <x:c r="M143" s="14" t="str">
        <x:v>GR</x:v>
      </x:c>
      <x:c r="N143" s="14"/>
      <x:c r="O143" s="14" t="str">
        <x:v>odysseus.culture.gr</x:v>
      </x:c>
      <x:c r="P143" s="16" t="str">
        <x:v>Το σημείο αποδίδει το ανάκτορο στο Διμήνι ως πιθανό κέντρο της Ιωλκού· δεν είναι εδαφικό πολύγωνο και η ταύτιση έχει βαθμό αβεβαιότητας.</x:v>
      </x:c>
      <x:c r="Q143" s="16" t="str">
        <x:v>The point marks Dimini as a representative centre; it does not represent the polity's territorial extent.</x:v>
      </x:c>
      <x:c r="R143" s="14" t="str">
        <x:v>src-odysseus-589898851f92</x:v>
      </x:c>
      <x:c r="S143" s="14" t="str">
        <x:v>reviewed</x:v>
      </x:c>
    </x:row>
    <x:row r="144" ht="40" customHeight="1">
      <x:c r="A144" s="14" t="str">
        <x:v>place-kingdom-knossos-mycenaean</x:v>
      </x:c>
      <x:c r="B144" s="14" t="str">
        <x:v>kingdom-knossos-mycenaean</x:v>
      </x:c>
      <x:c r="C144" s="22" t="n">
        <x:v>35.2987</x:v>
      </x:c>
      <x:c r="D144" s="22" t="n">
        <x:v>25.1614</x:v>
      </x:c>
      <x:c r="E144" s="16" t="str">
        <x:v>POINT (25.1614 35.2987)</x:v>
      </x:c>
      <x:c r="F144" s="16" t="str">
        <x:v>{"coordinates":[25.1614,35.2987],"type":"Point"}</x:v>
      </x:c>
      <x:c r="G144" s="14" t="str">
        <x:v>representative_center</x:v>
      </x:c>
      <x:c r="H144" s="14" t="str">
        <x:v>high</x:v>
      </x:c>
      <x:c r="I144" s="14" t="str">
        <x:v>unknown</x:v>
      </x:c>
      <x:c r="J144" s="14" t="str">
        <x:v>Ελλάδα</x:v>
      </x:c>
      <x:c r="K144" s="14" t="str">
        <x:v>Greece</x:v>
      </x:c>
      <x:c r="L144" s="14" t="str">
        <x:v>GRC</x:v>
      </x:c>
      <x:c r="M144" s="14" t="str">
        <x:v>GR</x:v>
      </x:c>
      <x:c r="N144" s="14"/>
      <x:c r="O144" s="14" t="str">
        <x:v>odysseus.culture.gr</x:v>
      </x:c>
      <x:c r="P144" s="16" t="str">
        <x:v>Το σημείο αποδίδει το ανάκτορο της Κνωσού, όχι την έκταση της διοίκησής του στην Κρήτη· τα εδαφικά πολύγωνα θα είναι ξεχωριστά και θα φέρουν αβεβαιότητα.</x:v>
      </x:c>
      <x:c r="Q144" s="16" t="str">
        <x:v>The point marks Palace of Knossos as a representative centre; it does not represent the polity's territorial extent.</x:v>
      </x:c>
      <x:c r="R144" s="14" t="str">
        <x:v>src-odysseus-9e3ae0cba911</x:v>
      </x:c>
      <x:c r="S144" s="14" t="str">
        <x:v>reviewed</x:v>
      </x:c>
    </x:row>
    <x:row r="145" ht="40" customHeight="1">
      <x:c r="A145" s="14" t="str">
        <x:v>place-kingdom-lysimachid</x:v>
      </x:c>
      <x:c r="B145" s="14" t="str">
        <x:v>kingdom-lysimachid</x:v>
      </x:c>
      <x:c r="C145" s="22" t="n">
        <x:v>40.5482</x:v>
      </x:c>
      <x:c r="D145" s="22" t="n">
        <x:v>26.7508</x:v>
      </x:c>
      <x:c r="E145" s="16" t="str">
        <x:v>POINT (26.7508 40.5482)</x:v>
      </x:c>
      <x:c r="F145" s="16" t="str">
        <x:v>{"coordinates":[26.7508,40.5482],"type":"Point"}</x:v>
      </x:c>
      <x:c r="G145" s="14" t="str">
        <x:v>representative_center</x:v>
      </x:c>
      <x:c r="H145" s="14" t="str">
        <x:v>high</x:v>
      </x:c>
      <x:c r="I145" s="14" t="str">
        <x:v>exact</x:v>
      </x:c>
      <x:c r="J145" s="14" t="str">
        <x:v>Τουρκία</x:v>
      </x:c>
      <x:c r="K145" s="14" t="str">
        <x:v>Turkey</x:v>
      </x:c>
      <x:c r="L145" s="14" t="str">
        <x:v>TUR</x:v>
      </x:c>
      <x:c r="M145" s="14" t="str">
        <x:v>TR</x:v>
      </x:c>
      <x:c r="N145" s="14"/>
      <x:c r="O145" s="14" t="str">
        <x:v>curated point linked to Pleiades place</x:v>
      </x:c>
      <x:c r="P145" s="16" t="str">
        <x:v>Το σημείο αποδίδει κατά προσέγγιση τη Λυσιμάχεια, ιδρυμένη ως βασιλική πρωτεύουσα· η θέση έχει χωρική αβεβαιότητα και τα εδάφη θα αποδοθούν σε ξεχωριστό GeoJSON.</x:v>
      </x:c>
      <x:c r="Q145" s="16" t="str">
        <x:v>The point marks Lysimachia as a representative centre; it does not represent the polity's territorial extent.</x:v>
      </x:c>
      <x:c r="R145" s="14" t="str">
        <x:v>src-pleiades-501458</x:v>
      </x:c>
      <x:c r="S145" s="14" t="str">
        <x:v>reviewed</x:v>
      </x:c>
    </x:row>
    <x:row r="146" ht="40" customHeight="1">
      <x:c r="A146" s="14" t="str">
        <x:v>place-kingdom-macedon-antigonid</x:v>
      </x:c>
      <x:c r="B146" s="14" t="str">
        <x:v>kingdom-macedon-antigonid</x:v>
      </x:c>
      <x:c r="C146" s="22" t="n">
        <x:v>40.7612</x:v>
      </x:c>
      <x:c r="D146" s="22" t="n">
        <x:v>22.526</x:v>
      </x:c>
      <x:c r="E146" s="16" t="str">
        <x:v>POINT (22.526 40.7612)</x:v>
      </x:c>
      <x:c r="F146" s="16" t="str">
        <x:v>{"coordinates":[22.526,40.7612],"type":"Point"}</x:v>
      </x:c>
      <x:c r="G146" s="14" t="str">
        <x:v>representative_center</x:v>
      </x:c>
      <x:c r="H146" s="14" t="str">
        <x:v>high</x:v>
      </x:c>
      <x:c r="I146" s="14" t="str">
        <x:v>unknown</x:v>
      </x:c>
      <x:c r="J146" s="14" t="str">
        <x:v>Ελλάδα</x:v>
      </x:c>
      <x:c r="K146" s="14" t="str">
        <x:v>Greece</x:v>
      </x:c>
      <x:c r="L146" s="14" t="str">
        <x:v>GRC</x:v>
      </x:c>
      <x:c r="M146" s="14" t="str">
        <x:v>GR</x:v>
      </x:c>
      <x:c r="N146" s="14"/>
      <x:c r="O146" s="14" t="str">
        <x:v>www.metmuseum.org</x:v>
      </x:c>
      <x:c r="P146" s="16" t="str">
        <x:v>Το σημείο αποδίδει την Πέλλα ως πρωτεύουσα, όχι την κυμαινόμενη μακεδονική επικράτεια· τα πολύγωνα θα αποθηκευθούν χωριστά ανά φάση.</x:v>
      </x:c>
      <x:c r="Q146" s="16" t="str">
        <x:v>The point marks Pella as a representative centre; it does not represent the polity's territorial extent.</x:v>
      </x:c>
      <x:c r="R146" s="14" t="str">
        <x:v>src-metmuseum-50fe20dc493f</x:v>
      </x:c>
      <x:c r="S146" s="14" t="str">
        <x:v>reviewed</x:v>
      </x:c>
    </x:row>
    <x:row r="147" ht="40" customHeight="1">
      <x:c r="A147" s="14" t="str">
        <x:v>place-kingdom-macedon-argead</x:v>
      </x:c>
      <x:c r="B147" s="14" t="str">
        <x:v>kingdom-macedon-argead</x:v>
      </x:c>
      <x:c r="C147" s="22" t="n">
        <x:v>40.4811</x:v>
      </x:c>
      <x:c r="D147" s="22" t="n">
        <x:v>22.313</x:v>
      </x:c>
      <x:c r="E147" s="16" t="str">
        <x:v>POINT (22.313 40.4811)</x:v>
      </x:c>
      <x:c r="F147" s="16" t="str">
        <x:v>{"coordinates":[22.313,40.4811],"type":"Point"}</x:v>
      </x:c>
      <x:c r="G147" s="14" t="str">
        <x:v>representative_center</x:v>
      </x:c>
      <x:c r="H147" s="14" t="str">
        <x:v>high</x:v>
      </x:c>
      <x:c r="I147" s="14" t="str">
        <x:v>unknown</x:v>
      </x:c>
      <x:c r="J147" s="14" t="str">
        <x:v>Ελλάδα</x:v>
      </x:c>
      <x:c r="K147" s="14" t="str">
        <x:v>Greece</x:v>
      </x:c>
      <x:c r="L147" s="14" t="str">
        <x:v>GRC</x:v>
      </x:c>
      <x:c r="M147" s="14" t="str">
        <x:v>GR</x:v>
      </x:c>
      <x:c r="N147" s="14"/>
      <x:c r="O147" s="14" t="str">
        <x:v>whc.unesco.org</x:v>
      </x:c>
      <x:c r="P147" s="16" t="str">
        <x:v>Το σημείο αποδίδει τις Αιγές ως πρώτη πρωτεύουσα και δυναστικό κέντρο, όχι τα μεταβαλλόμενα σύνορα της Μακεδονίας· τα πολύγωνα θα αποθηκευθούν χωριστά.</x:v>
      </x:c>
      <x:c r="Q147" s="16" t="str">
        <x:v>The point marks Aigai as a representative centre; it does not represent the polity's territorial extent.</x:v>
      </x:c>
      <x:c r="R147" s="14" t="str">
        <x:v>src-whc-fd006971700c</x:v>
      </x:c>
      <x:c r="S147" s="14" t="str">
        <x:v>reviewed</x:v>
      </x:c>
    </x:row>
    <x:row r="148" ht="40" customHeight="1">
      <x:c r="A148" s="14" t="str">
        <x:v>place-kingdom-macedon-kassandrid</x:v>
      </x:c>
      <x:c r="B148" s="14" t="str">
        <x:v>kingdom-macedon-kassandrid</x:v>
      </x:c>
      <x:c r="C148" s="22" t="n">
        <x:v>40.7612</x:v>
      </x:c>
      <x:c r="D148" s="22" t="n">
        <x:v>22.526</x:v>
      </x:c>
      <x:c r="E148" s="16" t="str">
        <x:v>POINT (22.526 40.7612)</x:v>
      </x:c>
      <x:c r="F148" s="16" t="str">
        <x:v>{"coordinates":[22.526,40.7612],"type":"Point"}</x:v>
      </x:c>
      <x:c r="G148" s="14" t="str">
        <x:v>representative_center</x:v>
      </x:c>
      <x:c r="H148" s="14" t="str">
        <x:v>high</x:v>
      </x:c>
      <x:c r="I148" s="14" t="str">
        <x:v>unknown</x:v>
      </x:c>
      <x:c r="J148" s="14" t="str">
        <x:v>Ελλάδα</x:v>
      </x:c>
      <x:c r="K148" s="14" t="str">
        <x:v>Greece</x:v>
      </x:c>
      <x:c r="L148" s="14" t="str">
        <x:v>GRC</x:v>
      </x:c>
      <x:c r="M148" s="14" t="str">
        <x:v>GR</x:v>
      </x:c>
      <x:c r="N148" s="14"/>
      <x:c r="O148" s="14" t="str">
        <x:v>www.metmuseum.org</x:v>
      </x:c>
      <x:c r="P148" s="16" t="str">
        <x:v>Το σημείο αποδίδει την Πέλλα ως πρωτεύουσα, όχι τα σύνορα του βασιλείου· οι εδαφικές μεταβολές των πολέμων των Διαδόχων θα αποδοθούν σε ξεχωριστό GeoJSON.</x:v>
      </x:c>
      <x:c r="Q148" s="16" t="str">
        <x:v>The point marks Pella as a representative centre; it does not represent the polity's territorial extent.</x:v>
      </x:c>
      <x:c r="R148" s="14" t="str">
        <x:v>src-metmuseum-50fe20dc493f</x:v>
      </x:c>
      <x:c r="S148" s="14" t="str">
        <x:v>reviewed</x:v>
      </x:c>
    </x:row>
    <x:row r="149" ht="40" customHeight="1">
      <x:c r="A149" s="14" t="str">
        <x:v>place-kingdom-mycenae-palatial</x:v>
      </x:c>
      <x:c r="B149" s="14" t="str">
        <x:v>kingdom-mycenae-palatial</x:v>
      </x:c>
      <x:c r="C149" s="22" t="n">
        <x:v>37.7305</x:v>
      </x:c>
      <x:c r="D149" s="22" t="n">
        <x:v>22.7562</x:v>
      </x:c>
      <x:c r="E149" s="16" t="str">
        <x:v>POINT (22.7562 37.7305)</x:v>
      </x:c>
      <x:c r="F149" s="16" t="str">
        <x:v>{"coordinates":[22.7562,37.7305],"type":"Point"}</x:v>
      </x:c>
      <x:c r="G149" s="14" t="str">
        <x:v>representative_center</x:v>
      </x:c>
      <x:c r="H149" s="14" t="str">
        <x:v>high</x:v>
      </x:c>
      <x:c r="I149" s="14" t="str">
        <x:v>unknown</x:v>
      </x:c>
      <x:c r="J149" s="14" t="str">
        <x:v>Ελλάδα</x:v>
      </x:c>
      <x:c r="K149" s="14" t="str">
        <x:v>Greece</x:v>
      </x:c>
      <x:c r="L149" s="14" t="str">
        <x:v>GRC</x:v>
      </x:c>
      <x:c r="M149" s="14" t="str">
        <x:v>GR</x:v>
      </x:c>
      <x:c r="N149" s="14"/>
      <x:c r="O149" s="14" t="str">
        <x:v>whc.unesco.org</x:v>
      </x:c>
      <x:c r="P149" s="16" t="str">
        <x:v>Το σημείο αποδίδει την ακρόπολη και το ανάκτορο των Μυκηνών, όχι την εδαφική έκταση· τα χρονοεξαρτώμενα εδαφικά πολύγωνα θα τηρούνται σε ξεχωριστό GeoJSON.</x:v>
      </x:c>
      <x:c r="Q149" s="16" t="str">
        <x:v>The point marks Mycenae as a representative centre; it does not represent the polity's territorial extent.</x:v>
      </x:c>
      <x:c r="R149" s="14" t="str">
        <x:v>src-whc-6306f630553d</x:v>
      </x:c>
      <x:c r="S149" s="14" t="str">
        <x:v>reviewed</x:v>
      </x:c>
    </x:row>
    <x:row r="150" ht="40" customHeight="1">
      <x:c r="A150" s="14" t="str">
        <x:v>place-kingdom-orchomenos-palatial</x:v>
      </x:c>
      <x:c r="B150" s="14" t="str">
        <x:v>kingdom-orchomenos-palatial</x:v>
      </x:c>
      <x:c r="C150" s="22" t="n">
        <x:v>38.4928</x:v>
      </x:c>
      <x:c r="D150" s="22" t="n">
        <x:v>22.9794</x:v>
      </x:c>
      <x:c r="E150" s="16" t="str">
        <x:v>POINT (22.9794 38.4928)</x:v>
      </x:c>
      <x:c r="F150" s="16" t="str">
        <x:v>{"coordinates":[22.9794,38.4928],"type":"Point"}</x:v>
      </x:c>
      <x:c r="G150" s="14" t="str">
        <x:v>representative_center</x:v>
      </x:c>
      <x:c r="H150" s="14" t="str">
        <x:v>high</x:v>
      </x:c>
      <x:c r="I150" s="14" t="str">
        <x:v>unknown</x:v>
      </x:c>
      <x:c r="J150" s="14" t="str">
        <x:v>Ελλάδα</x:v>
      </x:c>
      <x:c r="K150" s="14" t="str">
        <x:v>Greece</x:v>
      </x:c>
      <x:c r="L150" s="14" t="str">
        <x:v>GRC</x:v>
      </x:c>
      <x:c r="M150" s="14" t="str">
        <x:v>GR</x:v>
      </x:c>
      <x:c r="N150" s="14"/>
      <x:c r="O150" s="14" t="str">
        <x:v>www.mthv.gr</x:v>
      </x:c>
      <x:c r="P150" s="16" t="str">
        <x:v>Το σημείο αποδίδει το ανακτορικό κέντρο του Ορχομενού, όχι υποθετική επικράτεια· τυχόν εδαφικά πολύγωνα θα δημοσιευθούν χωριστά.</x:v>
      </x:c>
      <x:c r="Q150" s="16" t="str">
        <x:v>The point marks Orchomenos of Boeotia as a representative centre; it does not represent the polity's territorial extent.</x:v>
      </x:c>
      <x:c r="R150" s="14" t="str">
        <x:v>src-mthv-715d665b63b5</x:v>
      </x:c>
      <x:c r="S150" s="14" t="str">
        <x:v>reviewed</x:v>
      </x:c>
    </x:row>
    <x:row r="151" ht="40" customHeight="1">
      <x:c r="A151" s="14" t="str">
        <x:v>place-kingdom-paphos-cyprus</x:v>
      </x:c>
      <x:c r="B151" s="14" t="str">
        <x:v>kingdom-paphos-cyprus</x:v>
      </x:c>
      <x:c r="C151" s="22" t="n">
        <x:v>34.7084</x:v>
      </x:c>
      <x:c r="D151" s="22" t="n">
        <x:v>32.573</x:v>
      </x:c>
      <x:c r="E151" s="16" t="str">
        <x:v>POINT (32.573 34.7084)</x:v>
      </x:c>
      <x:c r="F151" s="16" t="str">
        <x:v>{"coordinates":[32.573,34.7084],"type":"Point"}</x:v>
      </x:c>
      <x:c r="G151" s="14" t="str">
        <x:v>representative_center</x:v>
      </x:c>
      <x:c r="H151" s="14" t="str">
        <x:v>high</x:v>
      </x:c>
      <x:c r="I151" s="14" t="str">
        <x:v>unknown</x:v>
      </x:c>
      <x:c r="J151" s="14" t="str">
        <x:v>Κύπρος</x:v>
      </x:c>
      <x:c r="K151" s="14" t="str">
        <x:v>Cyprus</x:v>
      </x:c>
      <x:c r="L151" s="14" t="str">
        <x:v>CYP</x:v>
      </x:c>
      <x:c r="M151" s="14" t="str">
        <x:v>CY</x:v>
      </x:c>
      <x:c r="N151" s="14"/>
      <x:c r="O151" s="14" t="str">
        <x:v>websites.ucy.ac.cy</x:v>
      </x:c>
      <x:c r="P151" s="16" t="str">
        <x:v>Το σημείο αποδίδει την Παλαίπαφο ως αρχικό βασιλικό και λατρευτικό κέντρο, όχι την επικράτεια· τα εδαφικά πολύγωνα θα δημοσιευθούν χωριστά.</x:v>
      </x:c>
      <x:c r="Q151" s="16" t="str">
        <x:v>The point marks Palaepaphos (Kouklia) as a representative centre; it does not represent the polity's territorial extent.</x:v>
      </x:c>
      <x:c r="R151" s="14" t="str">
        <x:v>src-websites-d5246844b076</x:v>
      </x:c>
      <x:c r="S151" s="14" t="str">
        <x:v>reviewed</x:v>
      </x:c>
    </x:row>
    <x:row r="152" ht="40" customHeight="1">
      <x:c r="A152" s="14" t="str">
        <x:v>place-kingdom-pontus-mithridatid</x:v>
      </x:c>
      <x:c r="B152" s="14" t="str">
        <x:v>kingdom-pontus-mithridatid</x:v>
      </x:c>
      <x:c r="C152" s="22" t="n">
        <x:v>42.0266</x:v>
      </x:c>
      <x:c r="D152" s="22" t="n">
        <x:v>35.1517</x:v>
      </x:c>
      <x:c r="E152" s="16" t="str">
        <x:v>POINT (35.1517 42.0266)</x:v>
      </x:c>
      <x:c r="F152" s="16" t="str">
        <x:v>{"coordinates":[35.1517,42.0266],"type":"Point"}</x:v>
      </x:c>
      <x:c r="G152" s="14" t="str">
        <x:v>representative_center</x:v>
      </x:c>
      <x:c r="H152" s="14" t="str">
        <x:v>high</x:v>
      </x:c>
      <x:c r="I152" s="14" t="str">
        <x:v>unknown</x:v>
      </x:c>
      <x:c r="J152" s="14" t="str">
        <x:v>Τουρκία</x:v>
      </x:c>
      <x:c r="K152" s="14" t="str">
        <x:v>Turkey</x:v>
      </x:c>
      <x:c r="L152" s="14" t="str">
        <x:v>TUR</x:v>
      </x:c>
      <x:c r="M152" s="14" t="str">
        <x:v>TR</x:v>
      </x:c>
      <x:c r="N152" s="14"/>
      <x:c r="O152" s="14" t="str">
        <x:v>www.metmuseum.org</x:v>
      </x:c>
      <x:c r="P152" s="16" t="str">
        <x:v>Το σημείο αποδίδει τη Σινώπη ως κύρια ύστερη πρωτεύουσα και όχι την αρχική έδρα στην Αμάσεια ή τα μεταβαλλόμενα σύνορα· τα πολύγωνα θα είναι ξεχωριστά.</x:v>
      </x:c>
      <x:c r="Q152" s="16" t="str">
        <x:v>The point marks Sinope as a representative centre; it does not represent the polity's territorial extent.</x:v>
      </x:c>
      <x:c r="R152" s="14" t="str">
        <x:v>src-metmuseum-50fe20dc493f</x:v>
      </x:c>
      <x:c r="S152" s="14" t="str">
        <x:v>reviewed</x:v>
      </x:c>
    </x:row>
    <x:row r="153" ht="40" customHeight="1">
      <x:c r="A153" s="14" t="str">
        <x:v>place-kingdom-ptolemaic-egypt</x:v>
      </x:c>
      <x:c r="B153" s="14" t="str">
        <x:v>kingdom-ptolemaic-egypt</x:v>
      </x:c>
      <x:c r="C153" s="22" t="n">
        <x:v>31.2001</x:v>
      </x:c>
      <x:c r="D153" s="22" t="n">
        <x:v>29.9187</x:v>
      </x:c>
      <x:c r="E153" s="16" t="str">
        <x:v>POINT (29.9187 31.2001)</x:v>
      </x:c>
      <x:c r="F153" s="16" t="str">
        <x:v>{"coordinates":[29.9187,31.2001],"type":"Point"}</x:v>
      </x:c>
      <x:c r="G153" s="14" t="str">
        <x:v>representative_center</x:v>
      </x:c>
      <x:c r="H153" s="14" t="str">
        <x:v>high</x:v>
      </x:c>
      <x:c r="I153" s="14" t="str">
        <x:v>unknown</x:v>
      </x:c>
      <x:c r="J153" s="14" t="str">
        <x:v>Αίγυπτος</x:v>
      </x:c>
      <x:c r="K153" s="14" t="str">
        <x:v>Egypt</x:v>
      </x:c>
      <x:c r="L153" s="14" t="str">
        <x:v>EGY</x:v>
      </x:c>
      <x:c r="M153" s="14" t="str">
        <x:v>EG</x:v>
      </x:c>
      <x:c r="N153" s="14"/>
      <x:c r="O153" s="14" t="str">
        <x:v>www.metmuseum.org</x:v>
      </x:c>
      <x:c r="P153" s="16" t="str">
        <x:v>Το σημείο αποδίδει την Αλεξάνδρεια ως πρωτεύουσα, όχι τα υπερπόντια κτήματα και τις μεταβαλλόμενες κτήσεις· αυτά απαιτούν ξεχωριστά χρονολογημένα πολύγωνα.</x:v>
      </x:c>
      <x:c r="Q153" s="16" t="str">
        <x:v>The point marks Alexandria as a representative centre; it does not represent the polity's territorial extent.</x:v>
      </x:c>
      <x:c r="R153" s="14" t="str">
        <x:v>src-metmuseum-9200258a95cb</x:v>
      </x:c>
      <x:c r="S153" s="14" t="str">
        <x:v>reviewed</x:v>
      </x:c>
    </x:row>
    <x:row r="154" ht="40" customHeight="1">
      <x:c r="A154" s="14" t="str">
        <x:v>place-kingdom-pylos-palatial</x:v>
      </x:c>
      <x:c r="B154" s="14" t="str">
        <x:v>kingdom-pylos-palatial</x:v>
      </x:c>
      <x:c r="C154" s="22" t="n">
        <x:v>37.0286</x:v>
      </x:c>
      <x:c r="D154" s="22" t="n">
        <x:v>21.6956</x:v>
      </x:c>
      <x:c r="E154" s="16" t="str">
        <x:v>POINT (21.6956 37.0286)</x:v>
      </x:c>
      <x:c r="F154" s="16" t="str">
        <x:v>{"coordinates":[21.6956,37.0286],"type":"Point"}</x:v>
      </x:c>
      <x:c r="G154" s="14" t="str">
        <x:v>representative_center</x:v>
      </x:c>
      <x:c r="H154" s="14" t="str">
        <x:v>high</x:v>
      </x:c>
      <x:c r="I154" s="14" t="str">
        <x:v>unknown</x:v>
      </x:c>
      <x:c r="J154" s="14" t="str">
        <x:v>Ελλάδα</x:v>
      </x:c>
      <x:c r="K154" s="14" t="str">
        <x:v>Greece</x:v>
      </x:c>
      <x:c r="L154" s="14" t="str">
        <x:v>GRC</x:v>
      </x:c>
      <x:c r="M154" s="14" t="str">
        <x:v>GR</x:v>
      </x:c>
      <x:c r="N154" s="14"/>
      <x:c r="O154" s="14" t="str">
        <x:v>odysseus.culture.gr</x:v>
      </x:c>
      <x:c r="P154" s="16" t="str">
        <x:v>Το σημείο αποδίδει το ανάκτορο στον Άνω Εγκλιανό, όχι το σύνολο της επικράτειας· τα εδαφικά πολύγωνα θα αποτελέσουν ξεχωριστό χρονολογημένο GeoJSON.</x:v>
      </x:c>
      <x:c r="Q154" s="16" t="str">
        <x:v>The point marks Palace of Nestor, Ano Eglianos as a representative centre; it does not represent the polity's territorial extent.</x:v>
      </x:c>
      <x:c r="R154" s="14" t="str">
        <x:v>src-odysseus-00e2d87ae4a8</x:v>
      </x:c>
      <x:c r="S154" s="14" t="str">
        <x:v>reviewed</x:v>
      </x:c>
    </x:row>
    <x:row r="155" ht="40" customHeight="1">
      <x:c r="A155" s="14" t="str">
        <x:v>place-kingdom-salamis-cyprus</x:v>
      </x:c>
      <x:c r="B155" s="14" t="str">
        <x:v>kingdom-salamis-cyprus</x:v>
      </x:c>
      <x:c r="C155" s="22" t="n">
        <x:v>35.1853</x:v>
      </x:c>
      <x:c r="D155" s="22" t="n">
        <x:v>33.9014</x:v>
      </x:c>
      <x:c r="E155" s="16" t="str">
        <x:v>POINT (33.9014 35.1853)</x:v>
      </x:c>
      <x:c r="F155" s="16" t="str">
        <x:v>{"coordinates":[33.9014,35.1853],"type":"Point"}</x:v>
      </x:c>
      <x:c r="G155" s="14" t="str">
        <x:v>representative_center</x:v>
      </x:c>
      <x:c r="H155" s="14" t="str">
        <x:v>high</x:v>
      </x:c>
      <x:c r="I155" s="14" t="str">
        <x:v>unknown</x:v>
      </x:c>
      <x:c r="J155" s="14" t="str">
        <x:v>Κύπρος</x:v>
      </x:c>
      <x:c r="K155" s="14" t="str">
        <x:v>Cyprus</x:v>
      </x:c>
      <x:c r="L155" s="14" t="str">
        <x:v>CYP</x:v>
      </x:c>
      <x:c r="M155" s="14" t="str">
        <x:v>CY</x:v>
      </x:c>
      <x:c r="N155" s="14"/>
      <x:c r="O155" s="14" t="str">
        <x:v>www.uni-muenster.de</x:v>
      </x:c>
      <x:c r="P155" s="16" t="str">
        <x:v>Το σημείο αποδίδει την αρχαία Σαλαμίνα ως βασιλικό κέντρο, όχι τα μεταβαλλόμενα όρια του βασιλείου· τα πολύγωνα θα αποθηκευθούν χωριστά.</x:v>
      </x:c>
      <x:c r="Q155" s="16" t="str">
        <x:v>The point marks Salamis, Cyprus as a representative centre; it does not represent the polity's territorial extent.</x:v>
      </x:c>
      <x:c r="R155" s="14" t="str">
        <x:v>src-uni-muenster-0a0030be4d2a</x:v>
      </x:c>
      <x:c r="S155" s="14" t="str">
        <x:v>reviewed</x:v>
      </x:c>
    </x:row>
    <x:row r="156" ht="40" customHeight="1">
      <x:c r="A156" s="14" t="str">
        <x:v>place-kingdom-seleucid</x:v>
      </x:c>
      <x:c r="B156" s="14" t="str">
        <x:v>kingdom-seleucid</x:v>
      </x:c>
      <x:c r="C156" s="22" t="n">
        <x:v>36.2021</x:v>
      </x:c>
      <x:c r="D156" s="22" t="n">
        <x:v>36.1609</x:v>
      </x:c>
      <x:c r="E156" s="16" t="str">
        <x:v>POINT (36.1609 36.2021)</x:v>
      </x:c>
      <x:c r="F156" s="16" t="str">
        <x:v>{"coordinates":[36.1609,36.2021],"type":"Point"}</x:v>
      </x:c>
      <x:c r="G156" s="14" t="str">
        <x:v>representative_center</x:v>
      </x:c>
      <x:c r="H156" s="14" t="str">
        <x:v>high</x:v>
      </x:c>
      <x:c r="I156" s="14" t="str">
        <x:v>unknown</x:v>
      </x:c>
      <x:c r="J156" s="14" t="str">
        <x:v>Τουρκία</x:v>
      </x:c>
      <x:c r="K156" s="14" t="str">
        <x:v>Turkey</x:v>
      </x:c>
      <x:c r="L156" s="14" t="str">
        <x:v>TUR</x:v>
      </x:c>
      <x:c r="M156" s="14" t="str">
        <x:v>TR</x:v>
      </x:c>
      <x:c r="N156" s="14"/>
      <x:c r="O156" s="14" t="str">
        <x:v>www.metmuseum.org</x:v>
      </x:c>
      <x:c r="P156" s="16" t="str">
        <x:v>Το σημείο αποδίδει την Αντιόχεια ως κύρια δυτική πρωτεύουσα, όχι ολόκληρη την αυτοκρατορία· η Σελεύκεια και οι εδαφικές φάσεις θα συνδεθούν με ξεχωριστά γεωμετρικά δεδομένα.</x:v>
      </x:c>
      <x:c r="Q156" s="16" t="str">
        <x:v>The point marks Antioch on the Orontes as a representative centre; it does not represent the polity's territorial extent.</x:v>
      </x:c>
      <x:c r="R156" s="14" t="str">
        <x:v>src-metmuseum-31540f5687cf</x:v>
      </x:c>
      <x:c r="S156" s="14" t="str">
        <x:v>reviewed</x:v>
      </x:c>
    </x:row>
    <x:row r="157" ht="40" customHeight="1">
      <x:c r="A157" s="14" t="str">
        <x:v>place-kingdom-syracuse-agathocles</x:v>
      </x:c>
      <x:c r="B157" s="14" t="str">
        <x:v>kingdom-syracuse-agathocles</x:v>
      </x:c>
      <x:c r="C157" s="22" t="n">
        <x:v>37.0608</x:v>
      </x:c>
      <x:c r="D157" s="22" t="n">
        <x:v>15.2926</x:v>
      </x:c>
      <x:c r="E157" s="16" t="str">
        <x:v>POINT (15.2926 37.0608)</x:v>
      </x:c>
      <x:c r="F157" s="16" t="str">
        <x:v>{"coordinates":[15.2926,37.0608],"type":"Point"}</x:v>
      </x:c>
      <x:c r="G157" s="14" t="str">
        <x:v>representative_center</x:v>
      </x:c>
      <x:c r="H157" s="14" t="str">
        <x:v>high</x:v>
      </x:c>
      <x:c r="I157" s="14" t="str">
        <x:v>unknown</x:v>
      </x:c>
      <x:c r="J157" s="14" t="str">
        <x:v>Ιταλία</x:v>
      </x:c>
      <x:c r="K157" s="14" t="str">
        <x:v>Italy</x:v>
      </x:c>
      <x:c r="L157" s="14" t="str">
        <x:v>ITA</x:v>
      </x:c>
      <x:c r="M157" s="14" t="str">
        <x:v>IT</x:v>
      </x:c>
      <x:c r="N157" s="14"/>
      <x:c r="O157" s="14" t="str">
        <x:v>www.britishmuseum.org</x:v>
      </x:c>
      <x:c r="P157" s="16" t="str">
        <x:v>Το σημείο αποδίδει τις Συρακούσες ως πρωτεύουσα, όχι όλες τις σικελικές και υπερπόντιες κτήσεις του Αγαθοκλή· τα πολύγωνα θα είναι ξεχωριστά ανά εκστρατευτική φάση.</x:v>
      </x:c>
      <x:c r="Q157" s="16" t="str">
        <x:v>The point marks Syracuse as a representative centre; it does not represent the polity's territorial extent.</x:v>
      </x:c>
      <x:c r="R157" s="14" t="str">
        <x:v>src-britishmuseum-073d3f0a8ae4</x:v>
      </x:c>
      <x:c r="S157" s="14" t="str">
        <x:v>reviewed</x:v>
      </x:c>
    </x:row>
    <x:row r="158" ht="40" customHeight="1">
      <x:c r="A158" s="14" t="str">
        <x:v>place-kingdom-syracuse-hieron-ii</x:v>
      </x:c>
      <x:c r="B158" s="14" t="str">
        <x:v>kingdom-syracuse-hieron-ii</x:v>
      </x:c>
      <x:c r="C158" s="22" t="n">
        <x:v>37.0608</x:v>
      </x:c>
      <x:c r="D158" s="22" t="n">
        <x:v>15.2926</x:v>
      </x:c>
      <x:c r="E158" s="16" t="str">
        <x:v>POINT (15.2926 37.0608)</x:v>
      </x:c>
      <x:c r="F158" s="16" t="str">
        <x:v>{"coordinates":[15.2926,37.0608],"type":"Point"}</x:v>
      </x:c>
      <x:c r="G158" s="14" t="str">
        <x:v>representative_center</x:v>
      </x:c>
      <x:c r="H158" s="14" t="str">
        <x:v>high</x:v>
      </x:c>
      <x:c r="I158" s="14" t="str">
        <x:v>unknown</x:v>
      </x:c>
      <x:c r="J158" s="14" t="str">
        <x:v>Ιταλία</x:v>
      </x:c>
      <x:c r="K158" s="14" t="str">
        <x:v>Italy</x:v>
      </x:c>
      <x:c r="L158" s="14" t="str">
        <x:v>ITA</x:v>
      </x:c>
      <x:c r="M158" s="14" t="str">
        <x:v>IT</x:v>
      </x:c>
      <x:c r="N158" s="14"/>
      <x:c r="O158" s="14" t="str">
        <x:v>www.britishmuseum.org</x:v>
      </x:c>
      <x:c r="P158" s="16" t="str">
        <x:v>Το σημείο αποδίδει τις Συρακούσες ως πρωτεύουσα, όχι την ελεγχόμενη νοτιοανατολική Σικελία· τα εδαφικά πολύγωνα θα τηρούνται χωριστά.</x:v>
      </x:c>
      <x:c r="Q158" s="16" t="str">
        <x:v>The point marks Syracuse as a representative centre; it does not represent the polity's territorial extent.</x:v>
      </x:c>
      <x:c r="R158" s="14" t="str">
        <x:v>src-britishmuseum-d101eb623c92</x:v>
      </x:c>
      <x:c r="S158" s="14" t="str">
        <x:v>reviewed</x:v>
      </x:c>
    </x:row>
    <x:row r="159" ht="40" customHeight="1">
      <x:c r="A159" s="14" t="str">
        <x:v>place-kingdom-thebes-palatial</x:v>
      </x:c>
      <x:c r="B159" s="14" t="str">
        <x:v>kingdom-thebes-palatial</x:v>
      </x:c>
      <x:c r="C159" s="22" t="n">
        <x:v>38.325</x:v>
      </x:c>
      <x:c r="D159" s="22" t="n">
        <x:v>23.3189</x:v>
      </x:c>
      <x:c r="E159" s="16" t="str">
        <x:v>POINT (23.3189 38.325)</x:v>
      </x:c>
      <x:c r="F159" s="16" t="str">
        <x:v>{"coordinates":[23.3189,38.325],"type":"Point"}</x:v>
      </x:c>
      <x:c r="G159" s="14" t="str">
        <x:v>representative_center</x:v>
      </x:c>
      <x:c r="H159" s="14" t="str">
        <x:v>high</x:v>
      </x:c>
      <x:c r="I159" s="14" t="str">
        <x:v>unknown</x:v>
      </x:c>
      <x:c r="J159" s="14" t="str">
        <x:v>Ελλάδα</x:v>
      </x:c>
      <x:c r="K159" s="14" t="str">
        <x:v>Greece</x:v>
      </x:c>
      <x:c r="L159" s="14" t="str">
        <x:v>GRC</x:v>
      </x:c>
      <x:c r="M159" s="14" t="str">
        <x:v>GR</x:v>
      </x:c>
      <x:c r="N159" s="14"/>
      <x:c r="O159" s="14" t="str">
        <x:v>www.mthv.gr</x:v>
      </x:c>
      <x:c r="P159" s="16" t="str">
        <x:v>Το σημείο αποδίδει το ανακτορικό συγκρότημα στην Καδμεία, όχι τα όρια της θηβαϊκής εξουσίας· τα πολύγωνα θα είναι ξεχωριστά και χρονολογημένα.</x:v>
      </x:c>
      <x:c r="Q159" s="16" t="str">
        <x:v>The point marks Cadmeia, Thebes as a representative centre; it does not represent the polity's territorial extent.</x:v>
      </x:c>
      <x:c r="R159" s="14" t="str">
        <x:v>src-mthv-715d665b63b5</x:v>
      </x:c>
      <x:c r="S159" s="14" t="str">
        <x:v>reviewed</x:v>
      </x:c>
    </x:row>
    <x:row r="160" ht="40" customHeight="1">
      <x:c r="A160" s="14" t="str">
        <x:v>place-kingdom-tiryns-palatial</x:v>
      </x:c>
      <x:c r="B160" s="14" t="str">
        <x:v>kingdom-tiryns-palatial</x:v>
      </x:c>
      <x:c r="C160" s="22" t="n">
        <x:v>37.6</x:v>
      </x:c>
      <x:c r="D160" s="22" t="n">
        <x:v>22.8</x:v>
      </x:c>
      <x:c r="E160" s="16" t="str">
        <x:v>POINT (22.8 37.6)</x:v>
      </x:c>
      <x:c r="F160" s="16" t="str">
        <x:v>{"coordinates":[22.8,37.6],"type":"Point"}</x:v>
      </x:c>
      <x:c r="G160" s="14" t="str">
        <x:v>representative_center</x:v>
      </x:c>
      <x:c r="H160" s="14" t="str">
        <x:v>high</x:v>
      </x:c>
      <x:c r="I160" s="14" t="str">
        <x:v>unknown</x:v>
      </x:c>
      <x:c r="J160" s="14" t="str">
        <x:v>Ελλάδα</x:v>
      </x:c>
      <x:c r="K160" s="14" t="str">
        <x:v>Greece</x:v>
      </x:c>
      <x:c r="L160" s="14" t="str">
        <x:v>GRC</x:v>
      </x:c>
      <x:c r="M160" s="14" t="str">
        <x:v>GR</x:v>
      </x:c>
      <x:c r="N160" s="14"/>
      <x:c r="O160" s="14" t="str">
        <x:v>whc.unesco.org</x:v>
      </x:c>
      <x:c r="P160" s="16" t="str">
        <x:v>Το σημείο αποδίδει την οχυρωμένη ακρόπολη και το ανάκτορο της Τίρυνθας, όχι επικράτεια· τα εδαφικά πολύγωνα θα τηρούνται χωριστά.</x:v>
      </x:c>
      <x:c r="Q160" s="16" t="str">
        <x:v>The point marks Tiryns as a representative centre; it does not represent the polity's territorial extent.</x:v>
      </x:c>
      <x:c r="R160" s="14" t="str">
        <x:v>src-whc-6306f630553d</x:v>
      </x:c>
      <x:c r="S160" s="14" t="str">
        <x:v>reviewed</x:v>
      </x:c>
    </x:row>
    <x:row r="161" ht="40" customHeight="1">
      <x:c r="A161" s="14" t="str">
        <x:v>place-sanctuary-aegina-aphaia-sanctuary</x:v>
      </x:c>
      <x:c r="B161" s="14" t="str">
        <x:v>sanctuary-aegina-aphaia-sanctuary</x:v>
      </x:c>
      <x:c r="C161" s="22" t="n">
        <x:v>37.75437629</x:v>
      </x:c>
      <x:c r="D161" s="22" t="n">
        <x:v>23.53324757</x:v>
      </x:c>
      <x:c r="E161" s="16" t="str">
        <x:v>POINT (23.53324757 37.75437629)</x:v>
      </x:c>
      <x:c r="F161" s="16" t="str">
        <x:v>{"coordinates":[23.53324757,37.75437629],"type":"Point"}</x:v>
      </x:c>
      <x:c r="G161" s="14" t="str">
        <x:v>site</x:v>
      </x:c>
      <x:c r="H161" s="14" t="str">
        <x:v>high</x:v>
      </x:c>
      <x:c r="I161" s="14" t="str">
        <x:v>exact</x:v>
      </x:c>
      <x:c r="J161" s="14" t="str">
        <x:v>Ελλάδα</x:v>
      </x:c>
      <x:c r="K161" s="14" t="str">
        <x:v>Greece</x:v>
      </x:c>
      <x:c r="L161" s="14" t="str">
        <x:v>GRC</x:v>
      </x:c>
      <x:c r="M161" s="14" t="str">
        <x:v>GR</x:v>
      </x:c>
      <x:c r="N161" s="14" t="str">
        <x:v>Agia Marina, Aegina</x:v>
      </x:c>
      <x:c r="O161" s="14" t="str">
        <x:v>Pleiades representative point</x:v>
      </x:c>
      <x:c r="P161" s="16"/>
      <x:c r="Q161" s="16"/>
      <x:c r="R161" s="14" t="str">
        <x:v>src-pleiades-579872</x:v>
      </x:c>
      <x:c r="S161" s="14" t="str">
        <x:v>reviewed</x:v>
      </x:c>
    </x:row>
    <x:row r="162" ht="40" customHeight="1">
      <x:c r="A162" s="14" t="str">
        <x:v>place-sanctuary-akragas-concordia-temple-sanctuary</x:v>
      </x:c>
      <x:c r="B162" s="14" t="str">
        <x:v>sanctuary-akragas-concordia-temple-sanctuary</x:v>
      </x:c>
      <x:c r="C162" s="22" t="n">
        <x:v>37.28965596</x:v>
      </x:c>
      <x:c r="D162" s="22" t="n">
        <x:v>13.59207237</x:v>
      </x:c>
      <x:c r="E162" s="16" t="str">
        <x:v>POINT (13.59207237 37.28965596)</x:v>
      </x:c>
      <x:c r="F162" s="16" t="str">
        <x:v>{"coordinates":[13.59207237,37.28965596],"type":"Point"}</x:v>
      </x:c>
      <x:c r="G162" s="14" t="str">
        <x:v>site</x:v>
      </x:c>
      <x:c r="H162" s="14" t="str">
        <x:v>medium</x:v>
      </x:c>
      <x:c r="I162" s="14" t="str">
        <x:v>exact</x:v>
      </x:c>
      <x:c r="J162" s="14" t="str">
        <x:v>Ιταλία</x:v>
      </x:c>
      <x:c r="K162" s="14" t="str">
        <x:v>Italy</x:v>
      </x:c>
      <x:c r="L162" s="14" t="str">
        <x:v>ITA</x:v>
      </x:c>
      <x:c r="M162" s="14" t="str">
        <x:v>IT</x:v>
      </x:c>
      <x:c r="N162" s="14" t="str">
        <x:v>Agrigento</x:v>
      </x:c>
      <x:c r="O162" s="14" t="str">
        <x:v>Pleiades representative point</x:v>
      </x:c>
      <x:c r="P162" s="16"/>
      <x:c r="Q162" s="16"/>
      <x:c r="R162" s="14" t="str">
        <x:v>src-pleiades-943504072</x:v>
      </x:c>
      <x:c r="S162" s="14" t="str">
        <x:v>reviewed</x:v>
      </x:c>
    </x:row>
    <x:row r="163" ht="40" customHeight="1">
      <x:c r="A163" s="14" t="str">
        <x:v>place-sanctuary-alexandria-serapeum</x:v>
      </x:c>
      <x:c r="B163" s="14" t="str">
        <x:v>sanctuary-alexandria-serapeum</x:v>
      </x:c>
      <x:c r="C163" s="22" t="n">
        <x:v>31.181944</x:v>
      </x:c>
      <x:c r="D163" s="22" t="n">
        <x:v>29.896944</x:v>
      </x:c>
      <x:c r="E163" s="16" t="str">
        <x:v>POINT (29.896944 31.181944)</x:v>
      </x:c>
      <x:c r="F163" s="16" t="str">
        <x:v>{"coordinates":[29.896944,31.181944],"type":"Point"}</x:v>
      </x:c>
      <x:c r="G163" s="14" t="str">
        <x:v>site</x:v>
      </x:c>
      <x:c r="H163" s="14" t="str">
        <x:v>high</x:v>
      </x:c>
      <x:c r="I163" s="14" t="str">
        <x:v>exact</x:v>
      </x:c>
      <x:c r="J163" s="14" t="str">
        <x:v>Αίγυπτος</x:v>
      </x:c>
      <x:c r="K163" s="14" t="str">
        <x:v>Egypt</x:v>
      </x:c>
      <x:c r="L163" s="14" t="str">
        <x:v>EGY</x:v>
      </x:c>
      <x:c r="M163" s="14" t="str">
        <x:v>EG</x:v>
      </x:c>
      <x:c r="N163" s="14" t="str">
        <x:v>Alexandria</x:v>
      </x:c>
      <x:c r="O163" s="14" t="str">
        <x:v>Pleiades representative point</x:v>
      </x:c>
      <x:c r="P163" s="16"/>
      <x:c r="Q163" s="16"/>
      <x:c r="R163" s="14" t="str">
        <x:v>src-pleiades-182618516</x:v>
      </x:c>
      <x:c r="S163" s="14" t="str">
        <x:v>reviewed</x:v>
      </x:c>
    </x:row>
    <x:row r="164" ht="40" customHeight="1">
      <x:c r="A164" s="14" t="str">
        <x:v>place-sanctuary-amyklaion-apollo-sanctuary</x:v>
      </x:c>
      <x:c r="B164" s="14" t="str">
        <x:v>sanctuary-amyklaion-apollo-sanctuary</x:v>
      </x:c>
      <x:c r="C164" s="22" t="n">
        <x:v>37.03631128</x:v>
      </x:c>
      <x:c r="D164" s="22" t="n">
        <x:v>22.45026506</x:v>
      </x:c>
      <x:c r="E164" s="16" t="str">
        <x:v>POINT (22.45026506 37.03631128)</x:v>
      </x:c>
      <x:c r="F164" s="16" t="str">
        <x:v>{"coordinates":[22.45026506,37.03631128],"type":"Point"}</x:v>
      </x:c>
      <x:c r="G164" s="14" t="str">
        <x:v>site</x:v>
      </x:c>
      <x:c r="H164" s="14" t="str">
        <x:v>high</x:v>
      </x:c>
      <x:c r="I164" s="14" t="str">
        <x:v>exact</x:v>
      </x:c>
      <x:c r="J164" s="14" t="str">
        <x:v>Ελλάδα</x:v>
      </x:c>
      <x:c r="K164" s="14" t="str">
        <x:v>Greece</x:v>
      </x:c>
      <x:c r="L164" s="14" t="str">
        <x:v>GRC</x:v>
      </x:c>
      <x:c r="M164" s="14" t="str">
        <x:v>GR</x:v>
      </x:c>
      <x:c r="N164" s="14" t="str">
        <x:v>Amykles</x:v>
      </x:c>
      <x:c r="O164" s="14" t="str">
        <x:v>Pleiades representative point</x:v>
      </x:c>
      <x:c r="P164" s="16"/>
      <x:c r="Q164" s="16"/>
      <x:c r="R164" s="14" t="str">
        <x:v>src-pleiades-73644851</x:v>
      </x:c>
      <x:c r="S164" s="14" t="str">
        <x:v>reviewed</x:v>
      </x:c>
    </x:row>
    <x:row r="165" ht="40" customHeight="1">
      <x:c r="A165" s="14" t="str">
        <x:v>place-sanctuary-aphrodisias-aphrodite-sanctuary</x:v>
      </x:c>
      <x:c r="B165" s="14" t="str">
        <x:v>sanctuary-aphrodisias-aphrodite-sanctuary</x:v>
      </x:c>
      <x:c r="C165" s="22" t="n">
        <x:v>37.70971883</x:v>
      </x:c>
      <x:c r="D165" s="22" t="n">
        <x:v>28.72318902</x:v>
      </x:c>
      <x:c r="E165" s="16" t="str">
        <x:v>POINT (28.72318902 37.70971883)</x:v>
      </x:c>
      <x:c r="F165" s="16" t="str">
        <x:v>{"coordinates":[28.72318902,37.70971883],"type":"Point"}</x:v>
      </x:c>
      <x:c r="G165" s="14" t="str">
        <x:v>site</x:v>
      </x:c>
      <x:c r="H165" s="14" t="str">
        <x:v>high</x:v>
      </x:c>
      <x:c r="I165" s="14" t="str">
        <x:v>unknown</x:v>
      </x:c>
      <x:c r="J165" s="14" t="str">
        <x:v>Τουρκία</x:v>
      </x:c>
      <x:c r="K165" s="14" t="str">
        <x:v>Turkey</x:v>
      </x:c>
      <x:c r="L165" s="14" t="str">
        <x:v>TUR</x:v>
      </x:c>
      <x:c r="M165" s="14" t="str">
        <x:v>TR</x:v>
      </x:c>
      <x:c r="N165" s="14" t="str">
        <x:v>Geyre</x:v>
      </x:c>
      <x:c r="O165" s="14" t="str">
        <x:v>aphrodisias-excavations.com</x:v>
      </x:c>
      <x:c r="P165" s="16"/>
      <x:c r="Q165" s="16"/>
      <x:c r="R165" s="14" t="str">
        <x:v>src-aphrodisias-excavations-68b8b8553e48</x:v>
      </x:c>
      <x:c r="S165" s="14" t="str">
        <x:v>reviewed</x:v>
      </x:c>
    </x:row>
    <x:row r="166" ht="40" customHeight="1">
      <x:c r="A166" s="14" t="str">
        <x:v>place-sanctuary-apollonia-pontica-apollo-ietros-sanctuary</x:v>
      </x:c>
      <x:c r="B166" s="14" t="str">
        <x:v>sanctuary-apollonia-pontica-apollo-ietros-sanctuary</x:v>
      </x:c>
      <x:c r="C166" s="22" t="n">
        <x:v>42.4261</x:v>
      </x:c>
      <x:c r="D166" s="22" t="n">
        <x:v>27.6938</x:v>
      </x:c>
      <x:c r="E166" s="16" t="str">
        <x:v>POINT (27.6938 42.4261)</x:v>
      </x:c>
      <x:c r="F166" s="16" t="str">
        <x:v>{"coordinates":[27.6938,42.4261],"type":"Point"}</x:v>
      </x:c>
      <x:c r="G166" s="14" t="str">
        <x:v>proxy</x:v>
      </x:c>
      <x:c r="H166" s="14" t="str">
        <x:v>medium</x:v>
      </x:c>
      <x:c r="I166" s="14" t="str">
        <x:v>exact</x:v>
      </x:c>
      <x:c r="J166" s="14" t="str">
        <x:v>Βουλγαρία</x:v>
      </x:c>
      <x:c r="K166" s="14" t="str">
        <x:v>Bulgaria</x:v>
      </x:c>
      <x:c r="L166" s="14" t="str">
        <x:v>BGR</x:v>
      </x:c>
      <x:c r="M166" s="14" t="str">
        <x:v>BG</x:v>
      </x:c>
      <x:c r="N166" s="14" t="str">
        <x:v>St. Kirik Island, Sozopol</x:v>
      </x:c>
      <x:c r="O166" s="14" t="str">
        <x:v>curated point linked to Pleiades place</x:v>
      </x:c>
      <x:c r="P166" s="16" t="str">
        <x:v>Το σημείο είναι προσεγγιστικός χωρικός δείκτης του ιερού μέσα στην αρχαία πόλη και όχι ανεξάρτητα αποτυπωμένο περίγραμμα του μνημείου.</x:v>
      </x:c>
      <x:c r="Q166" s="16" t="str">
        <x:v>The point is an approximate spatial marker for the sanctuary within the ancient settlement; it is not a surveyed footprint of the monument.</x:v>
      </x:c>
      <x:c r="R166" s="14" t="str">
        <x:v>src-pleiades-216706</x:v>
      </x:c>
      <x:c r="S166" s="14" t="str">
        <x:v>reviewed</x:v>
      </x:c>
    </x:row>
    <x:row r="167" ht="40" customHeight="1">
      <x:c r="A167" s="14" t="str">
        <x:v>place-sanctuary-argive-heraion</x:v>
      </x:c>
      <x:c r="B167" s="14" t="str">
        <x:v>sanctuary-argive-heraion</x:v>
      </x:c>
      <x:c r="C167" s="22" t="n">
        <x:v>37.69209411</x:v>
      </x:c>
      <x:c r="D167" s="22" t="n">
        <x:v>22.77477164</x:v>
      </x:c>
      <x:c r="E167" s="16" t="str">
        <x:v>POINT (22.77477164 37.69209411)</x:v>
      </x:c>
      <x:c r="F167" s="16" t="str">
        <x:v>{"coordinates":[22.77477164,37.69209411],"type":"Point"}</x:v>
      </x:c>
      <x:c r="G167" s="14" t="str">
        <x:v>site</x:v>
      </x:c>
      <x:c r="H167" s="14" t="str">
        <x:v>high</x:v>
      </x:c>
      <x:c r="I167" s="14" t="str">
        <x:v>exact</x:v>
      </x:c>
      <x:c r="J167" s="14" t="str">
        <x:v>Ελλάδα</x:v>
      </x:c>
      <x:c r="K167" s="14" t="str">
        <x:v>Greece</x:v>
      </x:c>
      <x:c r="L167" s="14" t="str">
        <x:v>GRC</x:v>
      </x:c>
      <x:c r="M167" s="14" t="str">
        <x:v>GR</x:v>
      </x:c>
      <x:c r="N167" s="14" t="str">
        <x:v>Neo Ireo</x:v>
      </x:c>
      <x:c r="O167" s="14" t="str">
        <x:v>Pleiades representative point</x:v>
      </x:c>
      <x:c r="P167" s="16"/>
      <x:c r="Q167" s="16"/>
      <x:c r="R167" s="14" t="str">
        <x:v>src-pleiades-570289</x:v>
      </x:c>
      <x:c r="S167" s="14" t="str">
        <x:v>reviewed</x:v>
      </x:c>
    </x:row>
    <x:row r="168" ht="40" customHeight="1">
      <x:c r="A168" s="14" t="str">
        <x:v>place-sanctuary-athens-acropolis-sacred-center</x:v>
      </x:c>
      <x:c r="B168" s="14" t="str">
        <x:v>sanctuary-athens-acropolis-sacred-center</x:v>
      </x:c>
      <x:c r="C168" s="22" t="n">
        <x:v>37.97164709</x:v>
      </x:c>
      <x:c r="D168" s="22" t="n">
        <x:v>23.7264385</x:v>
      </x:c>
      <x:c r="E168" s="16" t="str">
        <x:v>POINT (23.7264385 37.97164709)</x:v>
      </x:c>
      <x:c r="F168" s="16" t="str">
        <x:v>{"coordinates":[23.7264385,37.97164709],"type":"Point"}</x:v>
      </x:c>
      <x:c r="G168" s="14" t="str">
        <x:v>site</x:v>
      </x:c>
      <x:c r="H168" s="14" t="str">
        <x:v>high</x:v>
      </x:c>
      <x:c r="I168" s="14" t="str">
        <x:v>exact</x:v>
      </x:c>
      <x:c r="J168" s="14" t="str">
        <x:v>Ελλάδα</x:v>
      </x:c>
      <x:c r="K168" s="14" t="str">
        <x:v>Greece</x:v>
      </x:c>
      <x:c r="L168" s="14" t="str">
        <x:v>GRC</x:v>
      </x:c>
      <x:c r="M168" s="14" t="str">
        <x:v>GR</x:v>
      </x:c>
      <x:c r="N168" s="14" t="str">
        <x:v>Athens</x:v>
      </x:c>
      <x:c r="O168" s="14" t="str">
        <x:v>Pleiades representative point</x:v>
      </x:c>
      <x:c r="P168" s="16"/>
      <x:c r="Q168" s="16"/>
      <x:c r="R168" s="14" t="str">
        <x:v>src-pleiades-638356144</x:v>
      </x:c>
      <x:c r="S168" s="14" t="str">
        <x:v>reviewed</x:v>
      </x:c>
    </x:row>
    <x:row r="169" ht="40" customHeight="1">
      <x:c r="A169" s="14" t="str">
        <x:v>place-sanctuary-bassae-apollo-epikourios</x:v>
      </x:c>
      <x:c r="B169" s="14" t="str">
        <x:v>sanctuary-bassae-apollo-epikourios</x:v>
      </x:c>
      <x:c r="C169" s="22" t="n">
        <x:v>37.42964395</x:v>
      </x:c>
      <x:c r="D169" s="22" t="n">
        <x:v>21.90032237</x:v>
      </x:c>
      <x:c r="E169" s="16" t="str">
        <x:v>POINT (21.90032237 37.42964395)</x:v>
      </x:c>
      <x:c r="F169" s="16" t="str">
        <x:v>{"coordinates":[21.90032237,37.42964395],"type":"Point"}</x:v>
      </x:c>
      <x:c r="G169" s="14" t="str">
        <x:v>site</x:v>
      </x:c>
      <x:c r="H169" s="14" t="str">
        <x:v>high</x:v>
      </x:c>
      <x:c r="I169" s="14" t="str">
        <x:v>exact</x:v>
      </x:c>
      <x:c r="J169" s="14" t="str">
        <x:v>Ελλάδα</x:v>
      </x:c>
      <x:c r="K169" s="14" t="str">
        <x:v>Greece</x:v>
      </x:c>
      <x:c r="L169" s="14" t="str">
        <x:v>GRC</x:v>
      </x:c>
      <x:c r="M169" s="14" t="str">
        <x:v>GR</x:v>
      </x:c>
      <x:c r="N169" s="14" t="str">
        <x:v>Skliros</x:v>
      </x:c>
      <x:c r="O169" s="14" t="str">
        <x:v>Pleiades representative point</x:v>
      </x:c>
      <x:c r="P169" s="16"/>
      <x:c r="Q169" s="16"/>
      <x:c r="R169" s="14" t="str">
        <x:v>src-pleiades-570148</x:v>
      </x:c>
      <x:c r="S169" s="14" t="str">
        <x:v>reviewed</x:v>
      </x:c>
    </x:row>
    <x:row r="170" ht="40" customHeight="1">
      <x:c r="A170" s="14" t="str">
        <x:v>place-sanctuary-brauron-artemis-sanctuary</x:v>
      </x:c>
      <x:c r="B170" s="14" t="str">
        <x:v>sanctuary-brauron-artemis-sanctuary</x:v>
      </x:c>
      <x:c r="C170" s="22" t="n">
        <x:v>37.92615476</x:v>
      </x:c>
      <x:c r="D170" s="22" t="n">
        <x:v>23.99371274</x:v>
      </x:c>
      <x:c r="E170" s="16" t="str">
        <x:v>POINT (23.99371274 37.92615476)</x:v>
      </x:c>
      <x:c r="F170" s="16" t="str">
        <x:v>{"coordinates":[23.99371274,37.92615476],"type":"Point"}</x:v>
      </x:c>
      <x:c r="G170" s="14" t="str">
        <x:v>site</x:v>
      </x:c>
      <x:c r="H170" s="14" t="str">
        <x:v>high</x:v>
      </x:c>
      <x:c r="I170" s="14" t="str">
        <x:v>exact</x:v>
      </x:c>
      <x:c r="J170" s="14" t="str">
        <x:v>Ελλάδα</x:v>
      </x:c>
      <x:c r="K170" s="14" t="str">
        <x:v>Greece</x:v>
      </x:c>
      <x:c r="L170" s="14" t="str">
        <x:v>GRC</x:v>
      </x:c>
      <x:c r="M170" s="14" t="str">
        <x:v>GR</x:v>
      </x:c>
      <x:c r="N170" s="14" t="str">
        <x:v>Vravrona</x:v>
      </x:c>
      <x:c r="O170" s="14" t="str">
        <x:v>Pleiades representative point</x:v>
      </x:c>
      <x:c r="P170" s="16"/>
      <x:c r="Q170" s="16"/>
      <x:c r="R170" s="14" t="str">
        <x:v>src-pleiades-579879</x:v>
      </x:c>
      <x:c r="S170" s="14" t="str">
        <x:v>reviewed</x:v>
      </x:c>
    </x:row>
    <x:row r="171" ht="40" customHeight="1">
      <x:c r="A171" s="14" t="str">
        <x:v>place-sanctuary-chersonesos-parthenos-sanctuary</x:v>
      </x:c>
      <x:c r="B171" s="14" t="str">
        <x:v>sanctuary-chersonesos-parthenos-sanctuary</x:v>
      </x:c>
      <x:c r="C171" s="22" t="n">
        <x:v>44.61222</x:v>
      </x:c>
      <x:c r="D171" s="22" t="n">
        <x:v>33.49116</x:v>
      </x:c>
      <x:c r="E171" s="16" t="str">
        <x:v>POINT (33.49116 44.61222)</x:v>
      </x:c>
      <x:c r="F171" s="16" t="str">
        <x:v>{"coordinates":[33.49116,44.61222],"type":"Point"}</x:v>
      </x:c>
      <x:c r="G171" s="14" t="str">
        <x:v>proxy</x:v>
      </x:c>
      <x:c r="H171" s="14" t="str">
        <x:v>medium</x:v>
      </x:c>
      <x:c r="I171" s="14" t="str">
        <x:v>unknown</x:v>
      </x:c>
      <x:c r="J171" s="14" t="str">
        <x:v>Ουκρανία</x:v>
      </x:c>
      <x:c r="K171" s="14" t="str">
        <x:v>Ukraine</x:v>
      </x:c>
      <x:c r="L171" s="14" t="str">
        <x:v>UKR</x:v>
      </x:c>
      <x:c r="M171" s="14" t="str">
        <x:v>UA</x:v>
      </x:c>
      <x:c r="N171" s="14" t="str">
        <x:v>Sevastopol</x:v>
      </x:c>
      <x:c r="O171" s="14" t="str">
        <x:v>whc.unesco.org</x:v>
      </x:c>
      <x:c r="P171" s="16" t="str">
        <x:v>Το σημείο αποδίδει προσεγγιστικά την ακρόπολη της Χερσονήσου· το ακριβές περίγραμμα του ιερού δεν έχει αποκατασταθεί με βεβαιότητα.</x:v>
      </x:c>
      <x:c r="Q171" s="16" t="str">
        <x:v>The point approximately marks the Chersonesos acropolis; the sanctuary's exact footprint has not been securely reconstructed.</x:v>
      </x:c>
      <x:c r="R171" s="14" t="str">
        <x:v>src-whc-329a28f5c851</x:v>
      </x:c>
      <x:c r="S171" s="14" t="str">
        <x:v>reviewed</x:v>
      </x:c>
    </x:row>
    <x:row r="172" ht="40" customHeight="1">
      <x:c r="A172" s="14" t="str">
        <x:v>place-sanctuary-claros-apollo-oracle</x:v>
      </x:c>
      <x:c r="B172" s="14" t="str">
        <x:v>sanctuary-claros-apollo-oracle</x:v>
      </x:c>
      <x:c r="C172" s="22" t="n">
        <x:v>38.00473241</x:v>
      </x:c>
      <x:c r="D172" s="22" t="n">
        <x:v>27.19296631</x:v>
      </x:c>
      <x:c r="E172" s="16" t="str">
        <x:v>POINT (27.19296631 38.00473241)</x:v>
      </x:c>
      <x:c r="F172" s="16" t="str">
        <x:v>{"coordinates":[27.19296631,38.00473241],"type":"Point"}</x:v>
      </x:c>
      <x:c r="G172" s="14" t="str">
        <x:v>site</x:v>
      </x:c>
      <x:c r="H172" s="14" t="str">
        <x:v>high</x:v>
      </x:c>
      <x:c r="I172" s="14" t="str">
        <x:v>exact</x:v>
      </x:c>
      <x:c r="J172" s="14" t="str">
        <x:v>Τουρκία</x:v>
      </x:c>
      <x:c r="K172" s="14" t="str">
        <x:v>Turkey</x:v>
      </x:c>
      <x:c r="L172" s="14" t="str">
        <x:v>TUR</x:v>
      </x:c>
      <x:c r="M172" s="14" t="str">
        <x:v>TR</x:v>
      </x:c>
      <x:c r="N172" s="14" t="str">
        <x:v>Ahmetbeyli</x:v>
      </x:c>
      <x:c r="O172" s="14" t="str">
        <x:v>Pleiades representative point</x:v>
      </x:c>
      <x:c r="P172" s="16"/>
      <x:c r="Q172" s="16"/>
      <x:c r="R172" s="14" t="str">
        <x:v>src-pleiades-599719</x:v>
      </x:c>
      <x:c r="S172" s="14" t="str">
        <x:v>reviewed</x:v>
      </x:c>
    </x:row>
    <x:row r="173" ht="40" customHeight="1">
      <x:c r="A173" s="14" t="str">
        <x:v>place-sanctuary-crete-idaion-antron</x:v>
      </x:c>
      <x:c r="B173" s="14" t="str">
        <x:v>sanctuary-crete-idaion-antron</x:v>
      </x:c>
      <x:c r="C173" s="22" t="n">
        <x:v>35.2082103</x:v>
      </x:c>
      <x:c r="D173" s="22" t="n">
        <x:v>24.8289925</x:v>
      </x:c>
      <x:c r="E173" s="16" t="str">
        <x:v>POINT (24.8289925 35.2082103)</x:v>
      </x:c>
      <x:c r="F173" s="16" t="str">
        <x:v>{"coordinates":[24.8289925,35.2082103],"type":"Point"}</x:v>
      </x:c>
      <x:c r="G173" s="14" t="str">
        <x:v>site</x:v>
      </x:c>
      <x:c r="H173" s="14" t="str">
        <x:v>high</x:v>
      </x:c>
      <x:c r="I173" s="14" t="str">
        <x:v>exact</x:v>
      </x:c>
      <x:c r="J173" s="14" t="str">
        <x:v>Ελλάδα</x:v>
      </x:c>
      <x:c r="K173" s="14" t="str">
        <x:v>Greece</x:v>
      </x:c>
      <x:c r="L173" s="14" t="str">
        <x:v>GRC</x:v>
      </x:c>
      <x:c r="M173" s="14" t="str">
        <x:v>GR</x:v>
      </x:c>
      <x:c r="N173" s="14" t="str">
        <x:v>Nida Plateau, Crete</x:v>
      </x:c>
      <x:c r="O173" s="14" t="str">
        <x:v>Pleiades representative point</x:v>
      </x:c>
      <x:c r="P173" s="16"/>
      <x:c r="Q173" s="16"/>
      <x:c r="R173" s="14" t="str">
        <x:v>src-pleiades-589817</x:v>
      </x:c>
      <x:c r="S173" s="14" t="str">
        <x:v>reviewed</x:v>
      </x:c>
    </x:row>
    <x:row r="174" ht="40" customHeight="1">
      <x:c r="A174" s="14" t="str">
        <x:v>place-sanctuary-crete-iuktas-peak-sanctuary</x:v>
      </x:c>
      <x:c r="B174" s="14" t="str">
        <x:v>sanctuary-crete-iuktas-peak-sanctuary</x:v>
      </x:c>
      <x:c r="C174" s="22" t="n">
        <x:v>35.29160551</x:v>
      </x:c>
      <x:c r="D174" s="22" t="n">
        <x:v>25.11438939</x:v>
      </x:c>
      <x:c r="E174" s="16" t="str">
        <x:v>POINT (25.11438939 35.29160551)</x:v>
      </x:c>
      <x:c r="F174" s="16" t="str">
        <x:v>{"coordinates":[25.11438939,35.29160551],"type":"Point"}</x:v>
      </x:c>
      <x:c r="G174" s="14" t="str">
        <x:v>site</x:v>
      </x:c>
      <x:c r="H174" s="14" t="str">
        <x:v>high</x:v>
      </x:c>
      <x:c r="I174" s="14" t="str">
        <x:v>approximate</x:v>
      </x:c>
      <x:c r="J174" s="14" t="str">
        <x:v>Ελλάδα</x:v>
      </x:c>
      <x:c r="K174" s="14" t="str">
        <x:v>Greece</x:v>
      </x:c>
      <x:c r="L174" s="14" t="str">
        <x:v>GRC</x:v>
      </x:c>
      <x:c r="M174" s="14" t="str">
        <x:v>GR</x:v>
      </x:c>
      <x:c r="N174" s="14" t="str">
        <x:v>Mount Juktas, Archanes</x:v>
      </x:c>
      <x:c r="O174" s="14" t="str">
        <x:v>Pleiades representative point</x:v>
      </x:c>
      <x:c r="P174" s="16"/>
      <x:c r="Q174" s="16"/>
      <x:c r="R174" s="14" t="str">
        <x:v>src-pleiades-559217802</x:v>
      </x:c>
      <x:c r="S174" s="14" t="str">
        <x:v>reviewed</x:v>
      </x:c>
    </x:row>
    <x:row r="175" ht="40" customHeight="1">
      <x:c r="A175" s="14" t="str">
        <x:v>place-sanctuary-croton-hera-lacinia-sanctuary</x:v>
      </x:c>
      <x:c r="B175" s="14" t="str">
        <x:v>sanctuary-croton-hera-lacinia-sanctuary</x:v>
      </x:c>
      <x:c r="C175" s="22" t="n">
        <x:v>39.0276924</x:v>
      </x:c>
      <x:c r="D175" s="22" t="n">
        <x:v>17.20494715</x:v>
      </x:c>
      <x:c r="E175" s="16" t="str">
        <x:v>POINT (17.20494715 39.0276924)</x:v>
      </x:c>
      <x:c r="F175" s="16" t="str">
        <x:v>{"coordinates":[17.20494715,39.0276924],"type":"Point"}</x:v>
      </x:c>
      <x:c r="G175" s="14" t="str">
        <x:v>site</x:v>
      </x:c>
      <x:c r="H175" s="14" t="str">
        <x:v>high</x:v>
      </x:c>
      <x:c r="I175" s="14" t="str">
        <x:v>exact</x:v>
      </x:c>
      <x:c r="J175" s="14" t="str">
        <x:v>Ιταλία</x:v>
      </x:c>
      <x:c r="K175" s="14" t="str">
        <x:v>Italy</x:v>
      </x:c>
      <x:c r="L175" s="14" t="str">
        <x:v>ITA</x:v>
      </x:c>
      <x:c r="M175" s="14" t="str">
        <x:v>IT</x:v>
      </x:c>
      <x:c r="N175" s="14" t="str">
        <x:v>Capo Colonna, Crotone</x:v>
      </x:c>
      <x:c r="O175" s="14" t="str">
        <x:v>Pleiades representative point</x:v>
      </x:c>
      <x:c r="P175" s="16"/>
      <x:c r="Q175" s="16"/>
      <x:c r="R175" s="14" t="str">
        <x:v>src-pleiades-452332</x:v>
      </x:c>
      <x:c r="S175" s="14" t="str">
        <x:v>reviewed</x:v>
      </x:c>
    </x:row>
    <x:row r="176" ht="40" customHeight="1">
      <x:c r="A176" s="14" t="str">
        <x:v>place-sanctuary-cyrene-apollo-sanctuary</x:v>
      </x:c>
      <x:c r="B176" s="14" t="str">
        <x:v>sanctuary-cyrene-apollo-sanctuary</x:v>
      </x:c>
      <x:c r="C176" s="22" t="n">
        <x:v>32.82351143</x:v>
      </x:c>
      <x:c r="D176" s="22" t="n">
        <x:v>21.85251663</x:v>
      </x:c>
      <x:c r="E176" s="16" t="str">
        <x:v>POINT (21.85251663 32.82351143)</x:v>
      </x:c>
      <x:c r="F176" s="16" t="str">
        <x:v>{"coordinates":[21.85251663,32.82351143],"type":"Point"}</x:v>
      </x:c>
      <x:c r="G176" s="14" t="str">
        <x:v>site</x:v>
      </x:c>
      <x:c r="H176" s="14" t="str">
        <x:v>high</x:v>
      </x:c>
      <x:c r="I176" s="14" t="str">
        <x:v>exact</x:v>
      </x:c>
      <x:c r="J176" s="14" t="str">
        <x:v>Λιβύη</x:v>
      </x:c>
      <x:c r="K176" s="14" t="str">
        <x:v>Libya</x:v>
      </x:c>
      <x:c r="L176" s="14" t="str">
        <x:v>LBY</x:v>
      </x:c>
      <x:c r="M176" s="14" t="str">
        <x:v>LY</x:v>
      </x:c>
      <x:c r="N176" s="14" t="str">
        <x:v>Shahat</x:v>
      </x:c>
      <x:c r="O176" s="14" t="str">
        <x:v>Pleiades representative point</x:v>
      </x:c>
      <x:c r="P176" s="16"/>
      <x:c r="Q176" s="16"/>
      <x:c r="R176" s="14" t="str">
        <x:v>src-pleiades-464482220</x:v>
      </x:c>
      <x:c r="S176" s="14" t="str">
        <x:v>reviewed</x:v>
      </x:c>
    </x:row>
    <x:row r="177" ht="40" customHeight="1">
      <x:c r="A177" s="14" t="str">
        <x:v>place-sanctuary-cyrene-zeus-sanctuary</x:v>
      </x:c>
      <x:c r="B177" s="14" t="str">
        <x:v>sanctuary-cyrene-zeus-sanctuary</x:v>
      </x:c>
      <x:c r="C177" s="22" t="n">
        <x:v>32.82234007</x:v>
      </x:c>
      <x:c r="D177" s="22" t="n">
        <x:v>21.86244367</x:v>
      </x:c>
      <x:c r="E177" s="16" t="str">
        <x:v>POINT (21.86244367 32.82234007)</x:v>
      </x:c>
      <x:c r="F177" s="16" t="str">
        <x:v>{"coordinates":[21.86244367,32.82234007],"type":"Point"}</x:v>
      </x:c>
      <x:c r="G177" s="14" t="str">
        <x:v>site</x:v>
      </x:c>
      <x:c r="H177" s="14" t="str">
        <x:v>high</x:v>
      </x:c>
      <x:c r="I177" s="14" t="str">
        <x:v>exact</x:v>
      </x:c>
      <x:c r="J177" s="14" t="str">
        <x:v>Λιβύη</x:v>
      </x:c>
      <x:c r="K177" s="14" t="str">
        <x:v>Libya</x:v>
      </x:c>
      <x:c r="L177" s="14" t="str">
        <x:v>LBY</x:v>
      </x:c>
      <x:c r="M177" s="14" t="str">
        <x:v>LY</x:v>
      </x:c>
      <x:c r="N177" s="14" t="str">
        <x:v>Shahat</x:v>
      </x:c>
      <x:c r="O177" s="14" t="str">
        <x:v>Pleiades representative point</x:v>
      </x:c>
      <x:c r="P177" s="16"/>
      <x:c r="Q177" s="16"/>
      <x:c r="R177" s="14" t="str">
        <x:v>src-pleiades-103565779</x:v>
      </x:c>
      <x:c r="S177" s="14" t="str">
        <x:v>reviewed</x:v>
      </x:c>
    </x:row>
    <x:row r="178" ht="40" customHeight="1">
      <x:c r="A178" s="14" t="str">
        <x:v>place-sanctuary-delos-apollo-sanctuary</x:v>
      </x:c>
      <x:c r="B178" s="14" t="str">
        <x:v>sanctuary-delos-apollo-sanctuary</x:v>
      </x:c>
      <x:c r="C178" s="22" t="n">
        <x:v>37.3993075</x:v>
      </x:c>
      <x:c r="D178" s="22" t="n">
        <x:v>25.268868</x:v>
      </x:c>
      <x:c r="E178" s="16" t="str">
        <x:v>POINT (25.268868 37.3993075)</x:v>
      </x:c>
      <x:c r="F178" s="16" t="str">
        <x:v>{"coordinates":[25.268868,37.3993075],"type":"Point"}</x:v>
      </x:c>
      <x:c r="G178" s="14" t="str">
        <x:v>site</x:v>
      </x:c>
      <x:c r="H178" s="14" t="str">
        <x:v>high</x:v>
      </x:c>
      <x:c r="I178" s="14" t="str">
        <x:v>exact</x:v>
      </x:c>
      <x:c r="J178" s="14" t="str">
        <x:v>Ελλάδα</x:v>
      </x:c>
      <x:c r="K178" s="14" t="str">
        <x:v>Greece</x:v>
      </x:c>
      <x:c r="L178" s="14" t="str">
        <x:v>GRC</x:v>
      </x:c>
      <x:c r="M178" s="14" t="str">
        <x:v>GR</x:v>
      </x:c>
      <x:c r="N178" s="14" t="str">
        <x:v>Delos</x:v>
      </x:c>
      <x:c r="O178" s="14" t="str">
        <x:v>Pleiades representative point</x:v>
      </x:c>
      <x:c r="P178" s="16"/>
      <x:c r="Q178" s="16"/>
      <x:c r="R178" s="14" t="str">
        <x:v>src-pleiades-599506</x:v>
      </x:c>
      <x:c r="S178" s="14" t="str">
        <x:v>reviewed</x:v>
      </x:c>
    </x:row>
    <x:row r="179" ht="40" customHeight="1">
      <x:c r="A179" s="14" t="str">
        <x:v>place-sanctuary-delphi-apollo-sanctuary</x:v>
      </x:c>
      <x:c r="B179" s="14" t="str">
        <x:v>sanctuary-delphi-apollo-sanctuary</x:v>
      </x:c>
      <x:c r="C179" s="22" t="n">
        <x:v>38.482289</x:v>
      </x:c>
      <x:c r="D179" s="22" t="n">
        <x:v>22.501169</x:v>
      </x:c>
      <x:c r="E179" s="16" t="str">
        <x:v>POINT (22.501169 38.482289)</x:v>
      </x:c>
      <x:c r="F179" s="16" t="str">
        <x:v>{"coordinates":[22.501169,38.482289],"type":"Point"}</x:v>
      </x:c>
      <x:c r="G179" s="14" t="str">
        <x:v>site</x:v>
      </x:c>
      <x:c r="H179" s="14" t="str">
        <x:v>high</x:v>
      </x:c>
      <x:c r="I179" s="14" t="str">
        <x:v>exact</x:v>
      </x:c>
      <x:c r="J179" s="14" t="str">
        <x:v>Ελλάδα</x:v>
      </x:c>
      <x:c r="K179" s="14" t="str">
        <x:v>Greece</x:v>
      </x:c>
      <x:c r="L179" s="14" t="str">
        <x:v>GRC</x:v>
      </x:c>
      <x:c r="M179" s="14" t="str">
        <x:v>GR</x:v>
      </x:c>
      <x:c r="N179" s="14" t="str">
        <x:v>Delphi</x:v>
      </x:c>
      <x:c r="O179" s="14" t="str">
        <x:v>Pleiades representative point</x:v>
      </x:c>
      <x:c r="P179" s="16"/>
      <x:c r="Q179" s="16"/>
      <x:c r="R179" s="14" t="str">
        <x:v>src-pleiades-540726</x:v>
      </x:c>
      <x:c r="S179" s="14" t="str">
        <x:v>reviewed</x:v>
      </x:c>
    </x:row>
    <x:row r="180" ht="40" customHeight="1">
      <x:c r="A180" s="14" t="str">
        <x:v>place-sanctuary-delphi-athena-pronaia-sanctuary</x:v>
      </x:c>
      <x:c r="B180" s="14" t="str">
        <x:v>sanctuary-delphi-athena-pronaia-sanctuary</x:v>
      </x:c>
      <x:c r="C180" s="22" t="n">
        <x:v>38.48012669</x:v>
      </x:c>
      <x:c r="D180" s="22" t="n">
        <x:v>22.5083745</x:v>
      </x:c>
      <x:c r="E180" s="16" t="str">
        <x:v>POINT (22.5083745 38.48012669)</x:v>
      </x:c>
      <x:c r="F180" s="16" t="str">
        <x:v>{"coordinates":[22.5083745,38.48012669],"type":"Point"}</x:v>
      </x:c>
      <x:c r="G180" s="14" t="str">
        <x:v>site</x:v>
      </x:c>
      <x:c r="H180" s="14" t="str">
        <x:v>high</x:v>
      </x:c>
      <x:c r="I180" s="14" t="str">
        <x:v>exact</x:v>
      </x:c>
      <x:c r="J180" s="14" t="str">
        <x:v>Ελλάδα</x:v>
      </x:c>
      <x:c r="K180" s="14" t="str">
        <x:v>Greece</x:v>
      </x:c>
      <x:c r="L180" s="14" t="str">
        <x:v>GRC</x:v>
      </x:c>
      <x:c r="M180" s="14" t="str">
        <x:v>GR</x:v>
      </x:c>
      <x:c r="N180" s="14" t="str">
        <x:v>Delphi</x:v>
      </x:c>
      <x:c r="O180" s="14" t="str">
        <x:v>Pleiades representative point</x:v>
      </x:c>
      <x:c r="P180" s="16"/>
      <x:c r="Q180" s="16"/>
      <x:c r="R180" s="14" t="str">
        <x:v>src-pleiades-513711610</x:v>
      </x:c>
      <x:c r="S180" s="14" t="str">
        <x:v>reviewed</x:v>
      </x:c>
    </x:row>
    <x:row r="181" ht="40" customHeight="1">
      <x:c r="A181" s="14" t="str">
        <x:v>place-sanctuary-despotiko-apollo-sanctuary</x:v>
      </x:c>
      <x:c r="B181" s="14" t="str">
        <x:v>sanctuary-despotiko-apollo-sanctuary</x:v>
      </x:c>
      <x:c r="C181" s="22" t="n">
        <x:v>36.97026271</x:v>
      </x:c>
      <x:c r="D181" s="22" t="n">
        <x:v>25.01547138</x:v>
      </x:c>
      <x:c r="E181" s="16" t="str">
        <x:v>POINT (25.01547138 36.97026271)</x:v>
      </x:c>
      <x:c r="F181" s="16" t="str">
        <x:v>{"coordinates":[25.01547138,36.97026271],"type":"Point"}</x:v>
      </x:c>
      <x:c r="G181" s="14" t="str">
        <x:v>site</x:v>
      </x:c>
      <x:c r="H181" s="14" t="str">
        <x:v>high</x:v>
      </x:c>
      <x:c r="I181" s="14" t="str">
        <x:v>exact</x:v>
      </x:c>
      <x:c r="J181" s="14" t="str">
        <x:v>Ελλάδα</x:v>
      </x:c>
      <x:c r="K181" s="14" t="str">
        <x:v>Greece</x:v>
      </x:c>
      <x:c r="L181" s="14" t="str">
        <x:v>GRC</x:v>
      </x:c>
      <x:c r="M181" s="14" t="str">
        <x:v>GR</x:v>
      </x:c>
      <x:c r="N181" s="14" t="str">
        <x:v>Mandra, Despotiko</x:v>
      </x:c>
      <x:c r="O181" s="14" t="str">
        <x:v>Pleiades representative point</x:v>
      </x:c>
      <x:c r="P181" s="16"/>
      <x:c r="Q181" s="16"/>
      <x:c r="R181" s="14" t="str">
        <x:v>src-pleiades-854812387</x:v>
      </x:c>
      <x:c r="S181" s="14" t="str">
        <x:v>reviewed</x:v>
      </x:c>
    </x:row>
    <x:row r="182" ht="40" customHeight="1">
      <x:c r="A182" s="14" t="str">
        <x:v>place-sanctuary-didyma-apollo-oracle</x:v>
      </x:c>
      <x:c r="B182" s="14" t="str">
        <x:v>sanctuary-didyma-apollo-oracle</x:v>
      </x:c>
      <x:c r="C182" s="22" t="n">
        <x:v>37.38496812</x:v>
      </x:c>
      <x:c r="D182" s="22" t="n">
        <x:v>27.25638824</x:v>
      </x:c>
      <x:c r="E182" s="16" t="str">
        <x:v>POINT (27.25638824 37.38496812)</x:v>
      </x:c>
      <x:c r="F182" s="16" t="str">
        <x:v>{"coordinates":[27.25638824,37.38496812],"type":"Point"}</x:v>
      </x:c>
      <x:c r="G182" s="14" t="str">
        <x:v>site</x:v>
      </x:c>
      <x:c r="H182" s="14" t="str">
        <x:v>high</x:v>
      </x:c>
      <x:c r="I182" s="14" t="str">
        <x:v>exact</x:v>
      </x:c>
      <x:c r="J182" s="14" t="str">
        <x:v>Τουρκία</x:v>
      </x:c>
      <x:c r="K182" s="14" t="str">
        <x:v>Turkey</x:v>
      </x:c>
      <x:c r="L182" s="14" t="str">
        <x:v>TUR</x:v>
      </x:c>
      <x:c r="M182" s="14" t="str">
        <x:v>TR</x:v>
      </x:c>
      <x:c r="N182" s="14" t="str">
        <x:v>Didim</x:v>
      </x:c>
      <x:c r="O182" s="14" t="str">
        <x:v>Pleiades representative point</x:v>
      </x:c>
      <x:c r="P182" s="16"/>
      <x:c r="Q182" s="16"/>
      <x:c r="R182" s="14" t="str">
        <x:v>src-pleiades-599593</x:v>
      </x:c>
      <x:c r="S182" s="14" t="str">
        <x:v>reviewed</x:v>
      </x:c>
    </x:row>
    <x:row r="183" ht="40" customHeight="1">
      <x:c r="A183" s="14" t="str">
        <x:v>place-sanctuary-dodona-zeus-oracle</x:v>
      </x:c>
      <x:c r="B183" s="14" t="str">
        <x:v>sanctuary-dodona-zeus-oracle</x:v>
      </x:c>
      <x:c r="C183" s="22" t="n">
        <x:v>39.54643627</x:v>
      </x:c>
      <x:c r="D183" s="22" t="n">
        <x:v>20.78773144</x:v>
      </x:c>
      <x:c r="E183" s="16" t="str">
        <x:v>POINT (20.78773144 39.54643627)</x:v>
      </x:c>
      <x:c r="F183" s="16" t="str">
        <x:v>{"coordinates":[20.78773144,39.54643627],"type":"Point"}</x:v>
      </x:c>
      <x:c r="G183" s="14" t="str">
        <x:v>site</x:v>
      </x:c>
      <x:c r="H183" s="14" t="str">
        <x:v>high</x:v>
      </x:c>
      <x:c r="I183" s="14" t="str">
        <x:v>exact</x:v>
      </x:c>
      <x:c r="J183" s="14" t="str">
        <x:v>Ελλάδα</x:v>
      </x:c>
      <x:c r="K183" s="14" t="str">
        <x:v>Greece</x:v>
      </x:c>
      <x:c r="L183" s="14" t="str">
        <x:v>GRC</x:v>
      </x:c>
      <x:c r="M183" s="14" t="str">
        <x:v>GR</x:v>
      </x:c>
      <x:c r="N183" s="14" t="str">
        <x:v>Dodoni</x:v>
      </x:c>
      <x:c r="O183" s="14" t="str">
        <x:v>Pleiades representative point</x:v>
      </x:c>
      <x:c r="P183" s="16"/>
      <x:c r="Q183" s="16"/>
      <x:c r="R183" s="14" t="str">
        <x:v>src-pleiades-530843</x:v>
      </x:c>
      <x:c r="S183" s="14" t="str">
        <x:v>reviewed</x:v>
      </x:c>
    </x:row>
    <x:row r="184" ht="40" customHeight="1">
      <x:c r="A184" s="14" t="str">
        <x:v>place-sanctuary-eleusis-demeter-sanctuary</x:v>
      </x:c>
      <x:c r="B184" s="14" t="str">
        <x:v>sanctuary-eleusis-demeter-sanctuary</x:v>
      </x:c>
      <x:c r="C184" s="22" t="n">
        <x:v>38.04144845</x:v>
      </x:c>
      <x:c r="D184" s="22" t="n">
        <x:v>23.53759132</x:v>
      </x:c>
      <x:c r="E184" s="16" t="str">
        <x:v>POINT (23.53759132 38.04144845)</x:v>
      </x:c>
      <x:c r="F184" s="16" t="str">
        <x:v>{"coordinates":[23.53759132,38.04144845],"type":"Point"}</x:v>
      </x:c>
      <x:c r="G184" s="14" t="str">
        <x:v>site</x:v>
      </x:c>
      <x:c r="H184" s="14" t="str">
        <x:v>high</x:v>
      </x:c>
      <x:c r="I184" s="14" t="str">
        <x:v>exact</x:v>
      </x:c>
      <x:c r="J184" s="14" t="str">
        <x:v>Ελλάδα</x:v>
      </x:c>
      <x:c r="K184" s="14" t="str">
        <x:v>Greece</x:v>
      </x:c>
      <x:c r="L184" s="14" t="str">
        <x:v>GRC</x:v>
      </x:c>
      <x:c r="M184" s="14" t="str">
        <x:v>GR</x:v>
      </x:c>
      <x:c r="N184" s="14" t="str">
        <x:v>Elefsina</x:v>
      </x:c>
      <x:c r="O184" s="14" t="str">
        <x:v>Pleiades representative point</x:v>
      </x:c>
      <x:c r="P184" s="16"/>
      <x:c r="Q184" s="16"/>
      <x:c r="R184" s="14" t="str">
        <x:v>src-pleiades-579910</x:v>
      </x:c>
      <x:c r="S184" s="14" t="str">
        <x:v>reviewed</x:v>
      </x:c>
    </x:row>
    <x:row r="185" ht="40" customHeight="1">
      <x:c r="A185" s="14" t="str">
        <x:v>place-sanctuary-ephesus-artemis-sanctuary</x:v>
      </x:c>
      <x:c r="B185" s="14" t="str">
        <x:v>sanctuary-ephesus-artemis-sanctuary</x:v>
      </x:c>
      <x:c r="C185" s="22" t="n">
        <x:v>37.9497522</x:v>
      </x:c>
      <x:c r="D185" s="22" t="n">
        <x:v>27.36372473</x:v>
      </x:c>
      <x:c r="E185" s="16" t="str">
        <x:v>POINT (27.36372473 37.9497522)</x:v>
      </x:c>
      <x:c r="F185" s="16" t="str">
        <x:v>{"coordinates":[27.36372473,37.9497522],"type":"Point"}</x:v>
      </x:c>
      <x:c r="G185" s="14" t="str">
        <x:v>site</x:v>
      </x:c>
      <x:c r="H185" s="14" t="str">
        <x:v>high</x:v>
      </x:c>
      <x:c r="I185" s="14" t="str">
        <x:v>exact</x:v>
      </x:c>
      <x:c r="J185" s="14" t="str">
        <x:v>Τουρκία</x:v>
      </x:c>
      <x:c r="K185" s="14" t="str">
        <x:v>Turkey</x:v>
      </x:c>
      <x:c r="L185" s="14" t="str">
        <x:v>TUR</x:v>
      </x:c>
      <x:c r="M185" s="14" t="str">
        <x:v>TR</x:v>
      </x:c>
      <x:c r="N185" s="14" t="str">
        <x:v>Selçuk</x:v>
      </x:c>
      <x:c r="O185" s="14" t="str">
        <x:v>Pleiades representative point</x:v>
      </x:c>
      <x:c r="P185" s="16"/>
      <x:c r="Q185" s="16"/>
      <x:c r="R185" s="14" t="str">
        <x:v>src-pleiades-873985034</x:v>
      </x:c>
      <x:c r="S185" s="14" t="str">
        <x:v>reviewed</x:v>
      </x:c>
    </x:row>
    <x:row r="186" ht="40" customHeight="1">
      <x:c r="A186" s="14" t="str">
        <x:v>place-sanctuary-epidauros-asklepios-sanctuary</x:v>
      </x:c>
      <x:c r="B186" s="14" t="str">
        <x:v>sanctuary-epidauros-asklepios-sanctuary</x:v>
      </x:c>
      <x:c r="C186" s="22" t="n">
        <x:v>37.59830234</x:v>
      </x:c>
      <x:c r="D186" s="22" t="n">
        <x:v>23.07426419</x:v>
      </x:c>
      <x:c r="E186" s="16" t="str">
        <x:v>POINT (23.07426419 37.59830234)</x:v>
      </x:c>
      <x:c r="F186" s="16" t="str">
        <x:v>{"coordinates":[23.07426419,37.59830234],"type":"Point"}</x:v>
      </x:c>
      <x:c r="G186" s="14" t="str">
        <x:v>site</x:v>
      </x:c>
      <x:c r="H186" s="14" t="str">
        <x:v>high</x:v>
      </x:c>
      <x:c r="I186" s="14" t="str">
        <x:v>exact</x:v>
      </x:c>
      <x:c r="J186" s="14" t="str">
        <x:v>Ελλάδα</x:v>
      </x:c>
      <x:c r="K186" s="14" t="str">
        <x:v>Greece</x:v>
      </x:c>
      <x:c r="L186" s="14" t="str">
        <x:v>GRC</x:v>
      </x:c>
      <x:c r="M186" s="14" t="str">
        <x:v>GR</x:v>
      </x:c>
      <x:c r="N186" s="14" t="str">
        <x:v>Lygourio</x:v>
      </x:c>
      <x:c r="O186" s="14" t="str">
        <x:v>Pleiades representative point</x:v>
      </x:c>
      <x:c r="P186" s="16"/>
      <x:c r="Q186" s="16"/>
      <x:c r="R186" s="14" t="str">
        <x:v>src-pleiades-570127</x:v>
      </x:c>
      <x:c r="S186" s="14" t="str">
        <x:v>reviewed</x:v>
      </x:c>
    </x:row>
    <x:row r="187" ht="40" customHeight="1">
      <x:c r="A187" s="14" t="str">
        <x:v>place-sanctuary-foce-del-sele-heraion</x:v>
      </x:c>
      <x:c r="B187" s="14" t="str">
        <x:v>sanctuary-foce-del-sele-heraion</x:v>
      </x:c>
      <x:c r="C187" s="22" t="n">
        <x:v>40.48838686</x:v>
      </x:c>
      <x:c r="D187" s="22" t="n">
        <x:v>14.97002056</x:v>
      </x:c>
      <x:c r="E187" s="16" t="str">
        <x:v>POINT (14.97002056 40.48838686)</x:v>
      </x:c>
      <x:c r="F187" s="16" t="str">
        <x:v>{"coordinates":[14.97002056,40.48838686],"type":"Point"}</x:v>
      </x:c>
      <x:c r="G187" s="14" t="str">
        <x:v>site</x:v>
      </x:c>
      <x:c r="H187" s="14" t="str">
        <x:v>high</x:v>
      </x:c>
      <x:c r="I187" s="14" t="str">
        <x:v>exact</x:v>
      </x:c>
      <x:c r="J187" s="14" t="str">
        <x:v>Ιταλία</x:v>
      </x:c>
      <x:c r="K187" s="14" t="str">
        <x:v>Italy</x:v>
      </x:c>
      <x:c r="L187" s="14" t="str">
        <x:v>ITA</x:v>
      </x:c>
      <x:c r="M187" s="14" t="str">
        <x:v>IT</x:v>
      </x:c>
      <x:c r="N187" s="14" t="str">
        <x:v>Foce del Sele, Capaccio Paestum</x:v>
      </x:c>
      <x:c r="O187" s="14" t="str">
        <x:v>Pleiades representative point</x:v>
      </x:c>
      <x:c r="P187" s="16"/>
      <x:c r="Q187" s="16"/>
      <x:c r="R187" s="14" t="str">
        <x:v>src-pleiades-442610</x:v>
      </x:c>
      <x:c r="S187" s="14" t="str">
        <x:v>reviewed</x:v>
      </x:c>
    </x:row>
    <x:row r="188" ht="40" customHeight="1">
      <x:c r="A188" s="14" t="str">
        <x:v>place-sanctuary-golgoi-aphrodite-sanctuary</x:v>
      </x:c>
      <x:c r="B188" s="14" t="str">
        <x:v>sanctuary-golgoi-aphrodite-sanctuary</x:v>
      </x:c>
      <x:c r="C188" s="22" t="n">
        <x:v>35.087379</x:v>
      </x:c>
      <x:c r="D188" s="22" t="n">
        <x:v>33.620066</x:v>
      </x:c>
      <x:c r="E188" s="16" t="str">
        <x:v>POINT (33.620066 35.087379)</x:v>
      </x:c>
      <x:c r="F188" s="16" t="str">
        <x:v>{"coordinates":[33.620066,35.087379],"type":"Point"}</x:v>
      </x:c>
      <x:c r="G188" s="14" t="str">
        <x:v>proxy</x:v>
      </x:c>
      <x:c r="H188" s="14" t="str">
        <x:v>medium</x:v>
      </x:c>
      <x:c r="I188" s="14" t="str">
        <x:v>exact</x:v>
      </x:c>
      <x:c r="J188" s="14" t="str">
        <x:v>Κύπρος</x:v>
      </x:c>
      <x:c r="K188" s="14" t="str">
        <x:v>Cyprus</x:v>
      </x:c>
      <x:c r="L188" s="14" t="str">
        <x:v>CYP</x:v>
      </x:c>
      <x:c r="M188" s="14" t="str">
        <x:v>CY</x:v>
      </x:c>
      <x:c r="N188" s="14" t="str">
        <x:v>Athienou area</x:v>
      </x:c>
      <x:c r="O188" s="14" t="str">
        <x:v>Pleiades representative point</x:v>
      </x:c>
      <x:c r="P188" s="16" t="str">
        <x:v>Το σημείο αποδίδει προσεγγιστικά το ιερό στην περιοχή των Γόλγων και όχι αποτυπωμένο περίγραμμα του μνημείου.</x:v>
      </x:c>
      <x:c r="Q188" s="16" t="str">
        <x:v>The point approximately locates the sanctuary in the Golgoi area and is not a surveyed monument footprint.</x:v>
      </x:c>
      <x:c r="R188" s="14" t="str">
        <x:v>src-pleiades-707470</x:v>
      </x:c>
      <x:c r="S188" s="14" t="str">
        <x:v>reviewed</x:v>
      </x:c>
    </x:row>
    <x:row r="189" ht="40" customHeight="1">
      <x:c r="A189" s="14" t="str">
        <x:v>place-sanctuary-gyroulas-demeter-sanctuary</x:v>
      </x:c>
      <x:c r="B189" s="14" t="str">
        <x:v>sanctuary-gyroulas-demeter-sanctuary</x:v>
      </x:c>
      <x:c r="C189" s="22" t="n">
        <x:v>37.02911178</x:v>
      </x:c>
      <x:c r="D189" s="22" t="n">
        <x:v>25.43123428</x:v>
      </x:c>
      <x:c r="E189" s="16" t="str">
        <x:v>POINT (25.43123428 37.02911178)</x:v>
      </x:c>
      <x:c r="F189" s="16" t="str">
        <x:v>{"coordinates":[25.43123428,37.02911178],"type":"Point"}</x:v>
      </x:c>
      <x:c r="G189" s="14" t="str">
        <x:v>site</x:v>
      </x:c>
      <x:c r="H189" s="14" t="str">
        <x:v>high</x:v>
      </x:c>
      <x:c r="I189" s="14" t="str">
        <x:v>exact</x:v>
      </x:c>
      <x:c r="J189" s="14" t="str">
        <x:v>Ελλάδα</x:v>
      </x:c>
      <x:c r="K189" s="14" t="str">
        <x:v>Greece</x:v>
      </x:c>
      <x:c r="L189" s="14" t="str">
        <x:v>GRC</x:v>
      </x:c>
      <x:c r="M189" s="14" t="str">
        <x:v>GR</x:v>
      </x:c>
      <x:c r="N189" s="14" t="str">
        <x:v>Sangri, Naxos</x:v>
      </x:c>
      <x:c r="O189" s="14" t="str">
        <x:v>Pleiades representative point</x:v>
      </x:c>
      <x:c r="P189" s="16"/>
      <x:c r="Q189" s="16"/>
      <x:c r="R189" s="14" t="str">
        <x:v>src-pleiades-599631</x:v>
      </x:c>
      <x:c r="S189" s="14" t="str">
        <x:v>reviewed</x:v>
      </x:c>
    </x:row>
    <x:row r="190" ht="40" customHeight="1">
      <x:c r="A190" s="14" t="str">
        <x:v>place-sanctuary-hierapolis-ploutonion</x:v>
      </x:c>
      <x:c r="B190" s="14" t="str">
        <x:v>sanctuary-hierapolis-ploutonion</x:v>
      </x:c>
      <x:c r="C190" s="22" t="n">
        <x:v>37.926248</x:v>
      </x:c>
      <x:c r="D190" s="22" t="n">
        <x:v>29.1270484</x:v>
      </x:c>
      <x:c r="E190" s="16" t="str">
        <x:v>POINT (29.1270484 37.926248)</x:v>
      </x:c>
      <x:c r="F190" s="16" t="str">
        <x:v>{"coordinates":[29.1270484,37.926248],"type":"Point"}</x:v>
      </x:c>
      <x:c r="G190" s="14" t="str">
        <x:v>site</x:v>
      </x:c>
      <x:c r="H190" s="14" t="str">
        <x:v>high</x:v>
      </x:c>
      <x:c r="I190" s="14" t="str">
        <x:v>exact</x:v>
      </x:c>
      <x:c r="J190" s="14" t="str">
        <x:v>Τουρκία</x:v>
      </x:c>
      <x:c r="K190" s="14" t="str">
        <x:v>Turkey</x:v>
      </x:c>
      <x:c r="L190" s="14" t="str">
        <x:v>TUR</x:v>
      </x:c>
      <x:c r="M190" s="14" t="str">
        <x:v>TR</x:v>
      </x:c>
      <x:c r="N190" s="14" t="str">
        <x:v>Pamukkale</x:v>
      </x:c>
      <x:c r="O190" s="14" t="str">
        <x:v>Pleiades representative point</x:v>
      </x:c>
      <x:c r="P190" s="16"/>
      <x:c r="Q190" s="16"/>
      <x:c r="R190" s="14" t="str">
        <x:v>src-pleiades-232079424</x:v>
      </x:c>
      <x:c r="S190" s="14" t="str">
        <x:v>reviewed</x:v>
      </x:c>
    </x:row>
    <x:row r="191" ht="40" customHeight="1">
      <x:c r="A191" s="14" t="str">
        <x:v>place-sanctuary-histria-sacred-zone</x:v>
      </x:c>
      <x:c r="B191" s="14" t="str">
        <x:v>sanctuary-histria-sacred-zone</x:v>
      </x:c>
      <x:c r="C191" s="22" t="n">
        <x:v>44.54779</x:v>
      </x:c>
      <x:c r="D191" s="22" t="n">
        <x:v>28.77513</x:v>
      </x:c>
      <x:c r="E191" s="16" t="str">
        <x:v>POINT (28.77513 44.54779)</x:v>
      </x:c>
      <x:c r="F191" s="16" t="str">
        <x:v>{"coordinates":[28.77513,44.54779],"type":"Point"}</x:v>
      </x:c>
      <x:c r="G191" s="14" t="str">
        <x:v>proxy</x:v>
      </x:c>
      <x:c r="H191" s="14" t="str">
        <x:v>medium</x:v>
      </x:c>
      <x:c r="I191" s="14" t="str">
        <x:v>exact</x:v>
      </x:c>
      <x:c r="J191" s="14" t="str">
        <x:v>Ρουμανία</x:v>
      </x:c>
      <x:c r="K191" s="14" t="str">
        <x:v>Romania</x:v>
      </x:c>
      <x:c r="L191" s="14" t="str">
        <x:v>ROU</x:v>
      </x:c>
      <x:c r="M191" s="14" t="str">
        <x:v>RO</x:v>
      </x:c>
      <x:c r="N191" s="14" t="str">
        <x:v>Istria, Constanța County</x:v>
      </x:c>
      <x:c r="O191" s="14" t="str">
        <x:v>Pleiades representative point</x:v>
      </x:c>
      <x:c r="P191" s="16" t="str">
        <x:v>Το σημείο είναι προσεγγιστικός χωρικός δείκτης του ιερού μέσα στην αρχαία πόλη και όχι ανεξάρτητα αποτυπωμένο περίγραμμα του μνημείου.</x:v>
      </x:c>
      <x:c r="Q191" s="16" t="str">
        <x:v>The point is an approximate spatial marker for the sanctuary within the ancient settlement; it is not a surveyed footprint of the monument.</x:v>
      </x:c>
      <x:c r="R191" s="14" t="str">
        <x:v>src-pleiades-216839</x:v>
      </x:c>
      <x:c r="S191" s="14" t="str">
        <x:v>reviewed</x:v>
      </x:c>
    </x:row>
    <x:row r="192" ht="40" customHeight="1">
      <x:c r="A192" s="14" t="str">
        <x:v>place-sanctuary-hyria-dionysos-sanctuary</x:v>
      </x:c>
      <x:c r="B192" s="14" t="str">
        <x:v>sanctuary-hyria-dionysos-sanctuary</x:v>
      </x:c>
      <x:c r="C192" s="22" t="n">
        <x:v>37.07762788</x:v>
      </x:c>
      <x:c r="D192" s="22" t="n">
        <x:v>25.38067653</x:v>
      </x:c>
      <x:c r="E192" s="16" t="str">
        <x:v>POINT (25.38067653 37.07762788)</x:v>
      </x:c>
      <x:c r="F192" s="16" t="str">
        <x:v>{"coordinates":[25.38067653,37.07762788],"type":"Point"}</x:v>
      </x:c>
      <x:c r="G192" s="14" t="str">
        <x:v>site</x:v>
      </x:c>
      <x:c r="H192" s="14" t="str">
        <x:v>high</x:v>
      </x:c>
      <x:c r="I192" s="14" t="str">
        <x:v>exact</x:v>
      </x:c>
      <x:c r="J192" s="14" t="str">
        <x:v>Ελλάδα</x:v>
      </x:c>
      <x:c r="K192" s="14" t="str">
        <x:v>Greece</x:v>
      </x:c>
      <x:c r="L192" s="14" t="str">
        <x:v>GRC</x:v>
      </x:c>
      <x:c r="M192" s="14" t="str">
        <x:v>GR</x:v>
      </x:c>
      <x:c r="N192" s="14" t="str">
        <x:v>Yria, Naxos</x:v>
      </x:c>
      <x:c r="O192" s="14" t="str">
        <x:v>Pleiades representative point</x:v>
      </x:c>
      <x:c r="P192" s="16"/>
      <x:c r="Q192" s="16"/>
      <x:c r="R192" s="14" t="str">
        <x:v>src-pleiades-599661</x:v>
      </x:c>
      <x:c r="S192" s="14" t="str">
        <x:v>reviewed</x:v>
      </x:c>
    </x:row>
    <x:row r="193" ht="40" customHeight="1">
      <x:c r="A193" s="14" t="str">
        <x:v>place-sanctuary-isthmia-poseidon-sanctuary</x:v>
      </x:c>
      <x:c r="B193" s="14" t="str">
        <x:v>sanctuary-isthmia-poseidon-sanctuary</x:v>
      </x:c>
      <x:c r="C193" s="22" t="n">
        <x:v>37.9158035</x:v>
      </x:c>
      <x:c r="D193" s="22" t="n">
        <x:v>22.9931345</x:v>
      </x:c>
      <x:c r="E193" s="16" t="str">
        <x:v>POINT (22.9931345 37.9158035)</x:v>
      </x:c>
      <x:c r="F193" s="16" t="str">
        <x:v>{"coordinates":[22.9931345,37.9158035],"type":"Point"}</x:v>
      </x:c>
      <x:c r="G193" s="14" t="str">
        <x:v>site</x:v>
      </x:c>
      <x:c r="H193" s="14" t="str">
        <x:v>high</x:v>
      </x:c>
      <x:c r="I193" s="14" t="str">
        <x:v>exact</x:v>
      </x:c>
      <x:c r="J193" s="14" t="str">
        <x:v>Ελλάδα</x:v>
      </x:c>
      <x:c r="K193" s="14" t="str">
        <x:v>Greece</x:v>
      </x:c>
      <x:c r="L193" s="14" t="str">
        <x:v>GRC</x:v>
      </x:c>
      <x:c r="M193" s="14" t="str">
        <x:v>GR</x:v>
      </x:c>
      <x:c r="N193" s="14" t="str">
        <x:v>Kyra Vrysi, Isthmia</x:v>
      </x:c>
      <x:c r="O193" s="14" t="str">
        <x:v>Pleiades representative point</x:v>
      </x:c>
      <x:c r="P193" s="16"/>
      <x:c r="Q193" s="16"/>
      <x:c r="R193" s="14" t="str">
        <x:v>src-pleiades-570316</x:v>
      </x:c>
      <x:c r="S193" s="14" t="str">
        <x:v>reviewed</x:v>
      </x:c>
    </x:row>
    <x:row r="194" ht="40" customHeight="1">
      <x:c r="A194" s="14" t="str">
        <x:v>place-sanctuary-kalapodi-artemis-apollo-sanctuary</x:v>
      </x:c>
      <x:c r="B194" s="14" t="str">
        <x:v>sanctuary-kalapodi-artemis-apollo-sanctuary</x:v>
      </x:c>
      <x:c r="C194" s="22" t="n">
        <x:v>38.63651295</x:v>
      </x:c>
      <x:c r="D194" s="22" t="n">
        <x:v>22.89541692</x:v>
      </x:c>
      <x:c r="E194" s="16" t="str">
        <x:v>POINT (22.89541692 38.63651295)</x:v>
      </x:c>
      <x:c r="F194" s="16" t="str">
        <x:v>{"coordinates":[22.89541692,38.63651295],"type":"Point"}</x:v>
      </x:c>
      <x:c r="G194" s="14" t="str">
        <x:v>site</x:v>
      </x:c>
      <x:c r="H194" s="14" t="str">
        <x:v>high</x:v>
      </x:c>
      <x:c r="I194" s="14" t="str">
        <x:v>exact</x:v>
      </x:c>
      <x:c r="J194" s="14" t="str">
        <x:v>Ελλάδα</x:v>
      </x:c>
      <x:c r="K194" s="14" t="str">
        <x:v>Greece</x:v>
      </x:c>
      <x:c r="L194" s="14" t="str">
        <x:v>GRC</x:v>
      </x:c>
      <x:c r="M194" s="14" t="str">
        <x:v>GR</x:v>
      </x:c>
      <x:c r="N194" s="14" t="str">
        <x:v>Kalapodi</x:v>
      </x:c>
      <x:c r="O194" s="14" t="str">
        <x:v>Pleiades representative point</x:v>
      </x:c>
      <x:c r="P194" s="16"/>
      <x:c r="Q194" s="16"/>
      <x:c r="R194" s="14" t="str">
        <x:v>src-pleiades-955675680</x:v>
      </x:c>
      <x:c r="S194" s="14" t="str">
        <x:v>reviewed</x:v>
      </x:c>
    </x:row>
    <x:row r="195" ht="40" customHeight="1">
      <x:c r="A195" s="14" t="str">
        <x:v>place-sanctuary-kos-asklepieion</x:v>
      </x:c>
      <x:c r="B195" s="14" t="str">
        <x:v>sanctuary-kos-asklepieion</x:v>
      </x:c>
      <x:c r="C195" s="22" t="n">
        <x:v>36.87572129</x:v>
      </x:c>
      <x:c r="D195" s="22" t="n">
        <x:v>27.25718605</x:v>
      </x:c>
      <x:c r="E195" s="16" t="str">
        <x:v>POINT (27.25718605 36.87572129)</x:v>
      </x:c>
      <x:c r="F195" s="16" t="str">
        <x:v>{"coordinates":[27.25718605,36.87572129],"type":"Point"}</x:v>
      </x:c>
      <x:c r="G195" s="14" t="str">
        <x:v>site</x:v>
      </x:c>
      <x:c r="H195" s="14" t="str">
        <x:v>high</x:v>
      </x:c>
      <x:c r="I195" s="14" t="str">
        <x:v>exact</x:v>
      </x:c>
      <x:c r="J195" s="14" t="str">
        <x:v>Ελλάδα</x:v>
      </x:c>
      <x:c r="K195" s="14" t="str">
        <x:v>Greece</x:v>
      </x:c>
      <x:c r="L195" s="14" t="str">
        <x:v>GRC</x:v>
      </x:c>
      <x:c r="M195" s="14" t="str">
        <x:v>GR</x:v>
      </x:c>
      <x:c r="N195" s="14" t="str">
        <x:v>Platani, Kos</x:v>
      </x:c>
      <x:c r="O195" s="14" t="str">
        <x:v>Pleiades representative point</x:v>
      </x:c>
      <x:c r="P195" s="16"/>
      <x:c r="Q195" s="16"/>
      <x:c r="R195" s="14" t="str">
        <x:v>src-pleiades-599528</x:v>
      </x:c>
      <x:c r="S195" s="14" t="str">
        <x:v>reviewed</x:v>
      </x:c>
    </x:row>
    <x:row r="196" ht="40" customHeight="1">
      <x:c r="A196" s="14" t="str">
        <x:v>place-sanctuary-kourion-apollo-hylates-sanctuary</x:v>
      </x:c>
      <x:c r="B196" s="14" t="str">
        <x:v>sanctuary-kourion-apollo-hylates-sanctuary</x:v>
      </x:c>
      <x:c r="C196" s="22" t="n">
        <x:v>34.67270936</x:v>
      </x:c>
      <x:c r="D196" s="22" t="n">
        <x:v>32.8636043</x:v>
      </x:c>
      <x:c r="E196" s="16" t="str">
        <x:v>POINT (32.8636043 34.67270936)</x:v>
      </x:c>
      <x:c r="F196" s="16" t="str">
        <x:v>{"coordinates":[32.8636043,34.67270936],"type":"Point"}</x:v>
      </x:c>
      <x:c r="G196" s="14" t="str">
        <x:v>site</x:v>
      </x:c>
      <x:c r="H196" s="14" t="str">
        <x:v>high</x:v>
      </x:c>
      <x:c r="I196" s="14" t="str">
        <x:v>exact</x:v>
      </x:c>
      <x:c r="J196" s="14" t="str">
        <x:v>Κύπρος</x:v>
      </x:c>
      <x:c r="K196" s="14" t="str">
        <x:v>Cyprus</x:v>
      </x:c>
      <x:c r="L196" s="14" t="str">
        <x:v>CYP</x:v>
      </x:c>
      <x:c r="M196" s="14" t="str">
        <x:v>CY</x:v>
      </x:c>
      <x:c r="N196" s="14" t="str">
        <x:v>Episkopi, Limassol</x:v>
      </x:c>
      <x:c r="O196" s="14" t="str">
        <x:v>Pleiades representative point</x:v>
      </x:c>
      <x:c r="P196" s="16"/>
      <x:c r="Q196" s="16"/>
      <x:c r="R196" s="14" t="str">
        <x:v>src-pleiades-707476</x:v>
      </x:c>
      <x:c r="S196" s="14" t="str">
        <x:v>reviewed</x:v>
      </x:c>
    </x:row>
    <x:row r="197" ht="40" customHeight="1">
      <x:c r="A197" s="14" t="str">
        <x:v>place-sanctuary-labraunda-zeus-sanctuary</x:v>
      </x:c>
      <x:c r="B197" s="14" t="str">
        <x:v>sanctuary-labraunda-zeus-sanctuary</x:v>
      </x:c>
      <x:c r="C197" s="22" t="n">
        <x:v>37.41890062</x:v>
      </x:c>
      <x:c r="D197" s="22" t="n">
        <x:v>27.81999008</x:v>
      </x:c>
      <x:c r="E197" s="16" t="str">
        <x:v>POINT (27.81999008 37.41890062)</x:v>
      </x:c>
      <x:c r="F197" s="16" t="str">
        <x:v>{"coordinates":[27.81999008,37.41890062],"type":"Point"}</x:v>
      </x:c>
      <x:c r="G197" s="14" t="str">
        <x:v>site</x:v>
      </x:c>
      <x:c r="H197" s="14" t="str">
        <x:v>high</x:v>
      </x:c>
      <x:c r="I197" s="14" t="str">
        <x:v>exact</x:v>
      </x:c>
      <x:c r="J197" s="14" t="str">
        <x:v>Τουρκία</x:v>
      </x:c>
      <x:c r="K197" s="14" t="str">
        <x:v>Turkey</x:v>
      </x:c>
      <x:c r="L197" s="14" t="str">
        <x:v>TUR</x:v>
      </x:c>
      <x:c r="M197" s="14" t="str">
        <x:v>TR</x:v>
      </x:c>
      <x:c r="N197" s="14" t="str">
        <x:v>Labraunda, near Milas</x:v>
      </x:c>
      <x:c r="O197" s="14" t="str">
        <x:v>Pleiades representative point</x:v>
      </x:c>
      <x:c r="P197" s="16"/>
      <x:c r="Q197" s="16"/>
      <x:c r="R197" s="14" t="str">
        <x:v>src-pleiades-599745</x:v>
      </x:c>
      <x:c r="S197" s="14" t="str">
        <x:v>reviewed</x:v>
      </x:c>
    </x:row>
    <x:row r="198" ht="40" customHeight="1">
      <x:c r="A198" s="14" t="str">
        <x:v>place-sanctuary-lagina-hekate-sanctuary</x:v>
      </x:c>
      <x:c r="B198" s="14" t="str">
        <x:v>sanctuary-lagina-hekate-sanctuary</x:v>
      </x:c>
      <x:c r="C198" s="22" t="n">
        <x:v>37.3785444</x:v>
      </x:c>
      <x:c r="D198" s="22" t="n">
        <x:v>28.03948</x:v>
      </x:c>
      <x:c r="E198" s="16" t="str">
        <x:v>POINT (28.03948 37.3785444)</x:v>
      </x:c>
      <x:c r="F198" s="16" t="str">
        <x:v>{"coordinates":[28.03948,37.3785444],"type":"Point"}</x:v>
      </x:c>
      <x:c r="G198" s="14" t="str">
        <x:v>site</x:v>
      </x:c>
      <x:c r="H198" s="14" t="str">
        <x:v>high</x:v>
      </x:c>
      <x:c r="I198" s="14" t="str">
        <x:v>exact</x:v>
      </x:c>
      <x:c r="J198" s="14" t="str">
        <x:v>Τουρκία</x:v>
      </x:c>
      <x:c r="K198" s="14" t="str">
        <x:v>Turkey</x:v>
      </x:c>
      <x:c r="L198" s="14" t="str">
        <x:v>TUR</x:v>
      </x:c>
      <x:c r="M198" s="14" t="str">
        <x:v>TR</x:v>
      </x:c>
      <x:c r="N198" s="14" t="str">
        <x:v>Turgut, Yatağan</x:v>
      </x:c>
      <x:c r="O198" s="14" t="str">
        <x:v>Pleiades representative point</x:v>
      </x:c>
      <x:c r="P198" s="16"/>
      <x:c r="Q198" s="16"/>
      <x:c r="R198" s="14" t="str">
        <x:v>src-pleiades-376215160</x:v>
      </x:c>
      <x:c r="S198" s="14" t="str">
        <x:v>reviewed</x:v>
      </x:c>
    </x:row>
    <x:row r="199" ht="40" customHeight="1">
      <x:c r="A199" s="14" t="str">
        <x:v>place-sanctuary-lemnos-kabeirion</x:v>
      </x:c>
      <x:c r="B199" s="14" t="str">
        <x:v>sanctuary-lemnos-kabeirion</x:v>
      </x:c>
      <x:c r="C199" s="22" t="n">
        <x:v>39.97934773</x:v>
      </x:c>
      <x:c r="D199" s="22" t="n">
        <x:v>25.34165894</x:v>
      </x:c>
      <x:c r="E199" s="16" t="str">
        <x:v>POINT (25.34165894 39.97934773)</x:v>
      </x:c>
      <x:c r="F199" s="16" t="str">
        <x:v>{"coordinates":[25.34165894,39.97934773],"type":"Point"}</x:v>
      </x:c>
      <x:c r="G199" s="14" t="str">
        <x:v>site</x:v>
      </x:c>
      <x:c r="H199" s="14" t="str">
        <x:v>high</x:v>
      </x:c>
      <x:c r="I199" s="14" t="str">
        <x:v>exact</x:v>
      </x:c>
      <x:c r="J199" s="14" t="str">
        <x:v>Ελλάδα</x:v>
      </x:c>
      <x:c r="K199" s="14" t="str">
        <x:v>Greece</x:v>
      </x:c>
      <x:c r="L199" s="14" t="str">
        <x:v>GRC</x:v>
      </x:c>
      <x:c r="M199" s="14" t="str">
        <x:v>GR</x:v>
      </x:c>
      <x:c r="N199" s="14" t="str">
        <x:v>Chloi, Lemnos</x:v>
      </x:c>
      <x:c r="O199" s="14" t="str">
        <x:v>Pleiades representative point</x:v>
      </x:c>
      <x:c r="P199" s="16"/>
      <x:c r="Q199" s="16"/>
      <x:c r="R199" s="14" t="str">
        <x:v>src-pleiades-550604</x:v>
      </x:c>
      <x:c r="S199" s="14" t="str">
        <x:v>reviewed</x:v>
      </x:c>
    </x:row>
    <x:row r="200" ht="40" customHeight="1">
      <x:c r="A200" s="14" t="str">
        <x:v>place-sanctuary-letoon-lycian-sanctuary</x:v>
      </x:c>
      <x:c r="B200" s="14" t="str">
        <x:v>sanctuary-letoon-lycian-sanctuary</x:v>
      </x:c>
      <x:c r="C200" s="22" t="n">
        <x:v>36.33171047</x:v>
      </x:c>
      <x:c r="D200" s="22" t="n">
        <x:v>29.28956479</x:v>
      </x:c>
      <x:c r="E200" s="16" t="str">
        <x:v>POINT (29.28956479 36.33171047)</x:v>
      </x:c>
      <x:c r="F200" s="16" t="str">
        <x:v>{"coordinates":[29.28956479,36.33171047],"type":"Point"}</x:v>
      </x:c>
      <x:c r="G200" s="14" t="str">
        <x:v>site</x:v>
      </x:c>
      <x:c r="H200" s="14" t="str">
        <x:v>high</x:v>
      </x:c>
      <x:c r="I200" s="14" t="str">
        <x:v>exact</x:v>
      </x:c>
      <x:c r="J200" s="14" t="str">
        <x:v>Τουρκία</x:v>
      </x:c>
      <x:c r="K200" s="14" t="str">
        <x:v>Turkey</x:v>
      </x:c>
      <x:c r="L200" s="14" t="str">
        <x:v>TUR</x:v>
      </x:c>
      <x:c r="M200" s="14" t="str">
        <x:v>TR</x:v>
      </x:c>
      <x:c r="N200" s="14" t="str">
        <x:v>Kumluova</x:v>
      </x:c>
      <x:c r="O200" s="14" t="str">
        <x:v>Pleiades representative point</x:v>
      </x:c>
      <x:c r="P200" s="16"/>
      <x:c r="Q200" s="16"/>
      <x:c r="R200" s="14" t="str">
        <x:v>src-pleiades-638958</x:v>
      </x:c>
      <x:c r="S200" s="14" t="str">
        <x:v>reviewed</x:v>
      </x:c>
    </x:row>
    <x:row r="201" ht="40" customHeight="1">
      <x:c r="A201" s="14" t="str">
        <x:v>place-sanctuary-lindos-athena-sanctuary</x:v>
      </x:c>
      <x:c r="B201" s="14" t="str">
        <x:v>sanctuary-lindos-athena-sanctuary</x:v>
      </x:c>
      <x:c r="C201" s="22" t="n">
        <x:v>36.09101074</x:v>
      </x:c>
      <x:c r="D201" s="22" t="n">
        <x:v>28.08844826</x:v>
      </x:c>
      <x:c r="E201" s="16" t="str">
        <x:v>POINT (28.08844826 36.09101074)</x:v>
      </x:c>
      <x:c r="F201" s="16" t="str">
        <x:v>{"coordinates":[28.08844826,36.09101074],"type":"Point"}</x:v>
      </x:c>
      <x:c r="G201" s="14" t="str">
        <x:v>site</x:v>
      </x:c>
      <x:c r="H201" s="14" t="str">
        <x:v>high</x:v>
      </x:c>
      <x:c r="I201" s="14" t="str">
        <x:v>exact</x:v>
      </x:c>
      <x:c r="J201" s="14" t="str">
        <x:v>Ελλάδα</x:v>
      </x:c>
      <x:c r="K201" s="14" t="str">
        <x:v>Greece</x:v>
      </x:c>
      <x:c r="L201" s="14" t="str">
        <x:v>GRC</x:v>
      </x:c>
      <x:c r="M201" s="14" t="str">
        <x:v>GR</x:v>
      </x:c>
      <x:c r="N201" s="14" t="str">
        <x:v>Lindos, Rhodes</x:v>
      </x:c>
      <x:c r="O201" s="14" t="str">
        <x:v>Pleiades representative point</x:v>
      </x:c>
      <x:c r="P201" s="16"/>
      <x:c r="Q201" s="16"/>
      <x:c r="R201" s="14" t="str">
        <x:v>src-pleiades-414067217</x:v>
      </x:c>
      <x:c r="S201" s="14" t="str">
        <x:v>reviewed</x:v>
      </x:c>
    </x:row>
    <x:row r="202" ht="40" customHeight="1">
      <x:c r="A202" s="14" t="str">
        <x:v>place-sanctuary-locri-mannella-persephone-sanctuary</x:v>
      </x:c>
      <x:c r="B202" s="14" t="str">
        <x:v>sanctuary-locri-mannella-persephone-sanctuary</x:v>
      </x:c>
      <x:c r="C202" s="22" t="n">
        <x:v>38.21084</x:v>
      </x:c>
      <x:c r="D202" s="22" t="n">
        <x:v>16.2399</x:v>
      </x:c>
      <x:c r="E202" s="16" t="str">
        <x:v>POINT (16.2399 38.21084)</x:v>
      </x:c>
      <x:c r="F202" s="16" t="str">
        <x:v>{"coordinates":[16.2399,38.21084],"type":"Point"}</x:v>
      </x:c>
      <x:c r="G202" s="14" t="str">
        <x:v>site</x:v>
      </x:c>
      <x:c r="H202" s="14" t="str">
        <x:v>high</x:v>
      </x:c>
      <x:c r="I202" s="14" t="str">
        <x:v>unknown</x:v>
      </x:c>
      <x:c r="J202" s="14" t="str">
        <x:v>Ιταλία</x:v>
      </x:c>
      <x:c r="K202" s="14" t="str">
        <x:v>Italy</x:v>
      </x:c>
      <x:c r="L202" s="14" t="str">
        <x:v>ITA</x:v>
      </x:c>
      <x:c r="M202" s="14" t="str">
        <x:v>IT</x:v>
      </x:c>
      <x:c r="N202" s="14" t="str">
        <x:v>Mannella, Locri</x:v>
      </x:c>
      <x:c r="O202" s="14" t="str">
        <x:v>museoarcheologicoreggiocalabria.cultura.gov.it</x:v>
      </x:c>
      <x:c r="P202" s="16"/>
      <x:c r="Q202" s="16"/>
      <x:c r="R202" s="14" t="str">
        <x:v>src-museoarcheologicoreggiocalabria-a34e7a2bfa16</x:v>
      </x:c>
      <x:c r="S202" s="14" t="str">
        <x:v>reviewed</x:v>
      </x:c>
    </x:row>
    <x:row r="203" ht="40" customHeight="1">
      <x:c r="A203" s="14" t="str">
        <x:v>place-sanctuary-magnesia-artemis-leukophryene</x:v>
      </x:c>
      <x:c r="B203" s="14" t="str">
        <x:v>sanctuary-magnesia-artemis-leukophryene</x:v>
      </x:c>
      <x:c r="C203" s="22" t="n">
        <x:v>37.84986234</x:v>
      </x:c>
      <x:c r="D203" s="22" t="n">
        <x:v>27.52317844</x:v>
      </x:c>
      <x:c r="E203" s="16" t="str">
        <x:v>POINT (27.52317844 37.84986234)</x:v>
      </x:c>
      <x:c r="F203" s="16" t="str">
        <x:v>{"coordinates":[27.52317844,37.84986234],"type":"Point"}</x:v>
      </x:c>
      <x:c r="G203" s="14" t="str">
        <x:v>proxy</x:v>
      </x:c>
      <x:c r="H203" s="14" t="str">
        <x:v>medium</x:v>
      </x:c>
      <x:c r="I203" s="14" t="str">
        <x:v>exact</x:v>
      </x:c>
      <x:c r="J203" s="14" t="str">
        <x:v>Τουρκία</x:v>
      </x:c>
      <x:c r="K203" s="14" t="str">
        <x:v>Turkey</x:v>
      </x:c>
      <x:c r="L203" s="14" t="str">
        <x:v>TUR</x:v>
      </x:c>
      <x:c r="M203" s="14" t="str">
        <x:v>TR</x:v>
      </x:c>
      <x:c r="N203" s="14" t="str">
        <x:v>Tekin, Germencik</x:v>
      </x:c>
      <x:c r="O203" s="14" t="str">
        <x:v>Pleiades representative point</x:v>
      </x:c>
      <x:c r="P203" s="16" t="str">
        <x:v>Το σημείο είναι προσεγγιστικός χωρικός δείκτης του ιερού μέσα στην αρχαία πόλη και όχι ανεξάρτητα αποτυπωμένο περίγραμμα του μνημείου.</x:v>
      </x:c>
      <x:c r="Q203" s="16" t="str">
        <x:v>The point is an approximate spatial marker for the sanctuary within the ancient settlement; it is not a surveyed footprint of the monument.</x:v>
      </x:c>
      <x:c r="R203" s="14" t="str">
        <x:v>src-pleiades-599778</x:v>
      </x:c>
      <x:c r="S203" s="14" t="str">
        <x:v>reviewed</x:v>
      </x:c>
    </x:row>
    <x:row r="204" ht="40" customHeight="1">
      <x:c r="A204" s="14" t="str">
        <x:v>place-sanctuary-menelaion-sparta</x:v>
      </x:c>
      <x:c r="B204" s="14" t="str">
        <x:v>sanctuary-menelaion-sparta</x:v>
      </x:c>
      <x:c r="C204" s="22" t="n">
        <x:v>37.0657435</x:v>
      </x:c>
      <x:c r="D204" s="22" t="n">
        <x:v>22.4534818</x:v>
      </x:c>
      <x:c r="E204" s="16" t="str">
        <x:v>POINT (22.4534818 37.0657435)</x:v>
      </x:c>
      <x:c r="F204" s="16" t="str">
        <x:v>{"coordinates":[22.4534818,37.0657435],"type":"Point"}</x:v>
      </x:c>
      <x:c r="G204" s="14" t="str">
        <x:v>site</x:v>
      </x:c>
      <x:c r="H204" s="14" t="str">
        <x:v>high</x:v>
      </x:c>
      <x:c r="I204" s="14" t="str">
        <x:v>exact</x:v>
      </x:c>
      <x:c r="J204" s="14" t="str">
        <x:v>Ελλάδα</x:v>
      </x:c>
      <x:c r="K204" s="14" t="str">
        <x:v>Greece</x:v>
      </x:c>
      <x:c r="L204" s="14" t="str">
        <x:v>GRC</x:v>
      </x:c>
      <x:c r="M204" s="14" t="str">
        <x:v>GR</x:v>
      </x:c>
      <x:c r="N204" s="14" t="str">
        <x:v>Therapni, Sparta</x:v>
      </x:c>
      <x:c r="O204" s="14" t="str">
        <x:v>Pleiades representative point</x:v>
      </x:c>
      <x:c r="P204" s="16"/>
      <x:c r="Q204" s="16"/>
      <x:c r="R204" s="14" t="str">
        <x:v>src-pleiades-570477</x:v>
      </x:c>
      <x:c r="S204" s="14" t="str">
        <x:v>reviewed</x:v>
      </x:c>
    </x:row>
    <x:row r="205" ht="40" customHeight="1">
      <x:c r="A205" s="14" t="str">
        <x:v>place-sanctuary-metapontum-tavole-palatine-heraion</x:v>
      </x:c>
      <x:c r="B205" s="14" t="str">
        <x:v>sanctuary-metapontum-tavole-palatine-heraion</x:v>
      </x:c>
      <x:c r="C205" s="22" t="n">
        <x:v>40.41607388</x:v>
      </x:c>
      <x:c r="D205" s="22" t="n">
        <x:v>16.81677139</x:v>
      </x:c>
      <x:c r="E205" s="16" t="str">
        <x:v>POINT (16.81677139 40.41607388)</x:v>
      </x:c>
      <x:c r="F205" s="16" t="str">
        <x:v>{"coordinates":[16.81677139,40.41607388],"type":"Point"}</x:v>
      </x:c>
      <x:c r="G205" s="14" t="str">
        <x:v>site</x:v>
      </x:c>
      <x:c r="H205" s="14" t="str">
        <x:v>high</x:v>
      </x:c>
      <x:c r="I205" s="14" t="str">
        <x:v>exact</x:v>
      </x:c>
      <x:c r="J205" s="14" t="str">
        <x:v>Ιταλία</x:v>
      </x:c>
      <x:c r="K205" s="14" t="str">
        <x:v>Italy</x:v>
      </x:c>
      <x:c r="L205" s="14" t="str">
        <x:v>ITA</x:v>
      </x:c>
      <x:c r="M205" s="14" t="str">
        <x:v>IT</x:v>
      </x:c>
      <x:c r="N205" s="14" t="str">
        <x:v>Metaponto, Bernalda</x:v>
      </x:c>
      <x:c r="O205" s="14" t="str">
        <x:v>Pleiades representative point</x:v>
      </x:c>
      <x:c r="P205" s="16"/>
      <x:c r="Q205" s="16"/>
      <x:c r="R205" s="14" t="str">
        <x:v>src-pleiades-442611</x:v>
      </x:c>
      <x:c r="S205" s="14" t="str">
        <x:v>reviewed</x:v>
      </x:c>
    </x:row>
    <x:row r="206" ht="40" customHeight="1">
      <x:c r="A206" s="14" t="str">
        <x:v>place-sanctuary-mount-lykaion-zeus-sanctuary</x:v>
      </x:c>
      <x:c r="B206" s="14" t="str">
        <x:v>sanctuary-mount-lykaion-zeus-sanctuary</x:v>
      </x:c>
      <x:c r="C206" s="22" t="n">
        <x:v>37.4492021</x:v>
      </x:c>
      <x:c r="D206" s="22" t="n">
        <x:v>21.992287</x:v>
      </x:c>
      <x:c r="E206" s="16" t="str">
        <x:v>POINT (21.992287 37.4492021)</x:v>
      </x:c>
      <x:c r="F206" s="16" t="str">
        <x:v>{"coordinates":[21.992287,37.4492021],"type":"Point"}</x:v>
      </x:c>
      <x:c r="G206" s="14" t="str">
        <x:v>site</x:v>
      </x:c>
      <x:c r="H206" s="14" t="str">
        <x:v>high</x:v>
      </x:c>
      <x:c r="I206" s="14" t="str">
        <x:v>exact</x:v>
      </x:c>
      <x:c r="J206" s="14" t="str">
        <x:v>Ελλάδα</x:v>
      </x:c>
      <x:c r="K206" s="14" t="str">
        <x:v>Greece</x:v>
      </x:c>
      <x:c r="L206" s="14" t="str">
        <x:v>GRC</x:v>
      </x:c>
      <x:c r="M206" s="14" t="str">
        <x:v>GR</x:v>
      </x:c>
      <x:c r="N206" s="14" t="str">
        <x:v>Mount Lykaion</x:v>
      </x:c>
      <x:c r="O206" s="14" t="str">
        <x:v>Pleiades representative point</x:v>
      </x:c>
      <x:c r="P206" s="16"/>
      <x:c r="Q206" s="16"/>
      <x:c r="R206" s="14" t="str">
        <x:v>src-pleiades-570764</x:v>
      </x:c>
      <x:c r="S206" s="14" t="str">
        <x:v>reviewed</x:v>
      </x:c>
    </x:row>
    <x:row r="207" ht="40" customHeight="1">
      <x:c r="A207" s="14" t="str">
        <x:v>place-sanctuary-naukratis-hellenion</x:v>
      </x:c>
      <x:c r="B207" s="14" t="str">
        <x:v>sanctuary-naukratis-hellenion</x:v>
      </x:c>
      <x:c r="C207" s="22" t="n">
        <x:v>30.900508</x:v>
      </x:c>
      <x:c r="D207" s="22" t="n">
        <x:v>30.5919275</x:v>
      </x:c>
      <x:c r="E207" s="16" t="str">
        <x:v>POINT (30.5919275 30.900508)</x:v>
      </x:c>
      <x:c r="F207" s="16" t="str">
        <x:v>{"coordinates":[30.5919275,30.900508],"type":"Point"}</x:v>
      </x:c>
      <x:c r="G207" s="14" t="str">
        <x:v>proxy</x:v>
      </x:c>
      <x:c r="H207" s="14" t="str">
        <x:v>medium</x:v>
      </x:c>
      <x:c r="I207" s="14" t="str">
        <x:v>unknown</x:v>
      </x:c>
      <x:c r="J207" s="14" t="str">
        <x:v>Αίγυπτος</x:v>
      </x:c>
      <x:c r="K207" s="14" t="str">
        <x:v>Egypt</x:v>
      </x:c>
      <x:c r="L207" s="14" t="str">
        <x:v>EGY</x:v>
      </x:c>
      <x:c r="M207" s="14" t="str">
        <x:v>EG</x:v>
      </x:c>
      <x:c r="N207" s="14" t="str">
        <x:v>Kom Gi'eif / El-Niqrash</x:v>
      </x:c>
      <x:c r="O207" s="14" t="str">
        <x:v>www.britishmuseum.org</x:v>
      </x:c>
      <x:c r="P207" s="16" t="str">
        <x:v>Το σημείο είναι προσεγγιστικός χωρικός δείκτης του ιερού μέσα στην αρχαία πόλη και όχι ανεξάρτητα αποτυπωμένο περίγραμμα του μνημείου.</x:v>
      </x:c>
      <x:c r="Q207" s="16" t="str">
        <x:v>The point is an approximate spatial marker for the sanctuary within the ancient settlement; it is not a surveyed footprint of the monument.</x:v>
      </x:c>
      <x:c r="R207" s="14" t="str">
        <x:v>src-britishmuseum-4626abd5cbdd</x:v>
      </x:c>
      <x:c r="S207" s="14" t="str">
        <x:v>reviewed</x:v>
      </x:c>
    </x:row>
    <x:row r="208" ht="40" customHeight="1">
      <x:c r="A208" s="14" t="str">
        <x:v>place-sanctuary-nemea-zeus-sanctuary</x:v>
      </x:c>
      <x:c r="B208" s="14" t="str">
        <x:v>sanctuary-nemea-zeus-sanctuary</x:v>
      </x:c>
      <x:c r="C208" s="22" t="n">
        <x:v>37.80905853</x:v>
      </x:c>
      <x:c r="D208" s="22" t="n">
        <x:v>22.71067954</x:v>
      </x:c>
      <x:c r="E208" s="16" t="str">
        <x:v>POINT (22.71067954 37.80905853)</x:v>
      </x:c>
      <x:c r="F208" s="16" t="str">
        <x:v>{"coordinates":[22.71067954,37.80905853],"type":"Point"}</x:v>
      </x:c>
      <x:c r="G208" s="14" t="str">
        <x:v>site</x:v>
      </x:c>
      <x:c r="H208" s="14" t="str">
        <x:v>high</x:v>
      </x:c>
      <x:c r="I208" s="14" t="str">
        <x:v>exact</x:v>
      </x:c>
      <x:c r="J208" s="14" t="str">
        <x:v>Ελλάδα</x:v>
      </x:c>
      <x:c r="K208" s="14" t="str">
        <x:v>Greece</x:v>
      </x:c>
      <x:c r="L208" s="14" t="str">
        <x:v>GRC</x:v>
      </x:c>
      <x:c r="M208" s="14" t="str">
        <x:v>GR</x:v>
      </x:c>
      <x:c r="N208" s="14" t="str">
        <x:v>Archaia Nemea</x:v>
      </x:c>
      <x:c r="O208" s="14" t="str">
        <x:v>Pleiades representative point</x:v>
      </x:c>
      <x:c r="P208" s="16"/>
      <x:c r="Q208" s="16"/>
      <x:c r="R208" s="14" t="str">
        <x:v>src-pleiades-570504</x:v>
      </x:c>
      <x:c r="S208" s="14" t="str">
        <x:v>reviewed</x:v>
      </x:c>
    </x:row>
    <x:row r="209" ht="40" customHeight="1">
      <x:c r="A209" s="14" t="str">
        <x:v>place-sanctuary-olbia-apollo-delphinios-sanctuary</x:v>
      </x:c>
      <x:c r="B209" s="14" t="str">
        <x:v>sanctuary-olbia-apollo-delphinios-sanctuary</x:v>
      </x:c>
      <x:c r="C209" s="22" t="n">
        <x:v>46.69293</x:v>
      </x:c>
      <x:c r="D209" s="22" t="n">
        <x:v>31.9049</x:v>
      </x:c>
      <x:c r="E209" s="16" t="str">
        <x:v>POINT (31.9049 46.69293)</x:v>
      </x:c>
      <x:c r="F209" s="16" t="str">
        <x:v>{"coordinates":[31.9049,46.69293],"type":"Point"}</x:v>
      </x:c>
      <x:c r="G209" s="14" t="str">
        <x:v>proxy</x:v>
      </x:c>
      <x:c r="H209" s="14" t="str">
        <x:v>medium</x:v>
      </x:c>
      <x:c r="I209" s="14" t="str">
        <x:v>unknown</x:v>
      </x:c>
      <x:c r="J209" s="14" t="str">
        <x:v>Ουκρανία</x:v>
      </x:c>
      <x:c r="K209" s="14" t="str">
        <x:v>Ukraine</x:v>
      </x:c>
      <x:c r="L209" s="14" t="str">
        <x:v>UKR</x:v>
      </x:c>
      <x:c r="M209" s="14" t="str">
        <x:v>UA</x:v>
      </x:c>
      <x:c r="N209" s="14" t="str">
        <x:v>Parutyne, Mykolaiv Oblast</x:v>
      </x:c>
      <x:c r="O209" s="14" t="str">
        <x:v>www.penn.museum</x:v>
      </x:c>
      <x:c r="P209" s="16" t="str">
        <x:v>Το σημείο αποδίδει προσεγγιστικά το πολυφασικό τέμενος κοντά στην αγορά της Ολβίας και όχι αποτυπωμένο περίγραμμα.</x:v>
      </x:c>
      <x:c r="Q209" s="16" t="str">
        <x:v>The point approximately locates the multi-phase precinct near the Olbian agora and is not a surveyed footprint.</x:v>
      </x:c>
      <x:c r="R209" s="14" t="str">
        <x:v>src-penn-a97aa05ea214</x:v>
      </x:c>
      <x:c r="S209" s="14" t="str">
        <x:v>reviewed</x:v>
      </x:c>
    </x:row>
    <x:row r="210" ht="40" customHeight="1">
      <x:c r="A210" s="14" t="str">
        <x:v>place-sanctuary-olympia-zeus-sanctuary</x:v>
      </x:c>
      <x:c r="B210" s="14" t="str">
        <x:v>sanctuary-olympia-zeus-sanctuary</x:v>
      </x:c>
      <x:c r="C210" s="22" t="n">
        <x:v>37.6386835</x:v>
      </x:c>
      <x:c r="D210" s="22" t="n">
        <x:v>21.6308144</x:v>
      </x:c>
      <x:c r="E210" s="16" t="str">
        <x:v>POINT (21.6308144 37.6386835)</x:v>
      </x:c>
      <x:c r="F210" s="16" t="str">
        <x:v>{"coordinates":[21.6308144,37.6386835],"type":"Point"}</x:v>
      </x:c>
      <x:c r="G210" s="14" t="str">
        <x:v>site</x:v>
      </x:c>
      <x:c r="H210" s="14" t="str">
        <x:v>high</x:v>
      </x:c>
      <x:c r="I210" s="14" t="str">
        <x:v>exact</x:v>
      </x:c>
      <x:c r="J210" s="14" t="str">
        <x:v>Ελλάδα</x:v>
      </x:c>
      <x:c r="K210" s="14" t="str">
        <x:v>Greece</x:v>
      </x:c>
      <x:c r="L210" s="14" t="str">
        <x:v>GRC</x:v>
      </x:c>
      <x:c r="M210" s="14" t="str">
        <x:v>GR</x:v>
      </x:c>
      <x:c r="N210" s="14" t="str">
        <x:v>Archaia Olympia</x:v>
      </x:c>
      <x:c r="O210" s="14" t="str">
        <x:v>Pleiades representative point</x:v>
      </x:c>
      <x:c r="P210" s="16"/>
      <x:c r="Q210" s="16"/>
      <x:c r="R210" s="14" t="str">
        <x:v>src-pleiades-570531</x:v>
      </x:c>
      <x:c r="S210" s="14" t="str">
        <x:v>reviewed</x:v>
      </x:c>
    </x:row>
    <x:row r="211" ht="40" customHeight="1">
      <x:c r="A211" s="14" t="str">
        <x:v>place-sanctuary-oropos-amphiareion</x:v>
      </x:c>
      <x:c r="B211" s="14" t="str">
        <x:v>sanctuary-oropos-amphiareion</x:v>
      </x:c>
      <x:c r="C211" s="22" t="n">
        <x:v>38.29100503</x:v>
      </x:c>
      <x:c r="D211" s="22" t="n">
        <x:v>23.84564</x:v>
      </x:c>
      <x:c r="E211" s="16" t="str">
        <x:v>POINT (23.84564 38.29100503)</x:v>
      </x:c>
      <x:c r="F211" s="16" t="str">
        <x:v>{"coordinates":[23.84564,38.29100503],"type":"Point"}</x:v>
      </x:c>
      <x:c r="G211" s="14" t="str">
        <x:v>site</x:v>
      </x:c>
      <x:c r="H211" s="14" t="str">
        <x:v>high</x:v>
      </x:c>
      <x:c r="I211" s="14" t="str">
        <x:v>exact</x:v>
      </x:c>
      <x:c r="J211" s="14" t="str">
        <x:v>Ελλάδα</x:v>
      </x:c>
      <x:c r="K211" s="14" t="str">
        <x:v>Greece</x:v>
      </x:c>
      <x:c r="L211" s="14" t="str">
        <x:v>GRC</x:v>
      </x:c>
      <x:c r="M211" s="14" t="str">
        <x:v>GR</x:v>
      </x:c>
      <x:c r="N211" s="14" t="str">
        <x:v>Markopoulo Oropou</x:v>
      </x:c>
      <x:c r="O211" s="14" t="str">
        <x:v>Pleiades representative point</x:v>
      </x:c>
      <x:c r="P211" s="16"/>
      <x:c r="Q211" s="16"/>
      <x:c r="R211" s="14" t="str">
        <x:v>src-pleiades-540628</x:v>
      </x:c>
      <x:c r="S211" s="14" t="str">
        <x:v>reviewed</x:v>
      </x:c>
    </x:row>
    <x:row r="212" ht="40" customHeight="1">
      <x:c r="A212" s="14" t="str">
        <x:v>place-sanctuary-palaepaphos-aphrodite-sanctuary</x:v>
      </x:c>
      <x:c r="B212" s="14" t="str">
        <x:v>sanctuary-palaepaphos-aphrodite-sanctuary</x:v>
      </x:c>
      <x:c r="C212" s="22" t="n">
        <x:v>34.7068294</x:v>
      </x:c>
      <x:c r="D212" s="22" t="n">
        <x:v>32.5736088</x:v>
      </x:c>
      <x:c r="E212" s="16" t="str">
        <x:v>POINT (32.5736088 34.7068294)</x:v>
      </x:c>
      <x:c r="F212" s="16" t="str">
        <x:v>{"coordinates":[32.5736088,34.7068294],"type":"Point"}</x:v>
      </x:c>
      <x:c r="G212" s="14" t="str">
        <x:v>site</x:v>
      </x:c>
      <x:c r="H212" s="14" t="str">
        <x:v>high</x:v>
      </x:c>
      <x:c r="I212" s="14" t="str">
        <x:v>exact</x:v>
      </x:c>
      <x:c r="J212" s="14" t="str">
        <x:v>Κύπρος</x:v>
      </x:c>
      <x:c r="K212" s="14" t="str">
        <x:v>Cyprus</x:v>
      </x:c>
      <x:c r="L212" s="14" t="str">
        <x:v>CYP</x:v>
      </x:c>
      <x:c r="M212" s="14" t="str">
        <x:v>CY</x:v>
      </x:c>
      <x:c r="N212" s="14" t="str">
        <x:v>Kouklia</x:v>
      </x:c>
      <x:c r="O212" s="14" t="str">
        <x:v>Pleiades representative point</x:v>
      </x:c>
      <x:c r="P212" s="16"/>
      <x:c r="Q212" s="16"/>
      <x:c r="R212" s="14" t="str">
        <x:v>src-pleiades-828989863</x:v>
      </x:c>
      <x:c r="S212" s="14" t="str">
        <x:v>reviewed</x:v>
      </x:c>
    </x:row>
    <x:row r="213" ht="40" customHeight="1">
      <x:c r="A213" s="14" t="str">
        <x:v>place-sanctuary-panionion-poseidon-sanctuary</x:v>
      </x:c>
      <x:c r="B213" s="14" t="str">
        <x:v>sanctuary-panionion-poseidon-sanctuary</x:v>
      </x:c>
      <x:c r="C213" s="22" t="n">
        <x:v>37.703924</x:v>
      </x:c>
      <x:c r="D213" s="22" t="n">
        <x:v>27.329993</x:v>
      </x:c>
      <x:c r="E213" s="16" t="str">
        <x:v>POINT (27.329993 37.703924)</x:v>
      </x:c>
      <x:c r="F213" s="16" t="str">
        <x:v>{"coordinates":[27.329993,37.703924],"type":"Point"}</x:v>
      </x:c>
      <x:c r="G213" s="14" t="str">
        <x:v>site</x:v>
      </x:c>
      <x:c r="H213" s="14" t="str">
        <x:v>high</x:v>
      </x:c>
      <x:c r="I213" s="14" t="str">
        <x:v>exact</x:v>
      </x:c>
      <x:c r="J213" s="14" t="str">
        <x:v>Τουρκία</x:v>
      </x:c>
      <x:c r="K213" s="14" t="str">
        <x:v>Turkey</x:v>
      </x:c>
      <x:c r="L213" s="14" t="str">
        <x:v>TUR</x:v>
      </x:c>
      <x:c r="M213" s="14" t="str">
        <x:v>TR</x:v>
      </x:c>
      <x:c r="N213" s="14" t="str">
        <x:v>Güzelçamlı</x:v>
      </x:c>
      <x:c r="O213" s="14" t="str">
        <x:v>Pleiades representative point</x:v>
      </x:c>
      <x:c r="P213" s="16"/>
      <x:c r="Q213" s="16"/>
      <x:c r="R213" s="14" t="str">
        <x:v>src-pleiades-599855</x:v>
      </x:c>
      <x:c r="S213" s="14" t="str">
        <x:v>reviewed</x:v>
      </x:c>
    </x:row>
    <x:row r="214" ht="40" customHeight="1">
      <x:c r="A214" s="14" t="str">
        <x:v>place-sanctuary-pantikapaion-apollo-ietros-sanctuary</x:v>
      </x:c>
      <x:c r="B214" s="14" t="str">
        <x:v>sanctuary-pantikapaion-apollo-ietros-sanctuary</x:v>
      </x:c>
      <x:c r="C214" s="22" t="n">
        <x:v>45.35095</x:v>
      </x:c>
      <x:c r="D214" s="22" t="n">
        <x:v>36.46945</x:v>
      </x:c>
      <x:c r="E214" s="16" t="str">
        <x:v>POINT (36.46945 45.35095)</x:v>
      </x:c>
      <x:c r="F214" s="16" t="str">
        <x:v>{"coordinates":[36.46945,45.35095],"type":"Point"}</x:v>
      </x:c>
      <x:c r="G214" s="14" t="str">
        <x:v>proxy</x:v>
      </x:c>
      <x:c r="H214" s="14" t="str">
        <x:v>medium</x:v>
      </x:c>
      <x:c r="I214" s="14" t="str">
        <x:v>exact</x:v>
      </x:c>
      <x:c r="J214" s="14" t="str">
        <x:v>Ουκρανία</x:v>
      </x:c>
      <x:c r="K214" s="14" t="str">
        <x:v>Ukraine</x:v>
      </x:c>
      <x:c r="L214" s="14" t="str">
        <x:v>UKR</x:v>
      </x:c>
      <x:c r="M214" s="14" t="str">
        <x:v>UA</x:v>
      </x:c>
      <x:c r="N214" s="14" t="str">
        <x:v>Kerch</x:v>
      </x:c>
      <x:c r="O214" s="14" t="str">
        <x:v>curated point linked to Pleiades place</x:v>
      </x:c>
      <x:c r="P214" s="16" t="str">
        <x:v>Το σημείο είναι προσεγγιστικός χωρικός δείκτης του ιερού μέσα στην αρχαία πόλη και όχι ανεξάρτητα αποτυπωμένο περίγραμμα του μνημείου.</x:v>
      </x:c>
      <x:c r="Q214" s="16" t="str">
        <x:v>The point is an approximate spatial marker for the sanctuary within the ancient settlement; it is not a surveyed footprint of the monument.</x:v>
      </x:c>
      <x:c r="R214" s="14" t="str">
        <x:v>src-pleiades-854719</x:v>
      </x:c>
      <x:c r="S214" s="14" t="str">
        <x:v>reviewed</x:v>
      </x:c>
    </x:row>
    <x:row r="215" ht="40" customHeight="1">
      <x:c r="A215" s="14" t="str">
        <x:v>place-sanctuary-perachora-heraion</x:v>
      </x:c>
      <x:c r="B215" s="14" t="str">
        <x:v>sanctuary-perachora-heraion</x:v>
      </x:c>
      <x:c r="C215" s="22" t="n">
        <x:v>38.02810774</x:v>
      </x:c>
      <x:c r="D215" s="22" t="n">
        <x:v>22.85281872</x:v>
      </x:c>
      <x:c r="E215" s="16" t="str">
        <x:v>POINT (22.85281872 38.02810774)</x:v>
      </x:c>
      <x:c r="F215" s="16" t="str">
        <x:v>{"coordinates":[22.85281872,38.02810774],"type":"Point"}</x:v>
      </x:c>
      <x:c r="G215" s="14" t="str">
        <x:v>site</x:v>
      </x:c>
      <x:c r="H215" s="14" t="str">
        <x:v>high</x:v>
      </x:c>
      <x:c r="I215" s="14" t="str">
        <x:v>exact</x:v>
      </x:c>
      <x:c r="J215" s="14" t="str">
        <x:v>Ελλάδα</x:v>
      </x:c>
      <x:c r="K215" s="14" t="str">
        <x:v>Greece</x:v>
      </x:c>
      <x:c r="L215" s="14" t="str">
        <x:v>GRC</x:v>
      </x:c>
      <x:c r="M215" s="14" t="str">
        <x:v>GR</x:v>
      </x:c>
      <x:c r="N215" s="14" t="str">
        <x:v>Perachora</x:v>
      </x:c>
      <x:c r="O215" s="14" t="str">
        <x:v>Pleiades representative point</x:v>
      </x:c>
      <x:c r="P215" s="16"/>
      <x:c r="Q215" s="16"/>
      <x:c r="R215" s="14" t="str">
        <x:v>src-pleiades-570288</x:v>
      </x:c>
      <x:c r="S215" s="14" t="str">
        <x:v>reviewed</x:v>
      </x:c>
    </x:row>
    <x:row r="216" ht="40" customHeight="1">
      <x:c r="A216" s="14" t="str">
        <x:v>place-sanctuary-pergamon-asklepieion</x:v>
      </x:c>
      <x:c r="B216" s="14" t="str">
        <x:v>sanctuary-pergamon-asklepieion</x:v>
      </x:c>
      <x:c r="C216" s="22" t="n">
        <x:v>39.11886849</x:v>
      </x:c>
      <x:c r="D216" s="22" t="n">
        <x:v>27.16563039</x:v>
      </x:c>
      <x:c r="E216" s="16" t="str">
        <x:v>POINT (27.16563039 39.11886849)</x:v>
      </x:c>
      <x:c r="F216" s="16" t="str">
        <x:v>{"coordinates":[27.16563039,39.11886849],"type":"Point"}</x:v>
      </x:c>
      <x:c r="G216" s="14" t="str">
        <x:v>site</x:v>
      </x:c>
      <x:c r="H216" s="14" t="str">
        <x:v>high</x:v>
      </x:c>
      <x:c r="I216" s="14" t="str">
        <x:v>exact</x:v>
      </x:c>
      <x:c r="J216" s="14" t="str">
        <x:v>Τουρκία</x:v>
      </x:c>
      <x:c r="K216" s="14" t="str">
        <x:v>Turkey</x:v>
      </x:c>
      <x:c r="L216" s="14" t="str">
        <x:v>TUR</x:v>
      </x:c>
      <x:c r="M216" s="14" t="str">
        <x:v>TR</x:v>
      </x:c>
      <x:c r="N216" s="14" t="str">
        <x:v>Bergama</x:v>
      </x:c>
      <x:c r="O216" s="14" t="str">
        <x:v>Pleiades representative point</x:v>
      </x:c>
      <x:c r="P216" s="16"/>
      <x:c r="Q216" s="16"/>
      <x:c r="R216" s="14" t="str">
        <x:v>src-pleiades-550459</x:v>
      </x:c>
      <x:c r="S216" s="14" t="str">
        <x:v>reviewed</x:v>
      </x:c>
    </x:row>
    <x:row r="217" ht="40" customHeight="1">
      <x:c r="A217" s="14" t="str">
        <x:v>place-sanctuary-priene-athena-polias-sanctuary</x:v>
      </x:c>
      <x:c r="B217" s="14" t="str">
        <x:v>sanctuary-priene-athena-polias-sanctuary</x:v>
      </x:c>
      <x:c r="C217" s="22" t="n">
        <x:v>37.65924143</x:v>
      </x:c>
      <x:c r="D217" s="22" t="n">
        <x:v>27.29661487</x:v>
      </x:c>
      <x:c r="E217" s="16" t="str">
        <x:v>POINT (27.29661487 37.65924143)</x:v>
      </x:c>
      <x:c r="F217" s="16" t="str">
        <x:v>{"coordinates":[27.29661487,37.65924143],"type":"Point"}</x:v>
      </x:c>
      <x:c r="G217" s="14" t="str">
        <x:v>site</x:v>
      </x:c>
      <x:c r="H217" s="14" t="str">
        <x:v>high</x:v>
      </x:c>
      <x:c r="I217" s="14" t="str">
        <x:v>exact</x:v>
      </x:c>
      <x:c r="J217" s="14" t="str">
        <x:v>Τουρκία</x:v>
      </x:c>
      <x:c r="K217" s="14" t="str">
        <x:v>Turkey</x:v>
      </x:c>
      <x:c r="L217" s="14" t="str">
        <x:v>TUR</x:v>
      </x:c>
      <x:c r="M217" s="14" t="str">
        <x:v>TR</x:v>
      </x:c>
      <x:c r="N217" s="14" t="str">
        <x:v>Güllübahçe</x:v>
      </x:c>
      <x:c r="O217" s="14" t="str">
        <x:v>Pleiades representative point</x:v>
      </x:c>
      <x:c r="P217" s="16"/>
      <x:c r="Q217" s="16"/>
      <x:c r="R217" s="14" t="str">
        <x:v>src-pleiades-298577312</x:v>
      </x:c>
      <x:c r="S217" s="14" t="str">
        <x:v>reviewed</x:v>
      </x:c>
    </x:row>
    <x:row r="218" ht="40" customHeight="1">
      <x:c r="A218" s="14" t="str">
        <x:v>place-sanctuary-rhodes-zeus-atabyrios-sanctuary</x:v>
      </x:c>
      <x:c r="B218" s="14" t="str">
        <x:v>sanctuary-rhodes-zeus-atabyrios-sanctuary</x:v>
      </x:c>
      <x:c r="C218" s="22" t="n">
        <x:v>36.2068373</x:v>
      </x:c>
      <x:c r="D218" s="22" t="n">
        <x:v>27.86460035</x:v>
      </x:c>
      <x:c r="E218" s="16" t="str">
        <x:v>POINT (27.86460035 36.2068373)</x:v>
      </x:c>
      <x:c r="F218" s="16" t="str">
        <x:v>{"coordinates":[27.86460035,36.2068373],"type":"Point"}</x:v>
      </x:c>
      <x:c r="G218" s="14" t="str">
        <x:v>site</x:v>
      </x:c>
      <x:c r="H218" s="14" t="str">
        <x:v>high</x:v>
      </x:c>
      <x:c r="I218" s="14" t="str">
        <x:v>exact</x:v>
      </x:c>
      <x:c r="J218" s="14" t="str">
        <x:v>Ελλάδα</x:v>
      </x:c>
      <x:c r="K218" s="14" t="str">
        <x:v>Greece</x:v>
      </x:c>
      <x:c r="L218" s="14" t="str">
        <x:v>GRC</x:v>
      </x:c>
      <x:c r="M218" s="14" t="str">
        <x:v>GR</x:v>
      </x:c>
      <x:c r="N218" s="14" t="str">
        <x:v>Mount Atavyros, Rhodes</x:v>
      </x:c>
      <x:c r="O218" s="14" t="str">
        <x:v>Pleiades representative point</x:v>
      </x:c>
      <x:c r="P218" s="16"/>
      <x:c r="Q218" s="16"/>
      <x:c r="R218" s="14" t="str">
        <x:v>src-pleiades-590099</x:v>
      </x:c>
      <x:c r="S218" s="14" t="str">
        <x:v>reviewed</x:v>
      </x:c>
    </x:row>
    <x:row r="219" ht="40" customHeight="1">
      <x:c r="A219" s="14" t="str">
        <x:v>place-sanctuary-samos-heraion</x:v>
      </x:c>
      <x:c r="B219" s="14" t="str">
        <x:v>sanctuary-samos-heraion</x:v>
      </x:c>
      <x:c r="C219" s="22" t="n">
        <x:v>37.67196784</x:v>
      </x:c>
      <x:c r="D219" s="22" t="n">
        <x:v>26.88591701</x:v>
      </x:c>
      <x:c r="E219" s="16" t="str">
        <x:v>POINT (26.88591701 37.67196784)</x:v>
      </x:c>
      <x:c r="F219" s="16" t="str">
        <x:v>{"coordinates":[26.88591701,37.67196784],"type":"Point"}</x:v>
      </x:c>
      <x:c r="G219" s="14" t="str">
        <x:v>site</x:v>
      </x:c>
      <x:c r="H219" s="14" t="str">
        <x:v>high</x:v>
      </x:c>
      <x:c r="I219" s="14" t="str">
        <x:v>exact</x:v>
      </x:c>
      <x:c r="J219" s="14" t="str">
        <x:v>Ελλάδα</x:v>
      </x:c>
      <x:c r="K219" s="14" t="str">
        <x:v>Greece</x:v>
      </x:c>
      <x:c r="L219" s="14" t="str">
        <x:v>GRC</x:v>
      </x:c>
      <x:c r="M219" s="14" t="str">
        <x:v>GR</x:v>
      </x:c>
      <x:c r="N219" s="14" t="str">
        <x:v>Ireon, Samos</x:v>
      </x:c>
      <x:c r="O219" s="14" t="str">
        <x:v>Pleiades representative point</x:v>
      </x:c>
      <x:c r="P219" s="16"/>
      <x:c r="Q219" s="16"/>
      <x:c r="R219" s="14" t="str">
        <x:v>src-pleiades-599641</x:v>
      </x:c>
      <x:c r="S219" s="14" t="str">
        <x:v>reviewed</x:v>
      </x:c>
    </x:row>
    <x:row r="220" ht="40" customHeight="1">
      <x:c r="A220" s="14" t="str">
        <x:v>place-sanctuary-samothrace-great-gods-sanctuary</x:v>
      </x:c>
      <x:c r="B220" s="14" t="str">
        <x:v>sanctuary-samothrace-great-gods-sanctuary</x:v>
      </x:c>
      <x:c r="C220" s="22" t="n">
        <x:v>40.50081363</x:v>
      </x:c>
      <x:c r="D220" s="22" t="n">
        <x:v>25.53017343</x:v>
      </x:c>
      <x:c r="E220" s="16" t="str">
        <x:v>POINT (25.53017343 40.50081363)</x:v>
      </x:c>
      <x:c r="F220" s="16" t="str">
        <x:v>{"coordinates":[25.53017343,40.50081363],"type":"Point"}</x:v>
      </x:c>
      <x:c r="G220" s="14" t="str">
        <x:v>site</x:v>
      </x:c>
      <x:c r="H220" s="14" t="str">
        <x:v>high</x:v>
      </x:c>
      <x:c r="I220" s="14" t="str">
        <x:v>exact</x:v>
      </x:c>
      <x:c r="J220" s="14" t="str">
        <x:v>Ελλάδα</x:v>
      </x:c>
      <x:c r="K220" s="14" t="str">
        <x:v>Greece</x:v>
      </x:c>
      <x:c r="L220" s="14" t="str">
        <x:v>GRC</x:v>
      </x:c>
      <x:c r="M220" s="14" t="str">
        <x:v>GR</x:v>
      </x:c>
      <x:c r="N220" s="14" t="str">
        <x:v>Paleopoli, Samothrace</x:v>
      </x:c>
      <x:c r="O220" s="14" t="str">
        <x:v>Pleiades representative point</x:v>
      </x:c>
      <x:c r="P220" s="16"/>
      <x:c r="Q220" s="16"/>
      <x:c r="R220" s="14" t="str">
        <x:v>src-pleiades-501511</x:v>
      </x:c>
      <x:c r="S220" s="14" t="str">
        <x:v>reviewed</x:v>
      </x:c>
    </x:row>
    <x:row r="221" ht="40" customHeight="1">
      <x:c r="A221" s="14" t="str">
        <x:v>place-sanctuary-sardis-artemis-sanctuary</x:v>
      </x:c>
      <x:c r="B221" s="14" t="str">
        <x:v>sanctuary-sardis-artemis-sanctuary</x:v>
      </x:c>
      <x:c r="C221" s="22" t="n">
        <x:v>38.47976506</x:v>
      </x:c>
      <x:c r="D221" s="22" t="n">
        <x:v>28.03117478</x:v>
      </x:c>
      <x:c r="E221" s="16" t="str">
        <x:v>POINT (28.03117478 38.47976506)</x:v>
      </x:c>
      <x:c r="F221" s="16" t="str">
        <x:v>{"coordinates":[28.03117478,38.47976506],"type":"Point"}</x:v>
      </x:c>
      <x:c r="G221" s="14" t="str">
        <x:v>site</x:v>
      </x:c>
      <x:c r="H221" s="14" t="str">
        <x:v>high</x:v>
      </x:c>
      <x:c r="I221" s="14" t="str">
        <x:v>exact</x:v>
      </x:c>
      <x:c r="J221" s="14" t="str">
        <x:v>Τουρκία</x:v>
      </x:c>
      <x:c r="K221" s="14" t="str">
        <x:v>Turkey</x:v>
      </x:c>
      <x:c r="L221" s="14" t="str">
        <x:v>TUR</x:v>
      </x:c>
      <x:c r="M221" s="14" t="str">
        <x:v>TR</x:v>
      </x:c>
      <x:c r="N221" s="14" t="str">
        <x:v>Sart</x:v>
      </x:c>
      <x:c r="O221" s="14" t="str">
        <x:v>Pleiades representative point</x:v>
      </x:c>
      <x:c r="P221" s="16"/>
      <x:c r="Q221" s="16"/>
      <x:c r="R221" s="14" t="str">
        <x:v>src-pleiades-66376536</x:v>
      </x:c>
      <x:c r="S221" s="14" t="str">
        <x:v>reviewed</x:v>
      </x:c>
    </x:row>
    <x:row r="222" ht="40" customHeight="1">
      <x:c r="A222" s="14" t="str">
        <x:v>place-sanctuary-segesta-doric-temple-sanctuary</x:v>
      </x:c>
      <x:c r="B222" s="14" t="str">
        <x:v>sanctuary-segesta-doric-temple-sanctuary</x:v>
      </x:c>
      <x:c r="C222" s="22" t="n">
        <x:v>37.94147</x:v>
      </x:c>
      <x:c r="D222" s="22" t="n">
        <x:v>12.832405</x:v>
      </x:c>
      <x:c r="E222" s="16" t="str">
        <x:v>POINT (12.832405 37.94147)</x:v>
      </x:c>
      <x:c r="F222" s="16" t="str">
        <x:v>{"coordinates":[12.832405,37.94147],"type":"Point"}</x:v>
      </x:c>
      <x:c r="G222" s="14" t="str">
        <x:v>site</x:v>
      </x:c>
      <x:c r="H222" s="14" t="str">
        <x:v>medium</x:v>
      </x:c>
      <x:c r="I222" s="14" t="str">
        <x:v>exact</x:v>
      </x:c>
      <x:c r="J222" s="14" t="str">
        <x:v>Ιταλία</x:v>
      </x:c>
      <x:c r="K222" s="14" t="str">
        <x:v>Italy</x:v>
      </x:c>
      <x:c r="L222" s="14" t="str">
        <x:v>ITA</x:v>
      </x:c>
      <x:c r="M222" s="14" t="str">
        <x:v>IT</x:v>
      </x:c>
      <x:c r="N222" s="14" t="str">
        <x:v>Calatafimi-Segesta</x:v>
      </x:c>
      <x:c r="O222" s="14" t="str">
        <x:v>Pleiades representative point</x:v>
      </x:c>
      <x:c r="P222" s="16"/>
      <x:c r="Q222" s="16"/>
      <x:c r="R222" s="14" t="str">
        <x:v>src-pleiades-963441586</x:v>
      </x:c>
      <x:c r="S222" s="14" t="str">
        <x:v>reviewed</x:v>
      </x:c>
    </x:row>
    <x:row r="223" ht="40" customHeight="1">
      <x:c r="A223" s="14" t="str">
        <x:v>place-sanctuary-selinous-demeter-malophoros-sanctuary</x:v>
      </x:c>
      <x:c r="B223" s="14" t="str">
        <x:v>sanctuary-selinous-demeter-malophoros-sanctuary</x:v>
      </x:c>
      <x:c r="C223" s="22" t="n">
        <x:v>37.58686508</x:v>
      </x:c>
      <x:c r="D223" s="22" t="n">
        <x:v>12.81694173</x:v>
      </x:c>
      <x:c r="E223" s="16" t="str">
        <x:v>POINT (12.81694173 37.58686508)</x:v>
      </x:c>
      <x:c r="F223" s="16" t="str">
        <x:v>{"coordinates":[12.81694173,37.58686508],"type":"Point"}</x:v>
      </x:c>
      <x:c r="G223" s="14" t="str">
        <x:v>site</x:v>
      </x:c>
      <x:c r="H223" s="14" t="str">
        <x:v>high</x:v>
      </x:c>
      <x:c r="I223" s="14" t="str">
        <x:v>exact</x:v>
      </x:c>
      <x:c r="J223" s="14" t="str">
        <x:v>Ιταλία</x:v>
      </x:c>
      <x:c r="K223" s="14" t="str">
        <x:v>Italy</x:v>
      </x:c>
      <x:c r="L223" s="14" t="str">
        <x:v>ITA</x:v>
      </x:c>
      <x:c r="M223" s="14" t="str">
        <x:v>IT</x:v>
      </x:c>
      <x:c r="N223" s="14" t="str">
        <x:v>Marinella di Selinunte</x:v>
      </x:c>
      <x:c r="O223" s="14" t="str">
        <x:v>Pleiades representative point</x:v>
      </x:c>
      <x:c r="P223" s="16"/>
      <x:c r="Q223" s="16"/>
      <x:c r="R223" s="14" t="str">
        <x:v>src-pleiades-502577471</x:v>
      </x:c>
      <x:c r="S223" s="14" t="str">
        <x:v>reviewed</x:v>
      </x:c>
    </x:row>
    <x:row r="224" ht="40" customHeight="1">
      <x:c r="A224" s="14" t="str">
        <x:v>place-sanctuary-siwa-amun-zeus-oracle</x:v>
      </x:c>
      <x:c r="B224" s="14" t="str">
        <x:v>sanctuary-siwa-amun-zeus-oracle</x:v>
      </x:c>
      <x:c r="C224" s="22" t="n">
        <x:v>29.2051738</x:v>
      </x:c>
      <x:c r="D224" s="22" t="n">
        <x:v>25.54350736</x:v>
      </x:c>
      <x:c r="E224" s="16" t="str">
        <x:v>POINT (25.54350736 29.2051738)</x:v>
      </x:c>
      <x:c r="F224" s="16" t="str">
        <x:v>{"coordinates":[25.54350736,29.2051738],"type":"Point"}</x:v>
      </x:c>
      <x:c r="G224" s="14" t="str">
        <x:v>site</x:v>
      </x:c>
      <x:c r="H224" s="14" t="str">
        <x:v>high</x:v>
      </x:c>
      <x:c r="I224" s="14" t="str">
        <x:v>exact</x:v>
      </x:c>
      <x:c r="J224" s="14" t="str">
        <x:v>Αίγυπτος</x:v>
      </x:c>
      <x:c r="K224" s="14" t="str">
        <x:v>Egypt</x:v>
      </x:c>
      <x:c r="L224" s="14" t="str">
        <x:v>EGY</x:v>
      </x:c>
      <x:c r="M224" s="14" t="str">
        <x:v>EG</x:v>
      </x:c>
      <x:c r="N224" s="14" t="str">
        <x:v>Aghurmi, Siwa Oasis</x:v>
      </x:c>
      <x:c r="O224" s="14" t="str">
        <x:v>Pleiades representative point</x:v>
      </x:c>
      <x:c r="P224" s="16"/>
      <x:c r="Q224" s="16"/>
      <x:c r="R224" s="14" t="str">
        <x:v>src-pleiades-716520</x:v>
      </x:c>
      <x:c r="S224" s="14" t="str">
        <x:v>reviewed</x:v>
      </x:c>
    </x:row>
    <x:row r="225" ht="40" customHeight="1">
      <x:c r="A225" s="14" t="str">
        <x:v>place-sanctuary-smintheion-apollo-sanctuary</x:v>
      </x:c>
      <x:c r="B225" s="14" t="str">
        <x:v>sanctuary-smintheion-apollo-sanctuary</x:v>
      </x:c>
      <x:c r="C225" s="22" t="n">
        <x:v>39.5362071</x:v>
      </x:c>
      <x:c r="D225" s="22" t="n">
        <x:v>26.1177415</x:v>
      </x:c>
      <x:c r="E225" s="16" t="str">
        <x:v>POINT (26.1177415 39.5362071)</x:v>
      </x:c>
      <x:c r="F225" s="16" t="str">
        <x:v>{"coordinates":[26.1177415,39.5362071],"type":"Point"}</x:v>
      </x:c>
      <x:c r="G225" s="14" t="str">
        <x:v>site</x:v>
      </x:c>
      <x:c r="H225" s="14" t="str">
        <x:v>high</x:v>
      </x:c>
      <x:c r="I225" s="14" t="str">
        <x:v>exact</x:v>
      </x:c>
      <x:c r="J225" s="14" t="str">
        <x:v>Τουρκία</x:v>
      </x:c>
      <x:c r="K225" s="14" t="str">
        <x:v>Turkey</x:v>
      </x:c>
      <x:c r="L225" s="14" t="str">
        <x:v>TUR</x:v>
      </x:c>
      <x:c r="M225" s="14" t="str">
        <x:v>TR</x:v>
      </x:c>
      <x:c r="N225" s="14" t="str">
        <x:v>Gülpınar</x:v>
      </x:c>
      <x:c r="O225" s="14" t="str">
        <x:v>Pleiades representative point</x:v>
      </x:c>
      <x:c r="P225" s="16"/>
      <x:c r="Q225" s="16"/>
      <x:c r="R225" s="14" t="str">
        <x:v>src-pleiades-550892</x:v>
      </x:c>
      <x:c r="S225" s="14" t="str">
        <x:v>reviewed</x:v>
      </x:c>
    </x:row>
    <x:row r="226" ht="40" customHeight="1">
      <x:c r="A226" s="14" t="str">
        <x:v>place-sanctuary-sounion-poseidon-sanctuary</x:v>
      </x:c>
      <x:c r="B226" s="14" t="str">
        <x:v>sanctuary-sounion-poseidon-sanctuary</x:v>
      </x:c>
      <x:c r="C226" s="22" t="n">
        <x:v>37.65021167</x:v>
      </x:c>
      <x:c r="D226" s="22" t="n">
        <x:v>24.02458985</x:v>
      </x:c>
      <x:c r="E226" s="16" t="str">
        <x:v>POINT (24.02458985 37.65021167)</x:v>
      </x:c>
      <x:c r="F226" s="16" t="str">
        <x:v>{"coordinates":[24.02458985,37.65021167],"type":"Point"}</x:v>
      </x:c>
      <x:c r="G226" s="14" t="str">
        <x:v>site</x:v>
      </x:c>
      <x:c r="H226" s="14" t="str">
        <x:v>high</x:v>
      </x:c>
      <x:c r="I226" s="14" t="str">
        <x:v>exact</x:v>
      </x:c>
      <x:c r="J226" s="14" t="str">
        <x:v>Ελλάδα</x:v>
      </x:c>
      <x:c r="K226" s="14" t="str">
        <x:v>Greece</x:v>
      </x:c>
      <x:c r="L226" s="14" t="str">
        <x:v>GRC</x:v>
      </x:c>
      <x:c r="M226" s="14" t="str">
        <x:v>GR</x:v>
      </x:c>
      <x:c r="N226" s="14" t="str">
        <x:v>Sounio</x:v>
      </x:c>
      <x:c r="O226" s="14" t="str">
        <x:v>Pleiades representative point</x:v>
      </x:c>
      <x:c r="P226" s="16"/>
      <x:c r="Q226" s="16"/>
      <x:c r="R226" s="14" t="str">
        <x:v>src-pleiades-580086</x:v>
      </x:c>
      <x:c r="S226" s="14" t="str">
        <x:v>reviewed</x:v>
      </x:c>
    </x:row>
    <x:row r="227" ht="40" customHeight="1">
      <x:c r="A227" s="14" t="str">
        <x:v>place-sanctuary-syracuse-apollo-sanctuary</x:v>
      </x:c>
      <x:c r="B227" s="14" t="str">
        <x:v>sanctuary-syracuse-apollo-sanctuary</x:v>
      </x:c>
      <x:c r="C227" s="22" t="n">
        <x:v>37.06391256</x:v>
      </x:c>
      <x:c r="D227" s="22" t="n">
        <x:v>15.29302272</x:v>
      </x:c>
      <x:c r="E227" s="16" t="str">
        <x:v>POINT (15.29302272 37.06391256)</x:v>
      </x:c>
      <x:c r="F227" s="16" t="str">
        <x:v>{"coordinates":[15.29302272,37.06391256],"type":"Point"}</x:v>
      </x:c>
      <x:c r="G227" s="14" t="str">
        <x:v>site</x:v>
      </x:c>
      <x:c r="H227" s="14" t="str">
        <x:v>high</x:v>
      </x:c>
      <x:c r="I227" s="14" t="str">
        <x:v>exact</x:v>
      </x:c>
      <x:c r="J227" s="14" t="str">
        <x:v>Ιταλία</x:v>
      </x:c>
      <x:c r="K227" s="14" t="str">
        <x:v>Italy</x:v>
      </x:c>
      <x:c r="L227" s="14" t="str">
        <x:v>ITA</x:v>
      </x:c>
      <x:c r="M227" s="14" t="str">
        <x:v>IT</x:v>
      </x:c>
      <x:c r="N227" s="14" t="str">
        <x:v>Ortygia, Syracuse</x:v>
      </x:c>
      <x:c r="O227" s="14" t="str">
        <x:v>Pleiades representative point</x:v>
      </x:c>
      <x:c r="P227" s="16"/>
      <x:c r="Q227" s="16"/>
      <x:c r="R227" s="14" t="str">
        <x:v>src-pleiades-418729933</x:v>
      </x:c>
      <x:c r="S227" s="14" t="str">
        <x:v>reviewed</x:v>
      </x:c>
    </x:row>
    <x:row r="228" ht="40" customHeight="1">
      <x:c r="A228" s="14" t="str">
        <x:v>place-sanctuary-tegea-athena-alea-sanctuary</x:v>
      </x:c>
      <x:c r="B228" s="14" t="str">
        <x:v>sanctuary-tegea-athena-alea-sanctuary</x:v>
      </x:c>
      <x:c r="C228" s="22" t="n">
        <x:v>37.45548013</x:v>
      </x:c>
      <x:c r="D228" s="22" t="n">
        <x:v>22.4203967</x:v>
      </x:c>
      <x:c r="E228" s="16" t="str">
        <x:v>POINT (22.4203967 37.45548013)</x:v>
      </x:c>
      <x:c r="F228" s="16" t="str">
        <x:v>{"coordinates":[22.4203967,37.45548013],"type":"Point"}</x:v>
      </x:c>
      <x:c r="G228" s="14" t="str">
        <x:v>site</x:v>
      </x:c>
      <x:c r="H228" s="14" t="str">
        <x:v>high</x:v>
      </x:c>
      <x:c r="I228" s="14" t="str">
        <x:v>exact</x:v>
      </x:c>
      <x:c r="J228" s="14" t="str">
        <x:v>Ελλάδα</x:v>
      </x:c>
      <x:c r="K228" s="14" t="str">
        <x:v>Greece</x:v>
      </x:c>
      <x:c r="L228" s="14" t="str">
        <x:v>GRC</x:v>
      </x:c>
      <x:c r="M228" s="14" t="str">
        <x:v>GR</x:v>
      </x:c>
      <x:c r="N228" s="14" t="str">
        <x:v>Alea, Tripoli</x:v>
      </x:c>
      <x:c r="O228" s="14" t="str">
        <x:v>Pleiades representative point</x:v>
      </x:c>
      <x:c r="P228" s="16"/>
      <x:c r="Q228" s="16"/>
      <x:c r="R228" s="14" t="str">
        <x:v>src-pleiades-372843530</x:v>
      </x:c>
      <x:c r="S228" s="14" t="str">
        <x:v>reviewed</x:v>
      </x:c>
    </x:row>
    <x:row r="229" ht="40" customHeight="1">
      <x:c r="A229" s="14" t="str">
        <x:v>place-sanctuary-thermon-apollo-sanctuary</x:v>
      </x:c>
      <x:c r="B229" s="14" t="str">
        <x:v>sanctuary-thermon-apollo-sanctuary</x:v>
      </x:c>
      <x:c r="C229" s="22" t="n">
        <x:v>38.55975222</x:v>
      </x:c>
      <x:c r="D229" s="22" t="n">
        <x:v>21.66809773</x:v>
      </x:c>
      <x:c r="E229" s="16" t="str">
        <x:v>POINT (21.66809773 38.55975222)</x:v>
      </x:c>
      <x:c r="F229" s="16" t="str">
        <x:v>{"coordinates":[21.66809773,38.55975222],"type":"Point"}</x:v>
      </x:c>
      <x:c r="G229" s="14" t="str">
        <x:v>site</x:v>
      </x:c>
      <x:c r="H229" s="14" t="str">
        <x:v>high</x:v>
      </x:c>
      <x:c r="I229" s="14" t="str">
        <x:v>exact</x:v>
      </x:c>
      <x:c r="J229" s="14" t="str">
        <x:v>Ελλάδα</x:v>
      </x:c>
      <x:c r="K229" s="14" t="str">
        <x:v>Greece</x:v>
      </x:c>
      <x:c r="L229" s="14" t="str">
        <x:v>GRC</x:v>
      </x:c>
      <x:c r="M229" s="14" t="str">
        <x:v>GR</x:v>
      </x:c>
      <x:c r="N229" s="14" t="str">
        <x:v>Thermo</x:v>
      </x:c>
      <x:c r="O229" s="14" t="str">
        <x:v>Pleiades representative point</x:v>
      </x:c>
      <x:c r="P229" s="16"/>
      <x:c r="Q229" s="16"/>
      <x:c r="R229" s="14" t="str">
        <x:v>src-pleiades-728329645</x:v>
      </x:c>
      <x:c r="S229" s="14" t="str">
        <x:v>reviewed</x:v>
      </x:c>
    </x:row>
    <x:row r="230" ht="40" customHeight="1">
      <x:c r="A230" s="14" t="str">
        <x:v>place-sanctuary-tinos-poseidon-amphitrite-sanctuary</x:v>
      </x:c>
      <x:c r="B230" s="14" t="str">
        <x:v>sanctuary-tinos-poseidon-amphitrite-sanctuary</x:v>
      </x:c>
      <x:c r="C230" s="22" t="n">
        <x:v>37.55168814</x:v>
      </x:c>
      <x:c r="D230" s="22" t="n">
        <x:v>25.14288517</x:v>
      </x:c>
      <x:c r="E230" s="16" t="str">
        <x:v>POINT (25.14288517 37.55168814)</x:v>
      </x:c>
      <x:c r="F230" s="16" t="str">
        <x:v>{"coordinates":[25.14288517,37.55168814],"type":"Point"}</x:v>
      </x:c>
      <x:c r="G230" s="14" t="str">
        <x:v>site</x:v>
      </x:c>
      <x:c r="H230" s="14" t="str">
        <x:v>high</x:v>
      </x:c>
      <x:c r="I230" s="14" t="str">
        <x:v>exact</x:v>
      </x:c>
      <x:c r="J230" s="14" t="str">
        <x:v>Ελλάδα</x:v>
      </x:c>
      <x:c r="K230" s="14" t="str">
        <x:v>Greece</x:v>
      </x:c>
      <x:c r="L230" s="14" t="str">
        <x:v>GRC</x:v>
      </x:c>
      <x:c r="M230" s="14" t="str">
        <x:v>GR</x:v>
      </x:c>
      <x:c r="N230" s="14" t="str">
        <x:v>Kionia, Tinos</x:v>
      </x:c>
      <x:c r="O230" s="14" t="str">
        <x:v>Pleiades representative point</x:v>
      </x:c>
      <x:c r="P230" s="16"/>
      <x:c r="Q230" s="16"/>
      <x:c r="R230" s="14" t="str">
        <x:v>src-pleiades-590006</x:v>
      </x:c>
      <x:c r="S230" s="14" t="str">
        <x:v>reviewed</x:v>
      </x:c>
    </x:row>
  </x:sheetData>
  <x:mergeCells>
    <x:mergeCell ref="A1:S1"/>
    <x:mergeCell ref="A2:S2"/>
  </x:mergeCells>
  <x:pageMargins left="0.7" right="0.7" top="0.75" bottom="0.75" header="0.3" footer="0.3"/>
  <x:tableParts count="1">
    <x:tablePart xmlns:r="http://schemas.openxmlformats.org/officeDocument/2006/relationships" r:id="R18431205065a44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36" hidden="0" customWidth="1"/>
    <x:col min="3" max="3" width="13" hidden="0" customWidth="1"/>
    <x:col min="4" max="4" width="13"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28" hidden="0" customWidth="1"/>
    <x:col min="12" max="12" width="44" hidden="0" customWidth="1"/>
    <x:col min="13" max="13" width="44" hidden="0" customWidth="1"/>
    <x:col min="14" max="14" width="24" hidden="0" customWidth="1"/>
    <x:col min="15" max="15" width="18" hidden="0" customWidth="1"/>
  </x:cols>
  <x:sheetData>
    <x:row r="1" ht="34" customHeight="1">
      <x:c r="A1" s="3" t="str">
        <x:v>Chronologies / Χρονολογίες</x:v>
      </x:c>
      <x:c r="B1" s="3"/>
      <x:c r="C1" s="3"/>
      <x:c r="D1" s="3"/>
      <x:c r="E1" s="3"/>
      <x:c r="F1" s="3"/>
      <x:c r="G1" s="3"/>
      <x:c r="H1" s="3"/>
      <x:c r="I1" s="3"/>
      <x:c r="J1" s="3"/>
      <x:c r="K1" s="3"/>
      <x:c r="L1" s="3"/>
      <x:c r="M1" s="3"/>
      <x:c r="N1" s="3"/>
      <x:c r="O1" s="3"/>
    </x:row>
    <x:row r="2" ht="28" customHeight="1">
      <x:c r="A2" s="8" t="str">
        <x:v>BCE years are negative, CE years positive, and year zero is prohibited. Display cutoffs are not destruction dates.</x:v>
      </x:c>
      <x:c r="B2" s="8"/>
      <x:c r="C2" s="8"/>
      <x:c r="D2" s="8"/>
      <x:c r="E2" s="8"/>
      <x:c r="F2" s="8"/>
      <x:c r="G2" s="8"/>
      <x:c r="H2" s="8"/>
      <x:c r="I2" s="8"/>
      <x:c r="J2" s="8"/>
      <x:c r="K2" s="8"/>
      <x:c r="L2" s="8"/>
      <x:c r="M2" s="8"/>
      <x:c r="N2" s="8"/>
      <x:c r="O2" s="8"/>
    </x:row>
    <x:row r="4" ht="30" customHeight="1">
      <x:c r="A4" s="13" t="str">
        <x:v>chronology_id</x:v>
      </x:c>
      <x:c r="B4" s="13" t="str">
        <x:v>entity_id</x:v>
      </x:c>
      <x:c r="C4" s="13" t="str">
        <x:v>start_year</x:v>
      </x:c>
      <x:c r="D4" s="13" t="str">
        <x:v>end_year</x:v>
      </x:c>
      <x:c r="E4" s="13" t="str">
        <x:v>start_precision</x:v>
      </x:c>
      <x:c r="F4" s="13" t="str">
        <x:v>end_precision</x:v>
      </x:c>
      <x:c r="G4" s="13" t="str">
        <x:v>temporal_precision</x:v>
      </x:c>
      <x:c r="H4" s="13" t="str">
        <x:v>chronology_basis</x:v>
      </x:c>
      <x:c r="I4" s="13" t="str">
        <x:v>display_cutoff</x:v>
      </x:c>
      <x:c r="J4" s="13" t="str">
        <x:v>label_el</x:v>
      </x:c>
      <x:c r="K4" s="13" t="str">
        <x:v>label_en</x:v>
      </x:c>
      <x:c r="L4" s="13" t="str">
        <x:v>note_el</x:v>
      </x:c>
      <x:c r="M4" s="13" t="str">
        <x:v>note_en</x:v>
      </x:c>
      <x:c r="N4" s="13" t="str">
        <x:v>source_id</x:v>
      </x:c>
      <x:c r="O4" s="13" t="str">
        <x:v>review_state</x:v>
      </x:c>
    </x:row>
    <x:row r="5" ht="38" customHeight="1">
      <x:c r="A5" s="14" t="str">
        <x:v>chronology-city-aegina-city-primary</x:v>
      </x:c>
      <x:c r="B5" s="14" t="str">
        <x:v>city-aegina-city</x:v>
      </x:c>
      <x:c r="C5" s="21" t="n">
        <x:v>-1000</x:v>
      </x:c>
      <x:c r="D5" s="21" t="n">
        <x:v>600</x:v>
      </x:c>
      <x:c r="E5" s="14" t="str">
        <x:v>approximate</x:v>
      </x:c>
      <x:c r="F5" s="14" t="str">
        <x:v>display_cutoff</x:v>
      </x:c>
      <x:c r="G5" s="14" t="str">
        <x:v>approximate</x:v>
      </x:c>
      <x:c r="H5" s="14" t="str">
        <x:v>occupation_window</x:v>
      </x:c>
      <x:c r="I5" s="20" t="b">
        <x:v>1</x:v>
      </x:c>
      <x:c r="J5" s="16" t="str">
        <x:v>1000 π.Χ.–600 μ.Χ. (όριο άτλαντα)</x:v>
      </x:c>
      <x:c r="K5" s="16" t="str">
        <x:v>1000 BCE–600 CE (atlas display cutoff)</x:v>
      </x:c>
      <x:c r="L5" s="16" t="str">
        <x:v>Το 600 μ.Χ. είναι το συμβατικό άνω όριο της παρούσας αρχαίας χρονογραμμής και όχι χρονολογία καταστροφής ή εγκατάλειψης.</x:v>
      </x:c>
      <x:c r="M5" s="16" t="str">
        <x:v>The year 600 CE is the conventional upper limit of this ancient timeline, not a date of destruction or abandonment.</x:v>
      </x:c>
      <x:c r="N5" s="14" t="str">
        <x:v>src-pleiades-579853</x:v>
      </x:c>
      <x:c r="O5" s="14" t="str">
        <x:v>reviewed</x:v>
      </x:c>
    </x:row>
    <x:row r="6" ht="38" customHeight="1">
      <x:c r="A6" s="14" t="str">
        <x:v>chronology-city-aigai-macedonia-primary</x:v>
      </x:c>
      <x:c r="B6" s="14" t="str">
        <x:v>city-aigai-macedonia</x:v>
      </x:c>
      <x:c r="C6" s="21" t="n">
        <x:v>-900</x:v>
      </x:c>
      <x:c r="D6" s="21" t="n">
        <x:v>600</x:v>
      </x:c>
      <x:c r="E6" s="14" t="str">
        <x:v>approximate</x:v>
      </x:c>
      <x:c r="F6" s="14" t="str">
        <x:v>display_cutoff</x:v>
      </x:c>
      <x:c r="G6" s="14" t="str">
        <x:v>approximate</x:v>
      </x:c>
      <x:c r="H6" s="14" t="str">
        <x:v>occupation_window</x:v>
      </x:c>
      <x:c r="I6" s="20" t="b">
        <x:v>1</x:v>
      </x:c>
      <x:c r="J6" s="16" t="str">
        <x:v>900 π.Χ.–600 μ.Χ. (όριο άτλαντα)</x:v>
      </x:c>
      <x:c r="K6" s="16" t="str">
        <x:v>900 BCE–600 CE (atlas display cutoff)</x:v>
      </x:c>
      <x:c r="L6" s="16" t="str">
        <x:v>Το 600 μ.Χ. είναι το συμβατικό άνω όριο της παρούσας αρχαίας χρονογραμμής και όχι χρονολογία καταστροφής ή εγκατάλειψης.</x:v>
      </x:c>
      <x:c r="M6" s="16" t="str">
        <x:v>The year 600 CE is the conventional upper limit of this ancient timeline, not a date of destruction or abandonment.</x:v>
      </x:c>
      <x:c r="N6" s="14" t="str">
        <x:v>src-pleiades-491512</x:v>
      </x:c>
      <x:c r="O6" s="14" t="str">
        <x:v>reviewed</x:v>
      </x:c>
    </x:row>
    <x:row r="7" ht="38" customHeight="1">
      <x:c r="A7" s="14" t="str">
        <x:v>chronology-city-alexandria-egypt-primary</x:v>
      </x:c>
      <x:c r="B7" s="14" t="str">
        <x:v>city-alexandria-egypt</x:v>
      </x:c>
      <x:c r="C7" s="21" t="n">
        <x:v>-331</x:v>
      </x:c>
      <x:c r="D7" s="21" t="n">
        <x:v>600</x:v>
      </x:c>
      <x:c r="E7" s="14" t="str">
        <x:v>approximate</x:v>
      </x:c>
      <x:c r="F7" s="14" t="str">
        <x:v>display_cutoff</x:v>
      </x:c>
      <x:c r="G7" s="14" t="str">
        <x:v>approximate</x:v>
      </x:c>
      <x:c r="H7" s="14" t="str">
        <x:v>occupation_window</x:v>
      </x:c>
      <x:c r="I7" s="20" t="b">
        <x:v>1</x:v>
      </x:c>
      <x:c r="J7" s="16" t="str">
        <x:v>331 π.Χ.–600 μ.Χ. (όριο άτλαντα)</x:v>
      </x:c>
      <x:c r="K7" s="16" t="str">
        <x:v>331 BCE–600 CE (atlas display cutoff)</x:v>
      </x:c>
      <x:c r="L7" s="16" t="str">
        <x:v>Το 600 μ.Χ. είναι το συμβατικό άνω όριο της παρούσας αρχαίας χρονογραμμής και όχι χρονολογία καταστροφής ή εγκατάλειψης.</x:v>
      </x:c>
      <x:c r="M7" s="16" t="str">
        <x:v>The year 600 CE is the conventional upper limit of this ancient timeline, not a date of destruction or abandonment.</x:v>
      </x:c>
      <x:c r="N7" s="14" t="str">
        <x:v>src-pleiades-727070</x:v>
      </x:c>
      <x:c r="O7" s="14" t="str">
        <x:v>reviewed</x:v>
      </x:c>
    </x:row>
    <x:row r="8" ht="38" customHeight="1">
      <x:c r="A8" s="14" t="str">
        <x:v>chronology-city-antioch-orontes-primary</x:v>
      </x:c>
      <x:c r="B8" s="14" t="str">
        <x:v>city-antioch-orontes</x:v>
      </x:c>
      <x:c r="C8" s="21" t="n">
        <x:v>-300</x:v>
      </x:c>
      <x:c r="D8" s="21" t="n">
        <x:v>600</x:v>
      </x:c>
      <x:c r="E8" s="14" t="str">
        <x:v>approximate</x:v>
      </x:c>
      <x:c r="F8" s="14" t="str">
        <x:v>display_cutoff</x:v>
      </x:c>
      <x:c r="G8" s="14" t="str">
        <x:v>approximate</x:v>
      </x:c>
      <x:c r="H8" s="14" t="str">
        <x:v>occupation_window</x:v>
      </x:c>
      <x:c r="I8" s="20" t="b">
        <x:v>1</x:v>
      </x:c>
      <x:c r="J8" s="16" t="str">
        <x:v>300 π.Χ.–600 μ.Χ. (όριο άτλαντα)</x:v>
      </x:c>
      <x:c r="K8" s="16" t="str">
        <x:v>300 BCE–600 CE (atlas display cutoff)</x:v>
      </x:c>
      <x:c r="L8" s="16" t="str">
        <x:v>Το 600 μ.Χ. είναι το συμβατικό άνω όριο της παρούσας αρχαίας χρονογραμμής και όχι χρονολογία καταστροφής ή εγκατάλειψης.</x:v>
      </x:c>
      <x:c r="M8" s="16" t="str">
        <x:v>The year 600 CE is the conventional upper limit of this ancient timeline, not a date of destruction or abandonment.</x:v>
      </x:c>
      <x:c r="N8" s="14" t="str">
        <x:v>src-pleiades-658381</x:v>
      </x:c>
      <x:c r="O8" s="14" t="str">
        <x:v>reviewed</x:v>
      </x:c>
    </x:row>
    <x:row r="9" ht="38" customHeight="1">
      <x:c r="A9" s="14" t="str">
        <x:v>chronology-city-argos-primary</x:v>
      </x:c>
      <x:c r="B9" s="14" t="str">
        <x:v>city-argos</x:v>
      </x:c>
      <x:c r="C9" s="21" t="n">
        <x:v>-1100</x:v>
      </x:c>
      <x:c r="D9" s="21" t="n">
        <x:v>600</x:v>
      </x:c>
      <x:c r="E9" s="14" t="str">
        <x:v>approximate</x:v>
      </x:c>
      <x:c r="F9" s="14" t="str">
        <x:v>display_cutoff</x:v>
      </x:c>
      <x:c r="G9" s="14" t="str">
        <x:v>approximate</x:v>
      </x:c>
      <x:c r="H9" s="14" t="str">
        <x:v>occupation_window</x:v>
      </x:c>
      <x:c r="I9" s="20" t="b">
        <x:v>1</x:v>
      </x:c>
      <x:c r="J9" s="16" t="str">
        <x:v>1100 π.Χ.–600 μ.Χ. (όριο άτλαντα)</x:v>
      </x:c>
      <x:c r="K9" s="16" t="str">
        <x:v>1100 BCE–600 CE (atlas display cutoff)</x:v>
      </x:c>
      <x:c r="L9" s="16" t="str">
        <x:v>Το 600 μ.Χ. είναι το συμβατικό άνω όριο της παρούσας αρχαίας χρονογραμμής και όχι χρονολογία καταστροφής ή εγκατάλειψης.</x:v>
      </x:c>
      <x:c r="M9" s="16" t="str">
        <x:v>The year 600 CE is the conventional upper limit of this ancient timeline, not a date of destruction or abandonment.</x:v>
      </x:c>
      <x:c r="N9" s="14" t="str">
        <x:v>src-pleiades-570106</x:v>
      </x:c>
      <x:c r="O9" s="14" t="str">
        <x:v>reviewed</x:v>
      </x:c>
    </x:row>
    <x:row r="10" ht="38" customHeight="1">
      <x:c r="A10" s="14" t="str">
        <x:v>chronology-city-athens-attica-primary</x:v>
      </x:c>
      <x:c r="B10" s="14" t="str">
        <x:v>city-athens-attica</x:v>
      </x:c>
      <x:c r="C10" s="21" t="n">
        <x:v>-1400</x:v>
      </x:c>
      <x:c r="D10" s="21" t="n">
        <x:v>600</x:v>
      </x:c>
      <x:c r="E10" s="14" t="str">
        <x:v>approximate</x:v>
      </x:c>
      <x:c r="F10" s="14" t="str">
        <x:v>display_cutoff</x:v>
      </x:c>
      <x:c r="G10" s="14" t="str">
        <x:v>approximate</x:v>
      </x:c>
      <x:c r="H10" s="14" t="str">
        <x:v>occupation_window</x:v>
      </x:c>
      <x:c r="I10" s="20" t="b">
        <x:v>1</x:v>
      </x:c>
      <x:c r="J10" s="16" t="str">
        <x:v>1400 π.Χ.–600 μ.Χ. (όριο άτλαντα)</x:v>
      </x:c>
      <x:c r="K10" s="16" t="str">
        <x:v>1400 BCE–600 CE (atlas display cutoff)</x:v>
      </x:c>
      <x:c r="L10" s="16" t="str">
        <x:v>Το 600 μ.Χ. είναι το συμβατικό άνω όριο της παρούσας αρχαίας χρονογραμμής και όχι χρονολογία καταστροφής ή εγκατάλειψης.</x:v>
      </x:c>
      <x:c r="M10" s="16" t="str">
        <x:v>The year 600 CE is the conventional upper limit of this ancient timeline, not a date of destruction or abandonment.</x:v>
      </x:c>
      <x:c r="N10" s="14" t="str">
        <x:v>src-pleiades-579885</x:v>
      </x:c>
      <x:c r="O10" s="14" t="str">
        <x:v>reviewed</x:v>
      </x:c>
    </x:row>
    <x:row r="11" ht="38" customHeight="1">
      <x:c r="A11" s="14" t="str">
        <x:v>chronology-city-chalcis-euboea-primary</x:v>
      </x:c>
      <x:c r="B11" s="14" t="str">
        <x:v>city-chalcis-euboea</x:v>
      </x:c>
      <x:c r="C11" s="21" t="n">
        <x:v>-900</x:v>
      </x:c>
      <x:c r="D11" s="21" t="n">
        <x:v>600</x:v>
      </x:c>
      <x:c r="E11" s="14" t="str">
        <x:v>approximate</x:v>
      </x:c>
      <x:c r="F11" s="14" t="str">
        <x:v>display_cutoff</x:v>
      </x:c>
      <x:c r="G11" s="14" t="str">
        <x:v>approximate</x:v>
      </x:c>
      <x:c r="H11" s="14" t="str">
        <x:v>occupation_window</x:v>
      </x:c>
      <x:c r="I11" s="20" t="b">
        <x:v>1</x:v>
      </x:c>
      <x:c r="J11" s="16" t="str">
        <x:v>900 π.Χ.–600 μ.Χ. (όριο άτλαντα)</x:v>
      </x:c>
      <x:c r="K11" s="16" t="str">
        <x:v>900 BCE–600 CE (atlas display cutoff)</x:v>
      </x:c>
      <x:c r="L11" s="16" t="str">
        <x:v>Το 600 μ.Χ. είναι το συμβατικό άνω όριο της παρούσας αρχαίας χρονογραμμής και όχι χρονολογία καταστροφής ή εγκατάλειψης.</x:v>
      </x:c>
      <x:c r="M11" s="16" t="str">
        <x:v>The year 600 CE is the conventional upper limit of this ancient timeline, not a date of destruction or abandonment.</x:v>
      </x:c>
      <x:c r="N11" s="14" t="str">
        <x:v>src-pleiades-540703</x:v>
      </x:c>
      <x:c r="O11" s="14" t="str">
        <x:v>reviewed</x:v>
      </x:c>
    </x:row>
    <x:row r="12" ht="38" customHeight="1">
      <x:c r="A12" s="14" t="str">
        <x:v>chronology-city-chios-city-primary</x:v>
      </x:c>
      <x:c r="B12" s="14" t="str">
        <x:v>city-chios-city</x:v>
      </x:c>
      <x:c r="C12" s="21" t="n">
        <x:v>-1000</x:v>
      </x:c>
      <x:c r="D12" s="21" t="n">
        <x:v>600</x:v>
      </x:c>
      <x:c r="E12" s="14" t="str">
        <x:v>approximate</x:v>
      </x:c>
      <x:c r="F12" s="14" t="str">
        <x:v>display_cutoff</x:v>
      </x:c>
      <x:c r="G12" s="14" t="str">
        <x:v>approximate</x:v>
      </x:c>
      <x:c r="H12" s="14" t="str">
        <x:v>occupation_window</x:v>
      </x:c>
      <x:c r="I12" s="20" t="b">
        <x:v>1</x:v>
      </x:c>
      <x:c r="J12" s="16" t="str">
        <x:v>1000 π.Χ.–600 μ.Χ. (όριο άτλαντα)</x:v>
      </x:c>
      <x:c r="K12" s="16" t="str">
        <x:v>1000 BCE–600 CE (atlas display cutoff)</x:v>
      </x:c>
      <x:c r="L12" s="16" t="str">
        <x:v>Το 600 μ.Χ. είναι το συμβατικό άνω όριο της παρούσας αρχαίας χρονογραμμής και όχι χρονολογία καταστροφής ή εγκατάλειψης.</x:v>
      </x:c>
      <x:c r="M12" s="16" t="str">
        <x:v>The year 600 CE is the conventional upper limit of this ancient timeline, not a date of destruction or abandonment.</x:v>
      </x:c>
      <x:c r="N12" s="14" t="str">
        <x:v>src-pleiades-550496</x:v>
      </x:c>
      <x:c r="O12" s="14" t="str">
        <x:v>reviewed</x:v>
      </x:c>
    </x:row>
    <x:row r="13" ht="38" customHeight="1">
      <x:c r="A13" s="14" t="str">
        <x:v>chronology-city-corinth-primary</x:v>
      </x:c>
      <x:c r="B13" s="14" t="str">
        <x:v>city-corinth</x:v>
      </x:c>
      <x:c r="C13" s="21" t="n">
        <x:v>-900</x:v>
      </x:c>
      <x:c r="D13" s="21" t="n">
        <x:v>600</x:v>
      </x:c>
      <x:c r="E13" s="14" t="str">
        <x:v>approximate</x:v>
      </x:c>
      <x:c r="F13" s="14" t="str">
        <x:v>display_cutoff</x:v>
      </x:c>
      <x:c r="G13" s="14" t="str">
        <x:v>approximate</x:v>
      </x:c>
      <x:c r="H13" s="14" t="str">
        <x:v>occupation_window</x:v>
      </x:c>
      <x:c r="I13" s="20" t="b">
        <x:v>1</x:v>
      </x:c>
      <x:c r="J13" s="16" t="str">
        <x:v>900 π.Χ.–600 μ.Χ. (όριο άτλαντα)</x:v>
      </x:c>
      <x:c r="K13" s="16" t="str">
        <x:v>900 BCE–600 CE (atlas display cutoff)</x:v>
      </x:c>
      <x:c r="L13" s="16" t="str">
        <x:v>Το 600 μ.Χ. είναι το συμβατικό άνω όριο της παρούσας αρχαίας χρονογραμμής και όχι χρονολογία καταστροφής ή εγκατάλειψης.</x:v>
      </x:c>
      <x:c r="M13" s="16" t="str">
        <x:v>The year 600 CE is the conventional upper limit of this ancient timeline, not a date of destruction or abandonment.</x:v>
      </x:c>
      <x:c r="N13" s="14" t="str">
        <x:v>src-pleiades-570182</x:v>
      </x:c>
      <x:c r="O13" s="14" t="str">
        <x:v>reviewed</x:v>
      </x:c>
    </x:row>
    <x:row r="14" ht="38" customHeight="1">
      <x:c r="A14" s="14" t="str">
        <x:v>chronology-city-demetrias-primary</x:v>
      </x:c>
      <x:c r="B14" s="14" t="str">
        <x:v>city-demetrias</x:v>
      </x:c>
      <x:c r="C14" s="21" t="n">
        <x:v>-294</x:v>
      </x:c>
      <x:c r="D14" s="21" t="n">
        <x:v>600</x:v>
      </x:c>
      <x:c r="E14" s="14" t="str">
        <x:v>approximate</x:v>
      </x:c>
      <x:c r="F14" s="14" t="str">
        <x:v>display_cutoff</x:v>
      </x:c>
      <x:c r="G14" s="14" t="str">
        <x:v>approximate</x:v>
      </x:c>
      <x:c r="H14" s="14" t="str">
        <x:v>occupation_window</x:v>
      </x:c>
      <x:c r="I14" s="20" t="b">
        <x:v>1</x:v>
      </x:c>
      <x:c r="J14" s="16" t="str">
        <x:v>294 π.Χ.–600 μ.Χ. (όριο άτλαντα)</x:v>
      </x:c>
      <x:c r="K14" s="16" t="str">
        <x:v>294 BCE–600 CE (atlas display cutoff)</x:v>
      </x:c>
      <x:c r="L14" s="16" t="str">
        <x:v>Το 600 μ.Χ. είναι το συμβατικό άνω όριο της παρούσας αρχαίας χρονογραμμής και όχι χρονολογία καταστροφής ή εγκατάλειψης.</x:v>
      </x:c>
      <x:c r="M14" s="16" t="str">
        <x:v>The year 600 CE is the conventional upper limit of this ancient timeline, not a date of destruction or abandonment.</x:v>
      </x:c>
      <x:c r="N14" s="14" t="str">
        <x:v>src-pleiades-540730</x:v>
      </x:c>
      <x:c r="O14" s="14" t="str">
        <x:v>reviewed</x:v>
      </x:c>
    </x:row>
    <x:row r="15" ht="38" customHeight="1">
      <x:c r="A15" s="14" t="str">
        <x:v>chronology-city-dion-primary</x:v>
      </x:c>
      <x:c r="B15" s="14" t="str">
        <x:v>city-dion</x:v>
      </x:c>
      <x:c r="C15" s="21" t="n">
        <x:v>-500</x:v>
      </x:c>
      <x:c r="D15" s="21" t="n">
        <x:v>600</x:v>
      </x:c>
      <x:c r="E15" s="14" t="str">
        <x:v>approximate</x:v>
      </x:c>
      <x:c r="F15" s="14" t="str">
        <x:v>display_cutoff</x:v>
      </x:c>
      <x:c r="G15" s="14" t="str">
        <x:v>approximate</x:v>
      </x:c>
      <x:c r="H15" s="14" t="str">
        <x:v>occupation_window</x:v>
      </x:c>
      <x:c r="I15" s="20" t="b">
        <x:v>1</x:v>
      </x:c>
      <x:c r="J15" s="16" t="str">
        <x:v>500 π.Χ.–600 μ.Χ. (όριο άτλαντα)</x:v>
      </x:c>
      <x:c r="K15" s="16" t="str">
        <x:v>500 BCE–600 CE (atlas display cutoff)</x:v>
      </x:c>
      <x:c r="L15" s="16" t="str">
        <x:v>Το 600 μ.Χ. είναι το συμβατικό άνω όριο της παρούσας αρχαίας χρονογραμμής και όχι χρονολογία καταστροφής ή εγκατάλειψης.</x:v>
      </x:c>
      <x:c r="M15" s="16" t="str">
        <x:v>The year 600 CE is the conventional upper limit of this ancient timeline, not a date of destruction or abandonment.</x:v>
      </x:c>
      <x:c r="N15" s="14" t="str">
        <x:v>src-pleiades-491572</x:v>
      </x:c>
      <x:c r="O15" s="14" t="str">
        <x:v>reviewed</x:v>
      </x:c>
    </x:row>
    <x:row r="16" ht="38" customHeight="1">
      <x:c r="A16" s="14" t="str">
        <x:v>chronology-city-epidaurus-city-primary</x:v>
      </x:c>
      <x:c r="B16" s="14" t="str">
        <x:v>city-epidaurus-city</x:v>
      </x:c>
      <x:c r="C16" s="21" t="n">
        <x:v>-800</x:v>
      </x:c>
      <x:c r="D16" s="21" t="n">
        <x:v>600</x:v>
      </x:c>
      <x:c r="E16" s="14" t="str">
        <x:v>approximate</x:v>
      </x:c>
      <x:c r="F16" s="14" t="str">
        <x:v>display_cutoff</x:v>
      </x:c>
      <x:c r="G16" s="14" t="str">
        <x:v>approximate</x:v>
      </x:c>
      <x:c r="H16" s="14" t="str">
        <x:v>occupation_window</x:v>
      </x:c>
      <x:c r="I16" s="20" t="b">
        <x:v>1</x:v>
      </x:c>
      <x:c r="J16" s="16" t="str">
        <x:v>800 π.Χ.–600 μ.Χ. (όριο άτλαντα)</x:v>
      </x:c>
      <x:c r="K16" s="16" t="str">
        <x:v>800 BCE–600 CE (atlas display cutoff)</x:v>
      </x:c>
      <x:c r="L16" s="16" t="str">
        <x:v>Το 600 μ.Χ. είναι το συμβατικό άνω όριο της παρούσας αρχαίας χρονογραμμής και όχι χρονολογία καταστροφής ή εγκατάλειψης.</x:v>
      </x:c>
      <x:c r="M16" s="16" t="str">
        <x:v>The year 600 CE is the conventional upper limit of this ancient timeline, not a date of destruction or abandonment.</x:v>
      </x:c>
      <x:c r="N16" s="14" t="str">
        <x:v>src-pleiades-570228</x:v>
      </x:c>
      <x:c r="O16" s="14" t="str">
        <x:v>reviewed</x:v>
      </x:c>
    </x:row>
    <x:row r="17" ht="38" customHeight="1">
      <x:c r="A17" s="14" t="str">
        <x:v>chronology-city-eretria-euboea-primary</x:v>
      </x:c>
      <x:c r="B17" s="14" t="str">
        <x:v>city-eretria-euboea</x:v>
      </x:c>
      <x:c r="C17" s="21" t="n">
        <x:v>-850</x:v>
      </x:c>
      <x:c r="D17" s="21" t="n">
        <x:v>600</x:v>
      </x:c>
      <x:c r="E17" s="14" t="str">
        <x:v>approximate</x:v>
      </x:c>
      <x:c r="F17" s="14" t="str">
        <x:v>display_cutoff</x:v>
      </x:c>
      <x:c r="G17" s="14" t="str">
        <x:v>approximate</x:v>
      </x:c>
      <x:c r="H17" s="14" t="str">
        <x:v>occupation_window</x:v>
      </x:c>
      <x:c r="I17" s="20" t="b">
        <x:v>1</x:v>
      </x:c>
      <x:c r="J17" s="16" t="str">
        <x:v>850 π.Χ.–600 μ.Χ. (όριο άτλαντα)</x:v>
      </x:c>
      <x:c r="K17" s="16" t="str">
        <x:v>850 BCE–600 CE (atlas display cutoff)</x:v>
      </x:c>
      <x:c r="L17" s="16" t="str">
        <x:v>Το 600 μ.Χ. είναι το συμβατικό άνω όριο της παρούσας αρχαίας χρονογραμμής και όχι χρονολογία καταστροφής ή εγκατάλειψης.</x:v>
      </x:c>
      <x:c r="M17" s="16" t="str">
        <x:v>The year 600 CE is the conventional upper limit of this ancient timeline, not a date of destruction or abandonment.</x:v>
      </x:c>
      <x:c r="N17" s="14" t="str">
        <x:v>src-pleiades-579925</x:v>
      </x:c>
      <x:c r="O17" s="14" t="str">
        <x:v>reviewed</x:v>
      </x:c>
    </x:row>
    <x:row r="18" ht="38" customHeight="1">
      <x:c r="A18" s="14" t="str">
        <x:v>chronology-city-gortyn-primary</x:v>
      </x:c>
      <x:c r="B18" s="14" t="str">
        <x:v>city-gortyn</x:v>
      </x:c>
      <x:c r="C18" s="21" t="n">
        <x:v>-1000</x:v>
      </x:c>
      <x:c r="D18" s="21" t="n">
        <x:v>600</x:v>
      </x:c>
      <x:c r="E18" s="14" t="str">
        <x:v>approximate</x:v>
      </x:c>
      <x:c r="F18" s="14" t="str">
        <x:v>display_cutoff</x:v>
      </x:c>
      <x:c r="G18" s="14" t="str">
        <x:v>approximate</x:v>
      </x:c>
      <x:c r="H18" s="14" t="str">
        <x:v>occupation_window</x:v>
      </x:c>
      <x:c r="I18" s="20" t="b">
        <x:v>1</x:v>
      </x:c>
      <x:c r="J18" s="16" t="str">
        <x:v>1000 π.Χ.–600 μ.Χ. (όριο άτλαντα)</x:v>
      </x:c>
      <x:c r="K18" s="16" t="str">
        <x:v>1000 BCE–600 CE (atlas display cutoff)</x:v>
      </x:c>
      <x:c r="L18" s="16" t="str">
        <x:v>Το 600 μ.Χ. είναι το συμβατικό άνω όριο της παρούσας αρχαίας χρονογραμμής και όχι χρονολογία καταστροφής ή εγκατάλειψης.</x:v>
      </x:c>
      <x:c r="M18" s="16" t="str">
        <x:v>The year 600 CE is the conventional upper limit of this ancient timeline, not a date of destruction or abandonment.</x:v>
      </x:c>
      <x:c r="N18" s="14" t="str">
        <x:v>src-pleiades-589796</x:v>
      </x:c>
      <x:c r="O18" s="14" t="str">
        <x:v>reviewed</x:v>
      </x:c>
    </x:row>
    <x:row r="19" ht="38" customHeight="1">
      <x:c r="A19" s="14" t="str">
        <x:v>chronology-city-knossos-primary</x:v>
      </x:c>
      <x:c r="B19" s="14" t="str">
        <x:v>city-knossos</x:v>
      </x:c>
      <x:c r="C19" s="21" t="n">
        <x:v>-2000</x:v>
      </x:c>
      <x:c r="D19" s="21" t="n">
        <x:v>600</x:v>
      </x:c>
      <x:c r="E19" s="14" t="str">
        <x:v>approximate</x:v>
      </x:c>
      <x:c r="F19" s="14" t="str">
        <x:v>display_cutoff</x:v>
      </x:c>
      <x:c r="G19" s="14" t="str">
        <x:v>approximate</x:v>
      </x:c>
      <x:c r="H19" s="14" t="str">
        <x:v>occupation_window</x:v>
      </x:c>
      <x:c r="I19" s="20" t="b">
        <x:v>1</x:v>
      </x:c>
      <x:c r="J19" s="16" t="str">
        <x:v>2000 π.Χ.–600 μ.Χ. (όριο άτλαντα)</x:v>
      </x:c>
      <x:c r="K19" s="16" t="str">
        <x:v>2000 BCE–600 CE (atlas display cutoff)</x:v>
      </x:c>
      <x:c r="L19" s="16" t="str">
        <x:v>Το 600 μ.Χ. είναι το συμβατικό άνω όριο της παρούσας αρχαίας χρονογραμμής και όχι χρονολογία καταστροφής ή εγκατάλειψης.</x:v>
      </x:c>
      <x:c r="M19" s="16" t="str">
        <x:v>The year 600 CE is the conventional upper limit of this ancient timeline, not a date of destruction or abandonment.</x:v>
      </x:c>
      <x:c r="N19" s="14" t="str">
        <x:v>src-pleiades-589872</x:v>
      </x:c>
      <x:c r="O19" s="14" t="str">
        <x:v>reviewed</x:v>
      </x:c>
    </x:row>
    <x:row r="20" ht="38" customHeight="1">
      <x:c r="A20" s="14" t="str">
        <x:v>chronology-city-kos-city-primary</x:v>
      </x:c>
      <x:c r="B20" s="14" t="str">
        <x:v>city-kos-city</x:v>
      </x:c>
      <x:c r="C20" s="21" t="n">
        <x:v>-366</x:v>
      </x:c>
      <x:c r="D20" s="21" t="n">
        <x:v>600</x:v>
      </x:c>
      <x:c r="E20" s="14" t="str">
        <x:v>approximate</x:v>
      </x:c>
      <x:c r="F20" s="14" t="str">
        <x:v>display_cutoff</x:v>
      </x:c>
      <x:c r="G20" s="14" t="str">
        <x:v>approximate</x:v>
      </x:c>
      <x:c r="H20" s="14" t="str">
        <x:v>occupation_window</x:v>
      </x:c>
      <x:c r="I20" s="20" t="b">
        <x:v>1</x:v>
      </x:c>
      <x:c r="J20" s="16" t="str">
        <x:v>366 π.Χ.–600 μ.Χ. (όριο άτλαντα)</x:v>
      </x:c>
      <x:c r="K20" s="16" t="str">
        <x:v>366 BCE–600 CE (atlas display cutoff)</x:v>
      </x:c>
      <x:c r="L20" s="16" t="str">
        <x:v>Το 600 μ.Χ. είναι το συμβατικό άνω όριο της παρούσας αρχαίας χρονογραμμής και όχι χρονολογία καταστροφής ή εγκατάλειψης.</x:v>
      </x:c>
      <x:c r="M20" s="16" t="str">
        <x:v>The year 600 CE is the conventional upper limit of this ancient timeline, not a date of destruction or abandonment.</x:v>
      </x:c>
      <x:c r="N20" s="14" t="str">
        <x:v>src-pleiades-599728</x:v>
      </x:c>
      <x:c r="O20" s="14" t="str">
        <x:v>reviewed</x:v>
      </x:c>
    </x:row>
    <x:row r="21" ht="38" customHeight="1">
      <x:c r="A21" s="14" t="str">
        <x:v>chronology-city-larissa-thessaly-primary</x:v>
      </x:c>
      <x:c r="B21" s="14" t="str">
        <x:v>city-larissa-thessaly</x:v>
      </x:c>
      <x:c r="C21" s="21" t="n">
        <x:v>-1000</x:v>
      </x:c>
      <x:c r="D21" s="21" t="n">
        <x:v>600</x:v>
      </x:c>
      <x:c r="E21" s="14" t="str">
        <x:v>approximate</x:v>
      </x:c>
      <x:c r="F21" s="14" t="str">
        <x:v>display_cutoff</x:v>
      </x:c>
      <x:c r="G21" s="14" t="str">
        <x:v>approximate</x:v>
      </x:c>
      <x:c r="H21" s="14" t="str">
        <x:v>occupation_window</x:v>
      </x:c>
      <x:c r="I21" s="20" t="b">
        <x:v>1</x:v>
      </x:c>
      <x:c r="J21" s="16" t="str">
        <x:v>1000 π.Χ.–600 μ.Χ. (όριο άτλαντα)</x:v>
      </x:c>
      <x:c r="K21" s="16" t="str">
        <x:v>1000 BCE–600 CE (atlas display cutoff)</x:v>
      </x:c>
      <x:c r="L21" s="16" t="str">
        <x:v>Το 600 μ.Χ. είναι το συμβατικό άνω όριο της παρούσας αρχαίας χρονογραμμής και όχι χρονολογία καταστροφής ή εγκατάλειψης.</x:v>
      </x:c>
      <x:c r="M21" s="16" t="str">
        <x:v>The year 600 CE is the conventional upper limit of this ancient timeline, not a date of destruction or abandonment.</x:v>
      </x:c>
      <x:c r="N21" s="14" t="str">
        <x:v>src-pleiades-540905</x:v>
      </x:c>
      <x:c r="O21" s="14" t="str">
        <x:v>reviewed</x:v>
      </x:c>
    </x:row>
    <x:row r="22" ht="38" customHeight="1">
      <x:c r="A22" s="14" t="str">
        <x:v>chronology-city-lindos-primary</x:v>
      </x:c>
      <x:c r="B22" s="14" t="str">
        <x:v>city-lindos</x:v>
      </x:c>
      <x:c r="C22" s="21" t="n">
        <x:v>-1000</x:v>
      </x:c>
      <x:c r="D22" s="21" t="n">
        <x:v>600</x:v>
      </x:c>
      <x:c r="E22" s="14" t="str">
        <x:v>approximate</x:v>
      </x:c>
      <x:c r="F22" s="14" t="str">
        <x:v>display_cutoff</x:v>
      </x:c>
      <x:c r="G22" s="14" t="str">
        <x:v>approximate</x:v>
      </x:c>
      <x:c r="H22" s="14" t="str">
        <x:v>occupation_window</x:v>
      </x:c>
      <x:c r="I22" s="20" t="b">
        <x:v>1</x:v>
      </x:c>
      <x:c r="J22" s="16" t="str">
        <x:v>1000 π.Χ.–600 μ.Χ. (όριο άτλαντα)</x:v>
      </x:c>
      <x:c r="K22" s="16" t="str">
        <x:v>1000 BCE–600 CE (atlas display cutoff)</x:v>
      </x:c>
      <x:c r="L22" s="16" t="str">
        <x:v>Το 600 μ.Χ. είναι το συμβατικό άνω όριο της παρούσας αρχαίας χρονογραμμής και όχι χρονολογία καταστροφής ή εγκατάλειψης.</x:v>
      </x:c>
      <x:c r="M22" s="16" t="str">
        <x:v>The year 600 CE is the conventional upper limit of this ancient timeline, not a date of destruction or abandonment.</x:v>
      </x:c>
      <x:c r="N22" s="14" t="str">
        <x:v>src-pleiades-589913</x:v>
      </x:c>
      <x:c r="O22" s="14" t="str">
        <x:v>reviewed</x:v>
      </x:c>
    </x:row>
    <x:row r="23" ht="38" customHeight="1">
      <x:c r="A23" s="14" t="str">
        <x:v>chronology-city-mantinea-primary</x:v>
      </x:c>
      <x:c r="B23" s="14" t="str">
        <x:v>city-mantinea</x:v>
      </x:c>
      <x:c r="C23" s="21" t="n">
        <x:v>-500</x:v>
      </x:c>
      <x:c r="D23" s="21" t="n">
        <x:v>600</x:v>
      </x:c>
      <x:c r="E23" s="14" t="str">
        <x:v>approximate</x:v>
      </x:c>
      <x:c r="F23" s="14" t="str">
        <x:v>display_cutoff</x:v>
      </x:c>
      <x:c r="G23" s="14" t="str">
        <x:v>approximate</x:v>
      </x:c>
      <x:c r="H23" s="14" t="str">
        <x:v>occupation_window</x:v>
      </x:c>
      <x:c r="I23" s="20" t="b">
        <x:v>1</x:v>
      </x:c>
      <x:c r="J23" s="16" t="str">
        <x:v>500 π.Χ.–600 μ.Χ. (όριο άτλαντα)</x:v>
      </x:c>
      <x:c r="K23" s="16" t="str">
        <x:v>500 BCE–600 CE (atlas display cutoff)</x:v>
      </x:c>
      <x:c r="L23" s="16" t="str">
        <x:v>Το 600 μ.Χ. είναι το συμβατικό άνω όριο της παρούσας αρχαίας χρονογραμμής και όχι χρονολογία καταστροφής ή εγκατάλειψης.</x:v>
      </x:c>
      <x:c r="M23" s="16" t="str">
        <x:v>The year 600 CE is the conventional upper limit of this ancient timeline, not a date of destruction or abandonment.</x:v>
      </x:c>
      <x:c r="N23" s="14" t="str">
        <x:v>src-pleiades-570459</x:v>
      </x:c>
      <x:c r="O23" s="14" t="str">
        <x:v>reviewed</x:v>
      </x:c>
    </x:row>
    <x:row r="24" ht="38" customHeight="1">
      <x:c r="A24" s="14" t="str">
        <x:v>chronology-city-megalopolis-primary</x:v>
      </x:c>
      <x:c r="B24" s="14" t="str">
        <x:v>city-megalopolis</x:v>
      </x:c>
      <x:c r="C24" s="21" t="n">
        <x:v>-371</x:v>
      </x:c>
      <x:c r="D24" s="21" t="n">
        <x:v>600</x:v>
      </x:c>
      <x:c r="E24" s="14" t="str">
        <x:v>approximate</x:v>
      </x:c>
      <x:c r="F24" s="14" t="str">
        <x:v>display_cutoff</x:v>
      </x:c>
      <x:c r="G24" s="14" t="str">
        <x:v>approximate</x:v>
      </x:c>
      <x:c r="H24" s="14" t="str">
        <x:v>occupation_window</x:v>
      </x:c>
      <x:c r="I24" s="20" t="b">
        <x:v>1</x:v>
      </x:c>
      <x:c r="J24" s="16" t="str">
        <x:v>371 π.Χ.–600 μ.Χ. (όριο άτλαντα)</x:v>
      </x:c>
      <x:c r="K24" s="16" t="str">
        <x:v>371 BCE–600 CE (atlas display cutoff)</x:v>
      </x:c>
      <x:c r="L24" s="16" t="str">
        <x:v>Το 600 μ.Χ. είναι το συμβατικό άνω όριο της παρούσας αρχαίας χρονογραμμής και όχι χρονολογία καταστροφής ή εγκατάλειψης.</x:v>
      </x:c>
      <x:c r="M24" s="16" t="str">
        <x:v>The year 600 CE is the conventional upper limit of this ancient timeline, not a date of destruction or abandonment.</x:v>
      </x:c>
      <x:c r="N24" s="14" t="str">
        <x:v>src-pleiades-570467</x:v>
      </x:c>
      <x:c r="O24" s="14" t="str">
        <x:v>reviewed</x:v>
      </x:c>
    </x:row>
    <x:row r="25" ht="38" customHeight="1">
      <x:c r="A25" s="14" t="str">
        <x:v>chronology-city-megara-primary</x:v>
      </x:c>
      <x:c r="B25" s="14" t="str">
        <x:v>city-megara</x:v>
      </x:c>
      <x:c r="C25" s="21" t="n">
        <x:v>-900</x:v>
      </x:c>
      <x:c r="D25" s="21" t="n">
        <x:v>600</x:v>
      </x:c>
      <x:c r="E25" s="14" t="str">
        <x:v>approximate</x:v>
      </x:c>
      <x:c r="F25" s="14" t="str">
        <x:v>display_cutoff</x:v>
      </x:c>
      <x:c r="G25" s="14" t="str">
        <x:v>approximate</x:v>
      </x:c>
      <x:c r="H25" s="14" t="str">
        <x:v>occupation_window</x:v>
      </x:c>
      <x:c r="I25" s="20" t="b">
        <x:v>1</x:v>
      </x:c>
      <x:c r="J25" s="16" t="str">
        <x:v>900 π.Χ.–600 μ.Χ. (όριο άτλαντα)</x:v>
      </x:c>
      <x:c r="K25" s="16" t="str">
        <x:v>900 BCE–600 CE (atlas display cutoff)</x:v>
      </x:c>
      <x:c r="L25" s="16" t="str">
        <x:v>Το 600 μ.Χ. είναι το συμβατικό άνω όριο της παρούσας αρχαίας χρονογραμμής και όχι χρονολογία καταστροφής ή εγκατάλειψης.</x:v>
      </x:c>
      <x:c r="M25" s="16" t="str">
        <x:v>The year 600 CE is the conventional upper limit of this ancient timeline, not a date of destruction or abandonment.</x:v>
      </x:c>
      <x:c r="N25" s="14" t="str">
        <x:v>src-pleiades-570468</x:v>
      </x:c>
      <x:c r="O25" s="14" t="str">
        <x:v>reviewed</x:v>
      </x:c>
    </x:row>
    <x:row r="26" ht="38" customHeight="1">
      <x:c r="A26" s="14" t="str">
        <x:v>chronology-city-messene-primary</x:v>
      </x:c>
      <x:c r="B26" s="14" t="str">
        <x:v>city-messene</x:v>
      </x:c>
      <x:c r="C26" s="21" t="n">
        <x:v>-369</x:v>
      </x:c>
      <x:c r="D26" s="21" t="n">
        <x:v>600</x:v>
      </x:c>
      <x:c r="E26" s="14" t="str">
        <x:v>approximate</x:v>
      </x:c>
      <x:c r="F26" s="14" t="str">
        <x:v>display_cutoff</x:v>
      </x:c>
      <x:c r="G26" s="14" t="str">
        <x:v>approximate</x:v>
      </x:c>
      <x:c r="H26" s="14" t="str">
        <x:v>occupation_window</x:v>
      </x:c>
      <x:c r="I26" s="20" t="b">
        <x:v>1</x:v>
      </x:c>
      <x:c r="J26" s="16" t="str">
        <x:v>369 π.Χ.–600 μ.Χ. (όριο άτλαντα)</x:v>
      </x:c>
      <x:c r="K26" s="16" t="str">
        <x:v>369 BCE–600 CE (atlas display cutoff)</x:v>
      </x:c>
      <x:c r="L26" s="16" t="str">
        <x:v>Το 600 μ.Χ. είναι το συμβατικό άνω όριο της παρούσας αρχαίας χρονογραμμής και όχι χρονολογία καταστροφής ή εγκατάλειψης.</x:v>
      </x:c>
      <x:c r="M26" s="16" t="str">
        <x:v>The year 600 CE is the conventional upper limit of this ancient timeline, not a date of destruction or abandonment.</x:v>
      </x:c>
      <x:c r="N26" s="14" t="str">
        <x:v>src-pleiades-570479</x:v>
      </x:c>
      <x:c r="O26" s="14" t="str">
        <x:v>reviewed</x:v>
      </x:c>
    </x:row>
    <x:row r="27" ht="38" customHeight="1">
      <x:c r="A27" s="14" t="str">
        <x:v>chronology-city-mytilene-primary</x:v>
      </x:c>
      <x:c r="B27" s="14" t="str">
        <x:v>city-mytilene</x:v>
      </x:c>
      <x:c r="C27" s="21" t="n">
        <x:v>-1050</x:v>
      </x:c>
      <x:c r="D27" s="21" t="n">
        <x:v>600</x:v>
      </x:c>
      <x:c r="E27" s="14" t="str">
        <x:v>approximate</x:v>
      </x:c>
      <x:c r="F27" s="14" t="str">
        <x:v>display_cutoff</x:v>
      </x:c>
      <x:c r="G27" s="14" t="str">
        <x:v>approximate</x:v>
      </x:c>
      <x:c r="H27" s="14" t="str">
        <x:v>occupation_window</x:v>
      </x:c>
      <x:c r="I27" s="20" t="b">
        <x:v>1</x:v>
      </x:c>
      <x:c r="J27" s="16" t="str">
        <x:v>1050 π.Χ.–600 μ.Χ. (όριο άτλαντα)</x:v>
      </x:c>
      <x:c r="K27" s="16" t="str">
        <x:v>1050 BCE–600 CE (atlas display cutoff)</x:v>
      </x:c>
      <x:c r="L27" s="16" t="str">
        <x:v>Το 600 μ.Χ. είναι το συμβατικό άνω όριο της παρούσας αρχαίας χρονογραμμής και όχι χρονολογία καταστροφής ή εγκατάλειψης.</x:v>
      </x:c>
      <x:c r="M27" s="16" t="str">
        <x:v>The year 600 CE is the conventional upper limit of this ancient timeline, not a date of destruction or abandonment.</x:v>
      </x:c>
      <x:c r="N27" s="14" t="str">
        <x:v>src-pleiades-550763</x:v>
      </x:c>
      <x:c r="O27" s="14" t="str">
        <x:v>reviewed</x:v>
      </x:c>
    </x:row>
    <x:row r="28" ht="38" customHeight="1">
      <x:c r="A28" s="14" t="str">
        <x:v>chronology-city-naxos-cyclades-primary</x:v>
      </x:c>
      <x:c r="B28" s="14" t="str">
        <x:v>city-naxos-cyclades</x:v>
      </x:c>
      <x:c r="C28" s="21" t="n">
        <x:v>-1000</x:v>
      </x:c>
      <x:c r="D28" s="21" t="n">
        <x:v>600</x:v>
      </x:c>
      <x:c r="E28" s="14" t="str">
        <x:v>approximate</x:v>
      </x:c>
      <x:c r="F28" s="14" t="str">
        <x:v>display_cutoff</x:v>
      </x:c>
      <x:c r="G28" s="14" t="str">
        <x:v>approximate</x:v>
      </x:c>
      <x:c r="H28" s="14" t="str">
        <x:v>occupation_window</x:v>
      </x:c>
      <x:c r="I28" s="20" t="b">
        <x:v>1</x:v>
      </x:c>
      <x:c r="J28" s="16" t="str">
        <x:v>1000 π.Χ.–600 μ.Χ. (όριο άτλαντα)</x:v>
      </x:c>
      <x:c r="K28" s="16" t="str">
        <x:v>1000 BCE–600 CE (atlas display cutoff)</x:v>
      </x:c>
      <x:c r="L28" s="16" t="str">
        <x:v>Το 600 μ.Χ. είναι το συμβατικό άνω όριο της παρούσας αρχαίας χρονογραμμής και όχι χρονολογία καταστροφής ή εγκατάλειψης.</x:v>
      </x:c>
      <x:c r="M28" s="16" t="str">
        <x:v>The year 600 CE is the conventional upper limit of this ancient timeline, not a date of destruction or abandonment.</x:v>
      </x:c>
      <x:c r="N28" s="14" t="str">
        <x:v>src-pleiades-599821</x:v>
      </x:c>
      <x:c r="O28" s="14" t="str">
        <x:v>reviewed</x:v>
      </x:c>
    </x:row>
    <x:row r="29" ht="38" customHeight="1">
      <x:c r="A29" s="14" t="str">
        <x:v>chronology-city-olynthus-primary</x:v>
      </x:c>
      <x:c r="B29" s="14" t="str">
        <x:v>city-olynthus</x:v>
      </x:c>
      <x:c r="C29" s="21" t="n">
        <x:v>-650</x:v>
      </x:c>
      <x:c r="D29" s="21" t="n">
        <x:v>-348</x:v>
      </x:c>
      <x:c r="E29" s="14" t="str">
        <x:v>approximate</x:v>
      </x:c>
      <x:c r="F29" s="14" t="str">
        <x:v>approximate</x:v>
      </x:c>
      <x:c r="G29" s="14" t="str">
        <x:v>approximate</x:v>
      </x:c>
      <x:c r="H29" s="14" t="str">
        <x:v>occupation_window</x:v>
      </x:c>
      <x:c r="I29" s="20" t="b">
        <x:v>0</x:v>
      </x:c>
      <x:c r="J29" s="16" t="str">
        <x:v>650 π.Χ.–348 π.Χ.</x:v>
      </x:c>
      <x:c r="K29" s="16" t="str">
        <x:v>650 BCE–348 BCE</x:v>
      </x:c>
      <x:c r="L29" s="16"/>
      <x:c r="M29" s="16"/>
      <x:c r="N29" s="14" t="str">
        <x:v>src-pleiades-491678</x:v>
      </x:c>
      <x:c r="O29" s="14" t="str">
        <x:v>reviewed</x:v>
      </x:c>
    </x:row>
    <x:row r="30" ht="38" customHeight="1">
      <x:c r="A30" s="14" t="str">
        <x:v>chronology-city-patrae-primary</x:v>
      </x:c>
      <x:c r="B30" s="14" t="str">
        <x:v>city-patrae</x:v>
      </x:c>
      <x:c r="C30" s="21" t="n">
        <x:v>-1000</x:v>
      </x:c>
      <x:c r="D30" s="21" t="n">
        <x:v>600</x:v>
      </x:c>
      <x:c r="E30" s="14" t="str">
        <x:v>approximate</x:v>
      </x:c>
      <x:c r="F30" s="14" t="str">
        <x:v>display_cutoff</x:v>
      </x:c>
      <x:c r="G30" s="14" t="str">
        <x:v>approximate</x:v>
      </x:c>
      <x:c r="H30" s="14" t="str">
        <x:v>occupation_window</x:v>
      </x:c>
      <x:c r="I30" s="20" t="b">
        <x:v>1</x:v>
      </x:c>
      <x:c r="J30" s="16" t="str">
        <x:v>1000 π.Χ.–600 μ.Χ. (όριο άτλαντα)</x:v>
      </x:c>
      <x:c r="K30" s="16" t="str">
        <x:v>1000 BCE–600 CE (atlas display cutoff)</x:v>
      </x:c>
      <x:c r="L30" s="16" t="str">
        <x:v>Το 600 μ.Χ. είναι το συμβατικό άνω όριο της παρούσας αρχαίας χρονογραμμής και όχι χρονολογία καταστροφής ή εγκατάλειψης.</x:v>
      </x:c>
      <x:c r="M30" s="16" t="str">
        <x:v>The year 600 CE is the conventional upper limit of this ancient timeline, not a date of destruction or abandonment.</x:v>
      </x:c>
      <x:c r="N30" s="14" t="str">
        <x:v>src-pleiades-570567</x:v>
      </x:c>
      <x:c r="O30" s="14" t="str">
        <x:v>reviewed</x:v>
      </x:c>
    </x:row>
    <x:row r="31" ht="38" customHeight="1">
      <x:c r="A31" s="14" t="str">
        <x:v>chronology-city-pella-primary</x:v>
      </x:c>
      <x:c r="B31" s="14" t="str">
        <x:v>city-pella</x:v>
      </x:c>
      <x:c r="C31" s="21" t="n">
        <x:v>-500</x:v>
      </x:c>
      <x:c r="D31" s="21" t="n">
        <x:v>600</x:v>
      </x:c>
      <x:c r="E31" s="14" t="str">
        <x:v>approximate</x:v>
      </x:c>
      <x:c r="F31" s="14" t="str">
        <x:v>display_cutoff</x:v>
      </x:c>
      <x:c r="G31" s="14" t="str">
        <x:v>approximate</x:v>
      </x:c>
      <x:c r="H31" s="14" t="str">
        <x:v>occupation_window</x:v>
      </x:c>
      <x:c r="I31" s="20" t="b">
        <x:v>1</x:v>
      </x:c>
      <x:c r="J31" s="16" t="str">
        <x:v>500 π.Χ.–600 μ.Χ. (όριο άτλαντα)</x:v>
      </x:c>
      <x:c r="K31" s="16" t="str">
        <x:v>500 BCE–600 CE (atlas display cutoff)</x:v>
      </x:c>
      <x:c r="L31" s="16" t="str">
        <x:v>Το 600 μ.Χ. είναι το συμβατικό άνω όριο της παρούσας αρχαίας χρονογραμμής και όχι χρονολογία καταστροφής ή εγκατάλειψης.</x:v>
      </x:c>
      <x:c r="M31" s="16" t="str">
        <x:v>The year 600 CE is the conventional upper limit of this ancient timeline, not a date of destruction or abandonment.</x:v>
      </x:c>
      <x:c r="N31" s="14" t="str">
        <x:v>src-pleiades-491687</x:v>
      </x:c>
      <x:c r="O31" s="14" t="str">
        <x:v>reviewed</x:v>
      </x:c>
    </x:row>
    <x:row r="32" ht="38" customHeight="1">
      <x:c r="A32" s="14" t="str">
        <x:v>chronology-city-pergamum-primary</x:v>
      </x:c>
      <x:c r="B32" s="14" t="str">
        <x:v>city-pergamum</x:v>
      </x:c>
      <x:c r="C32" s="21" t="n">
        <x:v>-400</x:v>
      </x:c>
      <x:c r="D32" s="21" t="n">
        <x:v>700</x:v>
      </x:c>
      <x:c r="E32" s="14" t="str">
        <x:v>approximate</x:v>
      </x:c>
      <x:c r="F32" s="14" t="str">
        <x:v>approximate</x:v>
      </x:c>
      <x:c r="G32" s="14" t="str">
        <x:v>approximate</x:v>
      </x:c>
      <x:c r="H32" s="14" t="str">
        <x:v>occupation_window</x:v>
      </x:c>
      <x:c r="I32" s="20" t="b">
        <x:v>0</x:v>
      </x:c>
      <x:c r="J32" s="16" t="str">
        <x:v>400 π.Χ.–700 μ.Χ.</x:v>
      </x:c>
      <x:c r="K32" s="16" t="str">
        <x:v>400 BCE–700 CE</x:v>
      </x:c>
      <x:c r="L32" s="16"/>
      <x:c r="M32" s="16"/>
      <x:c r="N32" s="14" t="str">
        <x:v>src-pleiades-550812</x:v>
      </x:c>
      <x:c r="O32" s="14" t="str">
        <x:v>reviewed</x:v>
      </x:c>
    </x:row>
    <x:row r="33" ht="38" customHeight="1">
      <x:c r="A33" s="14" t="str">
        <x:v>chronology-city-pherae-thessaly-primary</x:v>
      </x:c>
      <x:c r="B33" s="14" t="str">
        <x:v>city-pherae-thessaly</x:v>
      </x:c>
      <x:c r="C33" s="21" t="n">
        <x:v>-900</x:v>
      </x:c>
      <x:c r="D33" s="21" t="n">
        <x:v>600</x:v>
      </x:c>
      <x:c r="E33" s="14" t="str">
        <x:v>approximate</x:v>
      </x:c>
      <x:c r="F33" s="14" t="str">
        <x:v>display_cutoff</x:v>
      </x:c>
      <x:c r="G33" s="14" t="str">
        <x:v>approximate</x:v>
      </x:c>
      <x:c r="H33" s="14" t="str">
        <x:v>occupation_window</x:v>
      </x:c>
      <x:c r="I33" s="20" t="b">
        <x:v>1</x:v>
      </x:c>
      <x:c r="J33" s="16" t="str">
        <x:v>900 π.Χ.–600 μ.Χ. (όριο άτλαντα)</x:v>
      </x:c>
      <x:c r="K33" s="16" t="str">
        <x:v>900 BCE–600 CE (atlas display cutoff)</x:v>
      </x:c>
      <x:c r="L33" s="16" t="str">
        <x:v>Το 600 μ.Χ. είναι το συμβατικό άνω όριο της παρούσας αρχαίας χρονογραμμής και όχι χρονολογία καταστροφής ή εγκατάλειψης.</x:v>
      </x:c>
      <x:c r="M33" s="16" t="str">
        <x:v>The year 600 CE is the conventional upper limit of this ancient timeline, not a date of destruction or abandonment.</x:v>
      </x:c>
      <x:c r="N33" s="14" t="str">
        <x:v>src-pleiades-541044</x:v>
      </x:c>
      <x:c r="O33" s="14" t="str">
        <x:v>reviewed</x:v>
      </x:c>
    </x:row>
    <x:row r="34" ht="38" customHeight="1">
      <x:c r="A34" s="14" t="str">
        <x:v>chronology-city-piraeus-primary</x:v>
      </x:c>
      <x:c r="B34" s="14" t="str">
        <x:v>city-piraeus</x:v>
      </x:c>
      <x:c r="C34" s="21" t="n">
        <x:v>-493</x:v>
      </x:c>
      <x:c r="D34" s="21" t="n">
        <x:v>600</x:v>
      </x:c>
      <x:c r="E34" s="14" t="str">
        <x:v>approximate</x:v>
      </x:c>
      <x:c r="F34" s="14" t="str">
        <x:v>display_cutoff</x:v>
      </x:c>
      <x:c r="G34" s="14" t="str">
        <x:v>approximate</x:v>
      </x:c>
      <x:c r="H34" s="14" t="str">
        <x:v>occupation_window</x:v>
      </x:c>
      <x:c r="I34" s="20" t="b">
        <x:v>1</x:v>
      </x:c>
      <x:c r="J34" s="16" t="str">
        <x:v>493 π.Χ.–600 μ.Χ. (όριο άτλαντα)</x:v>
      </x:c>
      <x:c r="K34" s="16" t="str">
        <x:v>493 BCE–600 CE (atlas display cutoff)</x:v>
      </x:c>
      <x:c r="L34" s="16" t="str">
        <x:v>Το 600 μ.Χ. είναι το συμβατικό άνω όριο της παρούσας αρχαίας χρονογραμμής και όχι χρονολογία καταστροφής ή εγκατάλειψης.</x:v>
      </x:c>
      <x:c r="M34" s="16" t="str">
        <x:v>The year 600 CE is the conventional upper limit of this ancient timeline, not a date of destruction or abandonment.</x:v>
      </x:c>
      <x:c r="N34" s="14" t="str">
        <x:v>src-pleiades-580062</x:v>
      </x:c>
      <x:c r="O34" s="14" t="str">
        <x:v>reviewed</x:v>
      </x:c>
    </x:row>
    <x:row r="35" ht="38" customHeight="1">
      <x:c r="A35" s="14" t="str">
        <x:v>chronology-city-ptolemais-cyrenaica-primary</x:v>
      </x:c>
      <x:c r="B35" s="14" t="str">
        <x:v>city-ptolemais-cyrenaica</x:v>
      </x:c>
      <x:c r="C35" s="21" t="n">
        <x:v>-300</x:v>
      </x:c>
      <x:c r="D35" s="21" t="n">
        <x:v>600</x:v>
      </x:c>
      <x:c r="E35" s="14" t="str">
        <x:v>approximate</x:v>
      </x:c>
      <x:c r="F35" s="14" t="str">
        <x:v>display_cutoff</x:v>
      </x:c>
      <x:c r="G35" s="14" t="str">
        <x:v>approximate</x:v>
      </x:c>
      <x:c r="H35" s="14" t="str">
        <x:v>occupation_window</x:v>
      </x:c>
      <x:c r="I35" s="20" t="b">
        <x:v>1</x:v>
      </x:c>
      <x:c r="J35" s="16" t="str">
        <x:v>300 π.Χ.–600 μ.Χ. (όριο άτλαντα)</x:v>
      </x:c>
      <x:c r="K35" s="16" t="str">
        <x:v>300 BCE–600 CE (atlas display cutoff)</x:v>
      </x:c>
      <x:c r="L35" s="16" t="str">
        <x:v>Το 600 μ.Χ. είναι το συμβατικό άνω όριο της παρούσας αρχαίας χρονογραμμής και όχι χρονολογία καταστροφής ή εγκατάλειψης.</x:v>
      </x:c>
      <x:c r="M35" s="16" t="str">
        <x:v>The year 600 CE is the conventional upper limit of this ancient timeline, not a date of destruction or abandonment.</x:v>
      </x:c>
      <x:c r="N35" s="14" t="str">
        <x:v>src-pleiades-373879</x:v>
      </x:c>
      <x:c r="O35" s="14" t="str">
        <x:v>reviewed</x:v>
      </x:c>
    </x:row>
    <x:row r="36" ht="38" customHeight="1">
      <x:c r="A36" s="14" t="str">
        <x:v>chronology-city-pydna-primary</x:v>
      </x:c>
      <x:c r="B36" s="14" t="str">
        <x:v>city-pydna</x:v>
      </x:c>
      <x:c r="C36" s="21" t="n">
        <x:v>-700</x:v>
      </x:c>
      <x:c r="D36" s="21" t="n">
        <x:v>600</x:v>
      </x:c>
      <x:c r="E36" s="14" t="str">
        <x:v>approximate</x:v>
      </x:c>
      <x:c r="F36" s="14" t="str">
        <x:v>display_cutoff</x:v>
      </x:c>
      <x:c r="G36" s="14" t="str">
        <x:v>approximate</x:v>
      </x:c>
      <x:c r="H36" s="14" t="str">
        <x:v>occupation_window</x:v>
      </x:c>
      <x:c r="I36" s="20" t="b">
        <x:v>1</x:v>
      </x:c>
      <x:c r="J36" s="16" t="str">
        <x:v>700 π.Χ.–600 μ.Χ. (όριο άτλαντα)</x:v>
      </x:c>
      <x:c r="K36" s="16" t="str">
        <x:v>700 BCE–600 CE (atlas display cutoff)</x:v>
      </x:c>
      <x:c r="L36" s="16" t="str">
        <x:v>Το 600 μ.Χ. είναι το συμβατικό άνω όριο της παρούσας αρχαίας χρονογραμμής και όχι χρονολογία καταστροφής ή εγκατάλειψης.</x:v>
      </x:c>
      <x:c r="M36" s="16" t="str">
        <x:v>The year 600 CE is the conventional upper limit of this ancient timeline, not a date of destruction or abandonment.</x:v>
      </x:c>
      <x:c r="N36" s="14" t="str">
        <x:v>src-pleiades-491703</x:v>
      </x:c>
      <x:c r="O36" s="14" t="str">
        <x:v>reviewed</x:v>
      </x:c>
    </x:row>
    <x:row r="37" ht="38" customHeight="1">
      <x:c r="A37" s="14" t="str">
        <x:v>chronology-city-rhodes-city-primary</x:v>
      </x:c>
      <x:c r="B37" s="14" t="str">
        <x:v>city-rhodes-city</x:v>
      </x:c>
      <x:c r="C37" s="21" t="n">
        <x:v>-408</x:v>
      </x:c>
      <x:c r="D37" s="21" t="n">
        <x:v>600</x:v>
      </x:c>
      <x:c r="E37" s="14" t="str">
        <x:v>approximate</x:v>
      </x:c>
      <x:c r="F37" s="14" t="str">
        <x:v>display_cutoff</x:v>
      </x:c>
      <x:c r="G37" s="14" t="str">
        <x:v>approximate</x:v>
      </x:c>
      <x:c r="H37" s="14" t="str">
        <x:v>occupation_window</x:v>
      </x:c>
      <x:c r="I37" s="20" t="b">
        <x:v>1</x:v>
      </x:c>
      <x:c r="J37" s="16" t="str">
        <x:v>408 π.Χ.–600 μ.Χ. (όριο άτλαντα)</x:v>
      </x:c>
      <x:c r="K37" s="16" t="str">
        <x:v>408 BCE–600 CE (atlas display cutoff)</x:v>
      </x:c>
      <x:c r="L37" s="16" t="str">
        <x:v>Το 600 μ.Χ. είναι το συμβατικό άνω όριο της παρούσας αρχαίας χρονογραμμής και όχι χρονολογία καταστροφής ή εγκατάλειψης.</x:v>
      </x:c>
      <x:c r="M37" s="16" t="str">
        <x:v>The year 600 CE is the conventional upper limit of this ancient timeline, not a date of destruction or abandonment.</x:v>
      </x:c>
      <x:c r="N37" s="14" t="str">
        <x:v>src-pleiades-590030</x:v>
      </x:c>
      <x:c r="O37" s="14" t="str">
        <x:v>reviewed</x:v>
      </x:c>
    </x:row>
    <x:row r="38" ht="38" customHeight="1">
      <x:c r="A38" s="14" t="str">
        <x:v>chronology-city-samos-city-primary</x:v>
      </x:c>
      <x:c r="B38" s="14" t="str">
        <x:v>city-samos-city</x:v>
      </x:c>
      <x:c r="C38" s="21" t="n">
        <x:v>-1000</x:v>
      </x:c>
      <x:c r="D38" s="21" t="n">
        <x:v>600</x:v>
      </x:c>
      <x:c r="E38" s="14" t="str">
        <x:v>approximate</x:v>
      </x:c>
      <x:c r="F38" s="14" t="str">
        <x:v>display_cutoff</x:v>
      </x:c>
      <x:c r="G38" s="14" t="str">
        <x:v>approximate</x:v>
      </x:c>
      <x:c r="H38" s="14" t="str">
        <x:v>occupation_window</x:v>
      </x:c>
      <x:c r="I38" s="20" t="b">
        <x:v>1</x:v>
      </x:c>
      <x:c r="J38" s="16" t="str">
        <x:v>1000 π.Χ.–600 μ.Χ. (όριο άτλαντα)</x:v>
      </x:c>
      <x:c r="K38" s="16" t="str">
        <x:v>1000 BCE–600 CE (atlas display cutoff)</x:v>
      </x:c>
      <x:c r="L38" s="16" t="str">
        <x:v>Το 600 μ.Χ. είναι το συμβατικό άνω όριο της παρούσας αρχαίας χρονογραμμής και όχι χρονολογία καταστροφής ή εγκατάλειψης.</x:v>
      </x:c>
      <x:c r="M38" s="16" t="str">
        <x:v>The year 600 CE is the conventional upper limit of this ancient timeline, not a date of destruction or abandonment.</x:v>
      </x:c>
      <x:c r="N38" s="14" t="str">
        <x:v>src-pleiades-599925</x:v>
      </x:c>
      <x:c r="O38" s="14" t="str">
        <x:v>reviewed</x:v>
      </x:c>
    </x:row>
    <x:row r="39" ht="38" customHeight="1">
      <x:c r="A39" s="14" t="str">
        <x:v>chronology-city-sicyon-primary</x:v>
      </x:c>
      <x:c r="B39" s="14" t="str">
        <x:v>city-sicyon</x:v>
      </x:c>
      <x:c r="C39" s="21" t="n">
        <x:v>-1000</x:v>
      </x:c>
      <x:c r="D39" s="21" t="n">
        <x:v>600</x:v>
      </x:c>
      <x:c r="E39" s="14" t="str">
        <x:v>approximate</x:v>
      </x:c>
      <x:c r="F39" s="14" t="str">
        <x:v>display_cutoff</x:v>
      </x:c>
      <x:c r="G39" s="14" t="str">
        <x:v>approximate</x:v>
      </x:c>
      <x:c r="H39" s="14" t="str">
        <x:v>occupation_window</x:v>
      </x:c>
      <x:c r="I39" s="20" t="b">
        <x:v>1</x:v>
      </x:c>
      <x:c r="J39" s="16" t="str">
        <x:v>1000 π.Χ.–600 μ.Χ. (όριο άτλαντα)</x:v>
      </x:c>
      <x:c r="K39" s="16" t="str">
        <x:v>1000 BCE–600 CE (atlas display cutoff)</x:v>
      </x:c>
      <x:c r="L39" s="16" t="str">
        <x:v>Το 600 μ.Χ. είναι το συμβατικό άνω όριο της παρούσας αρχαίας χρονογραμμής και όχι χρονολογία καταστροφής ή εγκατάλειψης.</x:v>
      </x:c>
      <x:c r="M39" s="16" t="str">
        <x:v>The year 600 CE is the conventional upper limit of this ancient timeline, not a date of destruction or abandonment.</x:v>
      </x:c>
      <x:c r="N39" s="14" t="str">
        <x:v>src-pleiades-570668</x:v>
      </x:c>
      <x:c r="O39" s="14" t="str">
        <x:v>reviewed</x:v>
      </x:c>
    </x:row>
    <x:row r="40" ht="38" customHeight="1">
      <x:c r="A40" s="14" t="str">
        <x:v>chronology-city-smyrna-primary</x:v>
      </x:c>
      <x:c r="B40" s="14" t="str">
        <x:v>city-smyrna</x:v>
      </x:c>
      <x:c r="C40" s="21" t="n">
        <x:v>-300</x:v>
      </x:c>
      <x:c r="D40" s="21" t="n">
        <x:v>600</x:v>
      </x:c>
      <x:c r="E40" s="14" t="str">
        <x:v>approximate</x:v>
      </x:c>
      <x:c r="F40" s="14" t="str">
        <x:v>display_cutoff</x:v>
      </x:c>
      <x:c r="G40" s="14" t="str">
        <x:v>approximate</x:v>
      </x:c>
      <x:c r="H40" s="14" t="str">
        <x:v>occupation_window</x:v>
      </x:c>
      <x:c r="I40" s="20" t="b">
        <x:v>1</x:v>
      </x:c>
      <x:c r="J40" s="16" t="str">
        <x:v>300 π.Χ.–600 μ.Χ. (όριο άτλαντα)</x:v>
      </x:c>
      <x:c r="K40" s="16" t="str">
        <x:v>300 BCE–600 CE (atlas display cutoff)</x:v>
      </x:c>
      <x:c r="L40" s="16" t="str">
        <x:v>Το 600 μ.Χ. είναι το συμβατικό άνω όριο της παρούσας αρχαίας χρονογραμμής και όχι χρονολογία καταστροφής ή εγκατάλειψης.</x:v>
      </x:c>
      <x:c r="M40" s="16" t="str">
        <x:v>The year 600 CE is the conventional upper limit of this ancient timeline, not a date of destruction or abandonment.</x:v>
      </x:c>
      <x:c r="N40" s="14" t="str">
        <x:v>src-pleiades-550893</x:v>
      </x:c>
      <x:c r="O40" s="14" t="str">
        <x:v>reviewed</x:v>
      </x:c>
    </x:row>
    <x:row r="41" ht="38" customHeight="1">
      <x:c r="A41" s="14" t="str">
        <x:v>chronology-city-sparta-primary</x:v>
      </x:c>
      <x:c r="B41" s="14" t="str">
        <x:v>city-sparta</x:v>
      </x:c>
      <x:c r="C41" s="21" t="n">
        <x:v>-950</x:v>
      </x:c>
      <x:c r="D41" s="21" t="n">
        <x:v>600</x:v>
      </x:c>
      <x:c r="E41" s="14" t="str">
        <x:v>approximate</x:v>
      </x:c>
      <x:c r="F41" s="14" t="str">
        <x:v>display_cutoff</x:v>
      </x:c>
      <x:c r="G41" s="14" t="str">
        <x:v>approximate</x:v>
      </x:c>
      <x:c r="H41" s="14" t="str">
        <x:v>occupation_window</x:v>
      </x:c>
      <x:c r="I41" s="20" t="b">
        <x:v>1</x:v>
      </x:c>
      <x:c r="J41" s="16" t="str">
        <x:v>950 π.Χ.–600 μ.Χ. (όριο άτλαντα)</x:v>
      </x:c>
      <x:c r="K41" s="16" t="str">
        <x:v>950 BCE–600 CE (atlas display cutoff)</x:v>
      </x:c>
      <x:c r="L41" s="16" t="str">
        <x:v>Το 600 μ.Χ. είναι το συμβατικό άνω όριο της παρούσας αρχαίας χρονογραμμής και όχι χρονολογία καταστροφής ή εγκατάλειψης.</x:v>
      </x:c>
      <x:c r="M41" s="16" t="str">
        <x:v>The year 600 CE is the conventional upper limit of this ancient timeline, not a date of destruction or abandonment.</x:v>
      </x:c>
      <x:c r="N41" s="14" t="str">
        <x:v>src-pleiades-570685</x:v>
      </x:c>
      <x:c r="O41" s="14" t="str">
        <x:v>reviewed</x:v>
      </x:c>
    </x:row>
    <x:row r="42" ht="38" customHeight="1">
      <x:c r="A42" s="14" t="str">
        <x:v>chronology-city-tegea-primary</x:v>
      </x:c>
      <x:c r="B42" s="14" t="str">
        <x:v>city-tegea</x:v>
      </x:c>
      <x:c r="C42" s="21" t="n">
        <x:v>-900</x:v>
      </x:c>
      <x:c r="D42" s="21" t="n">
        <x:v>600</x:v>
      </x:c>
      <x:c r="E42" s="14" t="str">
        <x:v>approximate</x:v>
      </x:c>
      <x:c r="F42" s="14" t="str">
        <x:v>display_cutoff</x:v>
      </x:c>
      <x:c r="G42" s="14" t="str">
        <x:v>approximate</x:v>
      </x:c>
      <x:c r="H42" s="14" t="str">
        <x:v>occupation_window</x:v>
      </x:c>
      <x:c r="I42" s="20" t="b">
        <x:v>1</x:v>
      </x:c>
      <x:c r="J42" s="16" t="str">
        <x:v>900 π.Χ.–600 μ.Χ. (όριο άτλαντα)</x:v>
      </x:c>
      <x:c r="K42" s="16" t="str">
        <x:v>900 BCE–600 CE (atlas display cutoff)</x:v>
      </x:c>
      <x:c r="L42" s="16" t="str">
        <x:v>Το 600 μ.Χ. είναι το συμβατικό άνω όριο της παρούσας αρχαίας χρονογραμμής και όχι χρονολογία καταστροφής ή εγκατάλειψης.</x:v>
      </x:c>
      <x:c r="M42" s="16" t="str">
        <x:v>The year 600 CE is the conventional upper limit of this ancient timeline, not a date of destruction or abandonment.</x:v>
      </x:c>
      <x:c r="N42" s="14" t="str">
        <x:v>src-pleiades-570707</x:v>
      </x:c>
      <x:c r="O42" s="14" t="str">
        <x:v>reviewed</x:v>
      </x:c>
    </x:row>
    <x:row r="43" ht="38" customHeight="1">
      <x:c r="A43" s="14" t="str">
        <x:v>chronology-city-thebes-boeotia-primary</x:v>
      </x:c>
      <x:c r="B43" s="14" t="str">
        <x:v>city-thebes-boeotia</x:v>
      </x:c>
      <x:c r="C43" s="21" t="n">
        <x:v>-1400</x:v>
      </x:c>
      <x:c r="D43" s="21" t="n">
        <x:v>600</x:v>
      </x:c>
      <x:c r="E43" s="14" t="str">
        <x:v>approximate</x:v>
      </x:c>
      <x:c r="F43" s="14" t="str">
        <x:v>display_cutoff</x:v>
      </x:c>
      <x:c r="G43" s="14" t="str">
        <x:v>approximate</x:v>
      </x:c>
      <x:c r="H43" s="14" t="str">
        <x:v>occupation_window</x:v>
      </x:c>
      <x:c r="I43" s="20" t="b">
        <x:v>1</x:v>
      </x:c>
      <x:c r="J43" s="16" t="str">
        <x:v>1400 π.Χ.–600 μ.Χ. (όριο άτλαντα)</x:v>
      </x:c>
      <x:c r="K43" s="16" t="str">
        <x:v>1400 BCE–600 CE (atlas display cutoff)</x:v>
      </x:c>
      <x:c r="L43" s="16" t="str">
        <x:v>Το 600 μ.Χ. είναι το συμβατικό άνω όριο της παρούσας αρχαίας χρονογραμμής και όχι χρονολογία καταστροφής ή εγκατάλειψης.</x:v>
      </x:c>
      <x:c r="M43" s="16" t="str">
        <x:v>The year 600 CE is the conventional upper limit of this ancient timeline, not a date of destruction or abandonment.</x:v>
      </x:c>
      <x:c r="N43" s="14" t="str">
        <x:v>src-pleiades-541138</x:v>
      </x:c>
      <x:c r="O43" s="14" t="str">
        <x:v>reviewed</x:v>
      </x:c>
    </x:row>
    <x:row r="44" ht="38" customHeight="1">
      <x:c r="A44" s="14" t="str">
        <x:v>chronology-city-thera-city-primary</x:v>
      </x:c>
      <x:c r="B44" s="14" t="str">
        <x:v>city-thera-city</x:v>
      </x:c>
      <x:c r="C44" s="21" t="n">
        <x:v>-900</x:v>
      </x:c>
      <x:c r="D44" s="21" t="n">
        <x:v>600</x:v>
      </x:c>
      <x:c r="E44" s="14" t="str">
        <x:v>approximate</x:v>
      </x:c>
      <x:c r="F44" s="14" t="str">
        <x:v>display_cutoff</x:v>
      </x:c>
      <x:c r="G44" s="14" t="str">
        <x:v>approximate</x:v>
      </x:c>
      <x:c r="H44" s="14" t="str">
        <x:v>occupation_window</x:v>
      </x:c>
      <x:c r="I44" s="20" t="b">
        <x:v>1</x:v>
      </x:c>
      <x:c r="J44" s="16" t="str">
        <x:v>900 π.Χ.–600 μ.Χ. (όριο άτλαντα)</x:v>
      </x:c>
      <x:c r="K44" s="16" t="str">
        <x:v>900 BCE–600 CE (atlas display cutoff)</x:v>
      </x:c>
      <x:c r="L44" s="16" t="str">
        <x:v>Το 600 μ.Χ. είναι το συμβατικό άνω όριο της παρούσας αρχαίας χρονογραμμής και όχι χρονολογία καταστροφής ή εγκατάλειψης.</x:v>
      </x:c>
      <x:c r="M44" s="16" t="str">
        <x:v>The year 600 CE is the conventional upper limit of this ancient timeline, not a date of destruction or abandonment.</x:v>
      </x:c>
      <x:c r="N44" s="14" t="str">
        <x:v>src-pleiades-599971</x:v>
      </x:c>
      <x:c r="O44" s="14" t="str">
        <x:v>reviewed</x:v>
      </x:c>
    </x:row>
    <x:row r="45" ht="38" customHeight="1">
      <x:c r="A45" s="14" t="str">
        <x:v>chronology-city-thessalonica-primary</x:v>
      </x:c>
      <x:c r="B45" s="14" t="str">
        <x:v>city-thessalonica</x:v>
      </x:c>
      <x:c r="C45" s="21" t="n">
        <x:v>-315</x:v>
      </x:c>
      <x:c r="D45" s="21" t="n">
        <x:v>600</x:v>
      </x:c>
      <x:c r="E45" s="14" t="str">
        <x:v>approximate</x:v>
      </x:c>
      <x:c r="F45" s="14" t="str">
        <x:v>display_cutoff</x:v>
      </x:c>
      <x:c r="G45" s="14" t="str">
        <x:v>approximate</x:v>
      </x:c>
      <x:c r="H45" s="14" t="str">
        <x:v>occupation_window</x:v>
      </x:c>
      <x:c r="I45" s="20" t="b">
        <x:v>1</x:v>
      </x:c>
      <x:c r="J45" s="16" t="str">
        <x:v>315 π.Χ.–600 μ.Χ. (όριο άτλαντα)</x:v>
      </x:c>
      <x:c r="K45" s="16" t="str">
        <x:v>315 BCE–600 CE (atlas display cutoff)</x:v>
      </x:c>
      <x:c r="L45" s="16" t="str">
        <x:v>Το 600 μ.Χ. είναι το συμβατικό άνω όριο της παρούσας αρχαίας χρονογραμμής και όχι χρονολογία καταστροφής ή εγκατάλειψης.</x:v>
      </x:c>
      <x:c r="M45" s="16" t="str">
        <x:v>The year 600 CE is the conventional upper limit of this ancient timeline, not a date of destruction or abandonment.</x:v>
      </x:c>
      <x:c r="N45" s="14" t="str">
        <x:v>src-pleiades-491741</x:v>
      </x:c>
      <x:c r="O45" s="14" t="str">
        <x:v>reviewed</x:v>
      </x:c>
    </x:row>
    <x:row r="46" ht="38" customHeight="1">
      <x:c r="A46" s="14" t="str">
        <x:v>chronology-colony-abydos-primary</x:v>
      </x:c>
      <x:c r="B46" s="14" t="str">
        <x:v>colony-abydos</x:v>
      </x:c>
      <x:c r="C46" s="21" t="n">
        <x:v>-670</x:v>
      </x:c>
      <x:c r="D46" s="21" t="n">
        <x:v>600</x:v>
      </x:c>
      <x:c r="E46" s="14" t="str">
        <x:v>approximate</x:v>
      </x:c>
      <x:c r="F46" s="14" t="str">
        <x:v>display_cutoff</x:v>
      </x:c>
      <x:c r="G46" s="14" t="str">
        <x:v>approximate</x:v>
      </x:c>
      <x:c r="H46" s="14" t="str">
        <x:v>occupation_window</x:v>
      </x:c>
      <x:c r="I46" s="20" t="b">
        <x:v>1</x:v>
      </x:c>
      <x:c r="J46" s="16" t="str">
        <x:v>670 π.Χ.–600 μ.Χ. (όριο άτλαντα)</x:v>
      </x:c>
      <x:c r="K46" s="16" t="str">
        <x:v>670 BCE–600 CE (atlas display cutoff)</x:v>
      </x:c>
      <x:c r="L46" s="16" t="str">
        <x:v>Το 600 μ.Χ. είναι το συμβατικό άνω όριο της παρούσας αρχαίας χρονογραμμής και όχι χρονολογία καταστροφής ή εγκατάλειψης.</x:v>
      </x:c>
      <x:c r="M46" s="16" t="str">
        <x:v>The year 600 CE is the conventional upper limit of this ancient timeline, not a date of destruction or abandonment.</x:v>
      </x:c>
      <x:c r="N46" s="14" t="str">
        <x:v>src-pleiades-501325</x:v>
      </x:c>
      <x:c r="O46" s="14" t="str">
        <x:v>reviewed</x:v>
      </x:c>
    </x:row>
    <x:row r="47" ht="38" customHeight="1">
      <x:c r="A47" s="14" t="str">
        <x:v>chronology-colony-akragas-primary</x:v>
      </x:c>
      <x:c r="B47" s="14" t="str">
        <x:v>colony-akragas</x:v>
      </x:c>
      <x:c r="C47" s="21" t="n">
        <x:v>-580</x:v>
      </x:c>
      <x:c r="D47" s="21" t="n">
        <x:v>600</x:v>
      </x:c>
      <x:c r="E47" s="14" t="str">
        <x:v>approximate</x:v>
      </x:c>
      <x:c r="F47" s="14" t="str">
        <x:v>display_cutoff</x:v>
      </x:c>
      <x:c r="G47" s="14" t="str">
        <x:v>approximate</x:v>
      </x:c>
      <x:c r="H47" s="14" t="str">
        <x:v>occupation_window</x:v>
      </x:c>
      <x:c r="I47" s="20" t="b">
        <x:v>1</x:v>
      </x:c>
      <x:c r="J47" s="16" t="str">
        <x:v>580 π.Χ.–600 μ.Χ. (όριο άτλαντα)</x:v>
      </x:c>
      <x:c r="K47" s="16" t="str">
        <x:v>580 BCE–600 CE (atlas display cutoff)</x:v>
      </x:c>
      <x:c r="L47" s="16" t="str">
        <x:v>Το 600 μ.Χ. είναι το συμβατικό άνω όριο της παρούσας αρχαίας χρονογραμμής και όχι χρονολογία καταστροφής ή εγκατάλειψης.</x:v>
      </x:c>
      <x:c r="M47" s="16" t="str">
        <x:v>The year 600 CE is the conventional upper limit of this ancient timeline, not a date of destruction or abandonment.</x:v>
      </x:c>
      <x:c r="N47" s="14" t="str">
        <x:v>src-pleiades-462086</x:v>
      </x:c>
      <x:c r="O47" s="14" t="str">
        <x:v>reviewed</x:v>
      </x:c>
    </x:row>
    <x:row r="48" ht="38" customHeight="1">
      <x:c r="A48" s="14" t="str">
        <x:v>chronology-colony-ambracia-primary</x:v>
      </x:c>
      <x:c r="B48" s="14" t="str">
        <x:v>colony-ambracia</x:v>
      </x:c>
      <x:c r="C48" s="21" t="n">
        <x:v>-625</x:v>
      </x:c>
      <x:c r="D48" s="21" t="n">
        <x:v>600</x:v>
      </x:c>
      <x:c r="E48" s="14" t="str">
        <x:v>approximate</x:v>
      </x:c>
      <x:c r="F48" s="14" t="str">
        <x:v>display_cutoff</x:v>
      </x:c>
      <x:c r="G48" s="14" t="str">
        <x:v>approximate</x:v>
      </x:c>
      <x:c r="H48" s="14" t="str">
        <x:v>occupation_window</x:v>
      </x:c>
      <x:c r="I48" s="20" t="b">
        <x:v>1</x:v>
      </x:c>
      <x:c r="J48" s="16" t="str">
        <x:v>625 π.Χ.–600 μ.Χ. (όριο άτλαντα)</x:v>
      </x:c>
      <x:c r="K48" s="16" t="str">
        <x:v>625 BCE–600 CE (atlas display cutoff)</x:v>
      </x:c>
      <x:c r="L48" s="16" t="str">
        <x:v>Το 600 μ.Χ. είναι το συμβατικό άνω όριο της παρούσας αρχαίας χρονογραμμής και όχι χρονολογία καταστροφής ή εγκατάλειψης.</x:v>
      </x:c>
      <x:c r="M48" s="16" t="str">
        <x:v>The year 600 CE is the conventional upper limit of this ancient timeline, not a date of destruction or abandonment.</x:v>
      </x:c>
      <x:c r="N48" s="14" t="str">
        <x:v>src-pleiades-530794</x:v>
      </x:c>
      <x:c r="O48" s="14" t="str">
        <x:v>reviewed</x:v>
      </x:c>
    </x:row>
    <x:row r="49" ht="38" customHeight="1">
      <x:c r="A49" s="14" t="str">
        <x:v>chronology-colony-amisus-primary</x:v>
      </x:c>
      <x:c r="B49" s="14" t="str">
        <x:v>colony-amisus</x:v>
      </x:c>
      <x:c r="C49" s="21" t="n">
        <x:v>-564</x:v>
      </x:c>
      <x:c r="D49" s="21" t="n">
        <x:v>600</x:v>
      </x:c>
      <x:c r="E49" s="14" t="str">
        <x:v>approximate</x:v>
      </x:c>
      <x:c r="F49" s="14" t="str">
        <x:v>display_cutoff</x:v>
      </x:c>
      <x:c r="G49" s="14" t="str">
        <x:v>approximate</x:v>
      </x:c>
      <x:c r="H49" s="14" t="str">
        <x:v>occupation_window</x:v>
      </x:c>
      <x:c r="I49" s="20" t="b">
        <x:v>1</x:v>
      </x:c>
      <x:c r="J49" s="16" t="str">
        <x:v>564 π.Χ.–600 μ.Χ. (όριο άτλαντα)</x:v>
      </x:c>
      <x:c r="K49" s="16" t="str">
        <x:v>564 BCE–600 CE (atlas display cutoff)</x:v>
      </x:c>
      <x:c r="L49" s="16" t="str">
        <x:v>Το 600 μ.Χ. είναι το συμβατικό άνω όριο της παρούσας αρχαίας χρονογραμμής και όχι χρονολογία καταστροφής ή εγκατάλειψης.</x:v>
      </x:c>
      <x:c r="M49" s="16" t="str">
        <x:v>The year 600 CE is the conventional upper limit of this ancient timeline, not a date of destruction or abandonment.</x:v>
      </x:c>
      <x:c r="N49" s="14" t="str">
        <x:v>src-pleiades-857024</x:v>
      </x:c>
      <x:c r="O49" s="14" t="str">
        <x:v>reviewed</x:v>
      </x:c>
    </x:row>
    <x:row r="50" ht="38" customHeight="1">
      <x:c r="A50" s="14" t="str">
        <x:v>chronology-colony-amphipolis-primary</x:v>
      </x:c>
      <x:c r="B50" s="14" t="str">
        <x:v>colony-amphipolis</x:v>
      </x:c>
      <x:c r="C50" s="21" t="n">
        <x:v>-437</x:v>
      </x:c>
      <x:c r="D50" s="21" t="n">
        <x:v>600</x:v>
      </x:c>
      <x:c r="E50" s="14" t="str">
        <x:v>approximate</x:v>
      </x:c>
      <x:c r="F50" s="14" t="str">
        <x:v>display_cutoff</x:v>
      </x:c>
      <x:c r="G50" s="14" t="str">
        <x:v>approximate</x:v>
      </x:c>
      <x:c r="H50" s="14" t="str">
        <x:v>occupation_window</x:v>
      </x:c>
      <x:c r="I50" s="20" t="b">
        <x:v>1</x:v>
      </x:c>
      <x:c r="J50" s="16" t="str">
        <x:v>437 π.Χ.–600 μ.Χ. (όριο άτλαντα)</x:v>
      </x:c>
      <x:c r="K50" s="16" t="str">
        <x:v>437 BCE–600 CE (atlas display cutoff)</x:v>
      </x:c>
      <x:c r="L50" s="16" t="str">
        <x:v>Το 600 μ.Χ. είναι το συμβατικό άνω όριο της παρούσας αρχαίας χρονογραμμής και όχι χρονολογία καταστροφής ή εγκατάλειψης.</x:v>
      </x:c>
      <x:c r="M50" s="16" t="str">
        <x:v>The year 600 CE is the conventional upper limit of this ancient timeline, not a date of destruction or abandonment.</x:v>
      </x:c>
      <x:c r="N50" s="14" t="str">
        <x:v>src-pleiades-501347</x:v>
      </x:c>
      <x:c r="O50" s="14" t="str">
        <x:v>reviewed</x:v>
      </x:c>
    </x:row>
    <x:row r="51" ht="38" customHeight="1">
      <x:c r="A51" s="14" t="str">
        <x:v>chronology-colony-ancona-primary</x:v>
      </x:c>
      <x:c r="B51" s="14" t="str">
        <x:v>colony-ancona</x:v>
      </x:c>
      <x:c r="C51" s="21" t="n">
        <x:v>-387</x:v>
      </x:c>
      <x:c r="D51" s="21" t="n">
        <x:v>600</x:v>
      </x:c>
      <x:c r="E51" s="14" t="str">
        <x:v>approximate</x:v>
      </x:c>
      <x:c r="F51" s="14" t="str">
        <x:v>display_cutoff</x:v>
      </x:c>
      <x:c r="G51" s="14" t="str">
        <x:v>approximate</x:v>
      </x:c>
      <x:c r="H51" s="14" t="str">
        <x:v>occupation_window</x:v>
      </x:c>
      <x:c r="I51" s="20" t="b">
        <x:v>1</x:v>
      </x:c>
      <x:c r="J51" s="16" t="str">
        <x:v>387 π.Χ.–600 μ.Χ. (όριο άτλαντα)</x:v>
      </x:c>
      <x:c r="K51" s="16" t="str">
        <x:v>387 BCE–600 CE (atlas display cutoff)</x:v>
      </x:c>
      <x:c r="L51" s="16" t="str">
        <x:v>Το 600 μ.Χ. είναι το συμβατικό άνω όριο της παρούσας αρχαίας χρονογραμμής και όχι χρονολογία καταστροφής ή εγκατάλειψης.</x:v>
      </x:c>
      <x:c r="M51" s="16" t="str">
        <x:v>The year 600 CE is the conventional upper limit of this ancient timeline, not a date of destruction or abandonment.</x:v>
      </x:c>
      <x:c r="N51" s="14" t="str">
        <x:v>src-pleiades-413014</x:v>
      </x:c>
      <x:c r="O51" s="14" t="str">
        <x:v>reviewed</x:v>
      </x:c>
    </x:row>
    <x:row r="52" ht="38" customHeight="1">
      <x:c r="A52" s="14" t="str">
        <x:v>chronology-colony-apollonia-cyrenaica-primary</x:v>
      </x:c>
      <x:c r="B52" s="14" t="str">
        <x:v>colony-apollonia-cyrenaica</x:v>
      </x:c>
      <x:c r="C52" s="21" t="n">
        <x:v>-600</x:v>
      </x:c>
      <x:c r="D52" s="21" t="n">
        <x:v>600</x:v>
      </x:c>
      <x:c r="E52" s="14" t="str">
        <x:v>approximate</x:v>
      </x:c>
      <x:c r="F52" s="14" t="str">
        <x:v>display_cutoff</x:v>
      </x:c>
      <x:c r="G52" s="14" t="str">
        <x:v>approximate</x:v>
      </x:c>
      <x:c r="H52" s="14" t="str">
        <x:v>occupation_window</x:v>
      </x:c>
      <x:c r="I52" s="20" t="b">
        <x:v>1</x:v>
      </x:c>
      <x:c r="J52" s="16" t="str">
        <x:v>600 π.Χ.–600 μ.Χ. (όριο άτλαντα)</x:v>
      </x:c>
      <x:c r="K52" s="16" t="str">
        <x:v>600 BCE–600 CE (atlas display cutoff)</x:v>
      </x:c>
      <x:c r="L52" s="16" t="str">
        <x:v>Το 600 μ.Χ. είναι το συμβατικό άνω όριο της παρούσας αρχαίας χρονογραμμής και όχι χρονολογία καταστροφής ή εγκατάλειψης.</x:v>
      </x:c>
      <x:c r="M52" s="16" t="str">
        <x:v>The year 600 CE is the conventional upper limit of this ancient timeline, not a date of destruction or abandonment.</x:v>
      </x:c>
      <x:c r="N52" s="14" t="str">
        <x:v>src-pleiades-373732</x:v>
      </x:c>
      <x:c r="O52" s="14" t="str">
        <x:v>reviewed</x:v>
      </x:c>
    </x:row>
    <x:row r="53" ht="38" customHeight="1">
      <x:c r="A53" s="14" t="str">
        <x:v>chronology-colony-apollonia-illyria-primary</x:v>
      </x:c>
      <x:c r="B53" s="14" t="str">
        <x:v>colony-apollonia-illyria</x:v>
      </x:c>
      <x:c r="C53" s="21" t="n">
        <x:v>-588</x:v>
      </x:c>
      <x:c r="D53" s="21" t="n">
        <x:v>600</x:v>
      </x:c>
      <x:c r="E53" s="14" t="str">
        <x:v>approximate</x:v>
      </x:c>
      <x:c r="F53" s="14" t="str">
        <x:v>display_cutoff</x:v>
      </x:c>
      <x:c r="G53" s="14" t="str">
        <x:v>approximate</x:v>
      </x:c>
      <x:c r="H53" s="14" t="str">
        <x:v>occupation_window</x:v>
      </x:c>
      <x:c r="I53" s="20" t="b">
        <x:v>1</x:v>
      </x:c>
      <x:c r="J53" s="16" t="str">
        <x:v>588 π.Χ.–600 μ.Χ. (όριο άτλαντα)</x:v>
      </x:c>
      <x:c r="K53" s="16" t="str">
        <x:v>588 BCE–600 CE (atlas display cutoff)</x:v>
      </x:c>
      <x:c r="L53" s="16" t="str">
        <x:v>Το 600 μ.Χ. είναι το συμβατικό άνω όριο της παρούσας αρχαίας χρονογραμμής και όχι χρονολογία καταστροφής ή εγκατάλειψης.</x:v>
      </x:c>
      <x:c r="M53" s="16" t="str">
        <x:v>The year 600 CE is the conventional upper limit of this ancient timeline, not a date of destruction or abandonment.</x:v>
      </x:c>
      <x:c r="N53" s="14" t="str">
        <x:v>src-pleiades-481728</x:v>
      </x:c>
      <x:c r="O53" s="14" t="str">
        <x:v>reviewed</x:v>
      </x:c>
    </x:row>
    <x:row r="54" ht="38" customHeight="1">
      <x:c r="A54" s="14" t="str">
        <x:v>chronology-colony-apollonia-pontica-primary</x:v>
      </x:c>
      <x:c r="B54" s="14" t="str">
        <x:v>colony-apollonia-pontica</x:v>
      </x:c>
      <x:c r="C54" s="21" t="n">
        <x:v>-610</x:v>
      </x:c>
      <x:c r="D54" s="21" t="n">
        <x:v>600</x:v>
      </x:c>
      <x:c r="E54" s="14" t="str">
        <x:v>approximate</x:v>
      </x:c>
      <x:c r="F54" s="14" t="str">
        <x:v>display_cutoff</x:v>
      </x:c>
      <x:c r="G54" s="14" t="str">
        <x:v>approximate</x:v>
      </x:c>
      <x:c r="H54" s="14" t="str">
        <x:v>occupation_window</x:v>
      </x:c>
      <x:c r="I54" s="20" t="b">
        <x:v>1</x:v>
      </x:c>
      <x:c r="J54" s="16" t="str">
        <x:v>610 π.Χ.–600 μ.Χ. (όριο άτλαντα)</x:v>
      </x:c>
      <x:c r="K54" s="16" t="str">
        <x:v>610 BCE–600 CE (atlas display cutoff)</x:v>
      </x:c>
      <x:c r="L54" s="16" t="str">
        <x:v>Το 600 μ.Χ. είναι το συμβατικό άνω όριο της παρούσας αρχαίας χρονογραμμής και όχι χρονολογία καταστροφής ή εγκατάλειψης.</x:v>
      </x:c>
      <x:c r="M54" s="16" t="str">
        <x:v>The year 600 CE is the conventional upper limit of this ancient timeline, not a date of destruction or abandonment.</x:v>
      </x:c>
      <x:c r="N54" s="14" t="str">
        <x:v>src-pleiades-216706</x:v>
      </x:c>
      <x:c r="O54" s="14" t="str">
        <x:v>reviewed</x:v>
      </x:c>
    </x:row>
    <x:row r="55" ht="38" customHeight="1">
      <x:c r="A55" s="14" t="str">
        <x:v>chronology-colony-assos-primary</x:v>
      </x:c>
      <x:c r="B55" s="14" t="str">
        <x:v>colony-assos</x:v>
      </x:c>
      <x:c r="C55" s="21" t="n">
        <x:v>-1000</x:v>
      </x:c>
      <x:c r="D55" s="21" t="n">
        <x:v>600</x:v>
      </x:c>
      <x:c r="E55" s="14" t="str">
        <x:v>approximate</x:v>
      </x:c>
      <x:c r="F55" s="14" t="str">
        <x:v>display_cutoff</x:v>
      </x:c>
      <x:c r="G55" s="14" t="str">
        <x:v>approximate</x:v>
      </x:c>
      <x:c r="H55" s="14" t="str">
        <x:v>occupation_window</x:v>
      </x:c>
      <x:c r="I55" s="20" t="b">
        <x:v>1</x:v>
      </x:c>
      <x:c r="J55" s="16" t="str">
        <x:v>1000 π.Χ.–600 μ.Χ. (όριο άτλαντα)</x:v>
      </x:c>
      <x:c r="K55" s="16" t="str">
        <x:v>1000 BCE–600 CE (atlas display cutoff)</x:v>
      </x:c>
      <x:c r="L55" s="16" t="str">
        <x:v>Το 600 μ.Χ. είναι το συμβατικό άνω όριο της παρούσας αρχαίας χρονογραμμής και όχι χρονολογία καταστροφής ή εγκατάλειψης.</x:v>
      </x:c>
      <x:c r="M55" s="16" t="str">
        <x:v>The year 600 CE is the conventional upper limit of this ancient timeline, not a date of destruction or abandonment.</x:v>
      </x:c>
      <x:c r="N55" s="14" t="str">
        <x:v>src-pleiades-550463</x:v>
      </x:c>
      <x:c r="O55" s="14" t="str">
        <x:v>reviewed</x:v>
      </x:c>
    </x:row>
    <x:row r="56" ht="38" customHeight="1">
      <x:c r="A56" s="14" t="str">
        <x:v>chronology-colony-barca-cyrenaica-primary</x:v>
      </x:c>
      <x:c r="B56" s="14" t="str">
        <x:v>colony-barca-cyrenaica</x:v>
      </x:c>
      <x:c r="C56" s="21" t="n">
        <x:v>-560</x:v>
      </x:c>
      <x:c r="D56" s="21" t="n">
        <x:v>600</x:v>
      </x:c>
      <x:c r="E56" s="14" t="str">
        <x:v>approximate</x:v>
      </x:c>
      <x:c r="F56" s="14" t="str">
        <x:v>display_cutoff</x:v>
      </x:c>
      <x:c r="G56" s="14" t="str">
        <x:v>approximate</x:v>
      </x:c>
      <x:c r="H56" s="14" t="str">
        <x:v>occupation_window</x:v>
      </x:c>
      <x:c r="I56" s="20" t="b">
        <x:v>1</x:v>
      </x:c>
      <x:c r="J56" s="16" t="str">
        <x:v>560 π.Χ.–600 μ.Χ. (όριο άτλαντα)</x:v>
      </x:c>
      <x:c r="K56" s="16" t="str">
        <x:v>560 BCE–600 CE (atlas display cutoff)</x:v>
      </x:c>
      <x:c r="L56" s="16" t="str">
        <x:v>Το 600 μ.Χ. είναι το συμβατικό άνω όριο της παρούσας αρχαίας χρονογραμμής και όχι χρονολογία καταστροφής ή εγκατάλειψης.</x:v>
      </x:c>
      <x:c r="M56" s="16" t="str">
        <x:v>The year 600 CE is the conventional upper limit of this ancient timeline, not a date of destruction or abandonment.</x:v>
      </x:c>
      <x:c r="N56" s="14" t="str">
        <x:v>src-pleiades-373750</x:v>
      </x:c>
      <x:c r="O56" s="14" t="str">
        <x:v>reviewed</x:v>
      </x:c>
    </x:row>
    <x:row r="57" ht="38" customHeight="1">
      <x:c r="A57" s="14" t="str">
        <x:v>chronology-colony-byzantium-primary</x:v>
      </x:c>
      <x:c r="B57" s="14" t="str">
        <x:v>colony-byzantium</x:v>
      </x:c>
      <x:c r="C57" s="21" t="n">
        <x:v>-657</x:v>
      </x:c>
      <x:c r="D57" s="21" t="n">
        <x:v>330</x:v>
      </x:c>
      <x:c r="E57" s="14" t="str">
        <x:v>approximate</x:v>
      </x:c>
      <x:c r="F57" s="14" t="str">
        <x:v>approximate</x:v>
      </x:c>
      <x:c r="G57" s="14" t="str">
        <x:v>approximate</x:v>
      </x:c>
      <x:c r="H57" s="14" t="str">
        <x:v>occupation_window</x:v>
      </x:c>
      <x:c r="I57" s="20" t="b">
        <x:v>0</x:v>
      </x:c>
      <x:c r="J57" s="16" t="str">
        <x:v>657 π.Χ.–330 μ.Χ.</x:v>
      </x:c>
      <x:c r="K57" s="16" t="str">
        <x:v>657 BCE–330 CE</x:v>
      </x:c>
      <x:c r="L57" s="16"/>
      <x:c r="M57" s="16"/>
      <x:c r="N57" s="14" t="str">
        <x:v>src-pleiades-520985</x:v>
      </x:c>
      <x:c r="O57" s="14" t="str">
        <x:v>reviewed</x:v>
      </x:c>
    </x:row>
    <x:row r="58" ht="38" customHeight="1">
      <x:c r="A58" s="14" t="str">
        <x:v>chronology-colony-callatis-primary</x:v>
      </x:c>
      <x:c r="B58" s="14" t="str">
        <x:v>colony-callatis</x:v>
      </x:c>
      <x:c r="C58" s="21" t="n">
        <x:v>-500</x:v>
      </x:c>
      <x:c r="D58" s="21" t="n">
        <x:v>600</x:v>
      </x:c>
      <x:c r="E58" s="14" t="str">
        <x:v>approximate</x:v>
      </x:c>
      <x:c r="F58" s="14" t="str">
        <x:v>display_cutoff</x:v>
      </x:c>
      <x:c r="G58" s="14" t="str">
        <x:v>approximate</x:v>
      </x:c>
      <x:c r="H58" s="14" t="str">
        <x:v>occupation_window</x:v>
      </x:c>
      <x:c r="I58" s="20" t="b">
        <x:v>1</x:v>
      </x:c>
      <x:c r="J58" s="16" t="str">
        <x:v>500 π.Χ.–600 μ.Χ. (όριο άτλαντα)</x:v>
      </x:c>
      <x:c r="K58" s="16" t="str">
        <x:v>500 BCE–600 CE (atlas display cutoff)</x:v>
      </x:c>
      <x:c r="L58" s="16" t="str">
        <x:v>Το 600 μ.Χ. είναι το συμβατικό άνω όριο της παρούσας αρχαίας χρονογραμμής και όχι χρονολογία καταστροφής ή εγκατάλειψης.</x:v>
      </x:c>
      <x:c r="M58" s="16" t="str">
        <x:v>The year 600 CE is the conventional upper limit of this ancient timeline, not a date of destruction or abandonment.</x:v>
      </x:c>
      <x:c r="N58" s="14" t="str">
        <x:v>src-pleiades-216744</x:v>
      </x:c>
      <x:c r="O58" s="14" t="str">
        <x:v>reviewed</x:v>
      </x:c>
    </x:row>
    <x:row r="59" ht="38" customHeight="1">
      <x:c r="A59" s="14" t="str">
        <x:v>chronology-colony-catana-primary</x:v>
      </x:c>
      <x:c r="B59" s="14" t="str">
        <x:v>colony-catana</x:v>
      </x:c>
      <x:c r="C59" s="21" t="n">
        <x:v>-729</x:v>
      </x:c>
      <x:c r="D59" s="21" t="n">
        <x:v>600</x:v>
      </x:c>
      <x:c r="E59" s="14" t="str">
        <x:v>approximate</x:v>
      </x:c>
      <x:c r="F59" s="14" t="str">
        <x:v>display_cutoff</x:v>
      </x:c>
      <x:c r="G59" s="14" t="str">
        <x:v>approximate</x:v>
      </x:c>
      <x:c r="H59" s="14" t="str">
        <x:v>occupation_window</x:v>
      </x:c>
      <x:c r="I59" s="20" t="b">
        <x:v>1</x:v>
      </x:c>
      <x:c r="J59" s="16" t="str">
        <x:v>729 π.Χ.–600 μ.Χ. (όριο άτλαντα)</x:v>
      </x:c>
      <x:c r="K59" s="16" t="str">
        <x:v>729 BCE–600 CE (atlas display cutoff)</x:v>
      </x:c>
      <x:c r="L59" s="16" t="str">
        <x:v>Το 600 μ.Χ. είναι το συμβατικό άνω όριο της παρούσας αρχαίας χρονογραμμής και όχι χρονολογία καταστροφής ή εγκατάλειψης.</x:v>
      </x:c>
      <x:c r="M59" s="16" t="str">
        <x:v>The year 600 CE is the conventional upper limit of this ancient timeline, not a date of destruction or abandonment.</x:v>
      </x:c>
      <x:c r="N59" s="14" t="str">
        <x:v>src-pleiades-462270</x:v>
      </x:c>
      <x:c r="O59" s="14" t="str">
        <x:v>reviewed</x:v>
      </x:c>
    </x:row>
    <x:row r="60" ht="38" customHeight="1">
      <x:c r="A60" s="14" t="str">
        <x:v>chronology-colony-chalcedon-primary</x:v>
      </x:c>
      <x:c r="B60" s="14" t="str">
        <x:v>colony-chalcedon</x:v>
      </x:c>
      <x:c r="C60" s="21" t="n">
        <x:v>-685</x:v>
      </x:c>
      <x:c r="D60" s="21" t="n">
        <x:v>600</x:v>
      </x:c>
      <x:c r="E60" s="14" t="str">
        <x:v>approximate</x:v>
      </x:c>
      <x:c r="F60" s="14" t="str">
        <x:v>display_cutoff</x:v>
      </x:c>
      <x:c r="G60" s="14" t="str">
        <x:v>approximate</x:v>
      </x:c>
      <x:c r="H60" s="14" t="str">
        <x:v>occupation_window</x:v>
      </x:c>
      <x:c r="I60" s="20" t="b">
        <x:v>1</x:v>
      </x:c>
      <x:c r="J60" s="16" t="str">
        <x:v>685 π.Χ.–600 μ.Χ. (όριο άτλαντα)</x:v>
      </x:c>
      <x:c r="K60" s="16" t="str">
        <x:v>685 BCE–600 CE (atlas display cutoff)</x:v>
      </x:c>
      <x:c r="L60" s="16" t="str">
        <x:v>Το 600 μ.Χ. είναι το συμβατικό άνω όριο της παρούσας αρχαίας χρονογραμμής και όχι χρονολογία καταστροφής ή εγκατάλειψης.</x:v>
      </x:c>
      <x:c r="M60" s="16" t="str">
        <x:v>The year 600 CE is the conventional upper limit of this ancient timeline, not a date of destruction or abandonment.</x:v>
      </x:c>
      <x:c r="N60" s="14" t="str">
        <x:v>src-pleiades-520988</x:v>
      </x:c>
      <x:c r="O60" s="14" t="str">
        <x:v>reviewed</x:v>
      </x:c>
    </x:row>
    <x:row r="61" ht="38" customHeight="1">
      <x:c r="A61" s="14" t="str">
        <x:v>chronology-colony-chersonesus-taurica-primary</x:v>
      </x:c>
      <x:c r="B61" s="14" t="str">
        <x:v>colony-chersonesus-taurica</x:v>
      </x:c>
      <x:c r="C61" s="21" t="n">
        <x:v>-422</x:v>
      </x:c>
      <x:c r="D61" s="21" t="n">
        <x:v>600</x:v>
      </x:c>
      <x:c r="E61" s="14" t="str">
        <x:v>approximate</x:v>
      </x:c>
      <x:c r="F61" s="14" t="str">
        <x:v>display_cutoff</x:v>
      </x:c>
      <x:c r="G61" s="14" t="str">
        <x:v>approximate</x:v>
      </x:c>
      <x:c r="H61" s="14" t="str">
        <x:v>occupation_window</x:v>
      </x:c>
      <x:c r="I61" s="20" t="b">
        <x:v>1</x:v>
      </x:c>
      <x:c r="J61" s="16" t="str">
        <x:v>422 π.Χ.–600 μ.Χ. (όριο άτλαντα)</x:v>
      </x:c>
      <x:c r="K61" s="16" t="str">
        <x:v>422 BCE–600 CE (atlas display cutoff)</x:v>
      </x:c>
      <x:c r="L61" s="16" t="str">
        <x:v>Το 600 μ.Χ. είναι το συμβατικό άνω όριο της παρούσας αρχαίας χρονογραμμής και όχι χρονολογία καταστροφής ή εγκατάλειψης.</x:v>
      </x:c>
      <x:c r="M61" s="16" t="str">
        <x:v>The year 600 CE is the conventional upper limit of this ancient timeline, not a date of destruction or abandonment.</x:v>
      </x:c>
      <x:c r="N61" s="14" t="str">
        <x:v>src-pleiades-226564</x:v>
      </x:c>
      <x:c r="O61" s="14" t="str">
        <x:v>reviewed</x:v>
      </x:c>
    </x:row>
    <x:row r="62" ht="38" customHeight="1">
      <x:c r="A62" s="14" t="str">
        <x:v>chronology-colony-clazomenae-primary</x:v>
      </x:c>
      <x:c r="B62" s="14" t="str">
        <x:v>colony-clazomenae</x:v>
      </x:c>
      <x:c r="C62" s="21" t="n">
        <x:v>-1000</x:v>
      </x:c>
      <x:c r="D62" s="21" t="n">
        <x:v>600</x:v>
      </x:c>
      <x:c r="E62" s="14" t="str">
        <x:v>approximate</x:v>
      </x:c>
      <x:c r="F62" s="14" t="str">
        <x:v>display_cutoff</x:v>
      </x:c>
      <x:c r="G62" s="14" t="str">
        <x:v>approximate</x:v>
      </x:c>
      <x:c r="H62" s="14" t="str">
        <x:v>occupation_window</x:v>
      </x:c>
      <x:c r="I62" s="20" t="b">
        <x:v>1</x:v>
      </x:c>
      <x:c r="J62" s="16" t="str">
        <x:v>1000 π.Χ.–600 μ.Χ. (όριο άτλαντα)</x:v>
      </x:c>
      <x:c r="K62" s="16" t="str">
        <x:v>1000 BCE–600 CE (atlas display cutoff)</x:v>
      </x:c>
      <x:c r="L62" s="16" t="str">
        <x:v>Το 600 μ.Χ. είναι το συμβατικό άνω όριο της παρούσας αρχαίας χρονογραμμής και όχι χρονολογία καταστροφής ή εγκατάλειψης.</x:v>
      </x:c>
      <x:c r="M62" s="16" t="str">
        <x:v>The year 600 CE is the conventional upper limit of this ancient timeline, not a date of destruction or abandonment.</x:v>
      </x:c>
      <x:c r="N62" s="14" t="str">
        <x:v>src-pleiades-550651</x:v>
      </x:c>
      <x:c r="O62" s="14" t="str">
        <x:v>reviewed</x:v>
      </x:c>
    </x:row>
    <x:row r="63" ht="38" customHeight="1">
      <x:c r="A63" s="14" t="str">
        <x:v>chronology-colony-cnidus-primary</x:v>
      </x:c>
      <x:c r="B63" s="14" t="str">
        <x:v>colony-cnidus</x:v>
      </x:c>
      <x:c r="C63" s="21" t="n">
        <x:v>-360</x:v>
      </x:c>
      <x:c r="D63" s="21" t="n">
        <x:v>700</x:v>
      </x:c>
      <x:c r="E63" s="14" t="str">
        <x:v>approximate</x:v>
      </x:c>
      <x:c r="F63" s="14" t="str">
        <x:v>approximate</x:v>
      </x:c>
      <x:c r="G63" s="14" t="str">
        <x:v>approximate</x:v>
      </x:c>
      <x:c r="H63" s="14" t="str">
        <x:v>occupation_window</x:v>
      </x:c>
      <x:c r="I63" s="20" t="b">
        <x:v>0</x:v>
      </x:c>
      <x:c r="J63" s="16" t="str">
        <x:v>360 π.Χ.–700 μ.Χ.</x:v>
      </x:c>
      <x:c r="K63" s="16" t="str">
        <x:v>360 BCE–700 CE</x:v>
      </x:c>
      <x:c r="L63" s="16"/>
      <x:c r="M63" s="16"/>
      <x:c r="N63" s="14" t="str">
        <x:v>src-pleiades-599575</x:v>
      </x:c>
      <x:c r="O63" s="14" t="str">
        <x:v>reviewed</x:v>
      </x:c>
    </x:row>
    <x:row r="64" ht="38" customHeight="1">
      <x:c r="A64" s="14" t="str">
        <x:v>chronology-colony-colophon-primary</x:v>
      </x:c>
      <x:c r="B64" s="14" t="str">
        <x:v>colony-colophon</x:v>
      </x:c>
      <x:c r="C64" s="21" t="n">
        <x:v>-1050</x:v>
      </x:c>
      <x:c r="D64" s="21" t="n">
        <x:v>600</x:v>
      </x:c>
      <x:c r="E64" s="14" t="str">
        <x:v>approximate</x:v>
      </x:c>
      <x:c r="F64" s="14" t="str">
        <x:v>display_cutoff</x:v>
      </x:c>
      <x:c r="G64" s="14" t="str">
        <x:v>approximate</x:v>
      </x:c>
      <x:c r="H64" s="14" t="str">
        <x:v>occupation_window</x:v>
      </x:c>
      <x:c r="I64" s="20" t="b">
        <x:v>1</x:v>
      </x:c>
      <x:c r="J64" s="16" t="str">
        <x:v>1050 π.Χ.–600 μ.Χ. (όριο άτλαντα)</x:v>
      </x:c>
      <x:c r="K64" s="16" t="str">
        <x:v>1050 BCE–600 CE (atlas display cutoff)</x:v>
      </x:c>
      <x:c r="L64" s="16" t="str">
        <x:v>Το 600 μ.Χ. είναι το συμβατικό άνω όριο της παρούσας αρχαίας χρονογραμμής και όχι χρονολογία καταστροφής ή εγκατάλειψης.</x:v>
      </x:c>
      <x:c r="M64" s="16" t="str">
        <x:v>The year 600 CE is the conventional upper limit of this ancient timeline, not a date of destruction or abandonment.</x:v>
      </x:c>
      <x:c r="N64" s="14" t="str">
        <x:v>src-pleiades-599577</x:v>
      </x:c>
      <x:c r="O64" s="14" t="str">
        <x:v>reviewed</x:v>
      </x:c>
    </x:row>
    <x:row r="65" ht="38" customHeight="1">
      <x:c r="A65" s="14" t="str">
        <x:v>chronology-colony-corcyra-primary</x:v>
      </x:c>
      <x:c r="B65" s="14" t="str">
        <x:v>colony-corcyra</x:v>
      </x:c>
      <x:c r="C65" s="21" t="n">
        <x:v>-734</x:v>
      </x:c>
      <x:c r="D65" s="21" t="n">
        <x:v>600</x:v>
      </x:c>
      <x:c r="E65" s="14" t="str">
        <x:v>approximate</x:v>
      </x:c>
      <x:c r="F65" s="14" t="str">
        <x:v>display_cutoff</x:v>
      </x:c>
      <x:c r="G65" s="14" t="str">
        <x:v>approximate</x:v>
      </x:c>
      <x:c r="H65" s="14" t="str">
        <x:v>occupation_window</x:v>
      </x:c>
      <x:c r="I65" s="20" t="b">
        <x:v>1</x:v>
      </x:c>
      <x:c r="J65" s="16" t="str">
        <x:v>734 π.Χ.–600 μ.Χ. (όριο άτλαντα)</x:v>
      </x:c>
      <x:c r="K65" s="16" t="str">
        <x:v>734 BCE–600 CE (atlas display cutoff)</x:v>
      </x:c>
      <x:c r="L65" s="16" t="str">
        <x:v>Το 600 μ.Χ. είναι το συμβατικό άνω όριο της παρούσας αρχαίας χρονογραμμής και όχι χρονολογία καταστροφής ή εγκατάλειψης.</x:v>
      </x:c>
      <x:c r="M65" s="16" t="str">
        <x:v>The year 600 CE is the conventional upper limit of this ancient timeline, not a date of destruction or abandonment.</x:v>
      </x:c>
      <x:c r="N65" s="14" t="str">
        <x:v>src-pleiades-530834</x:v>
      </x:c>
      <x:c r="O65" s="14" t="str">
        <x:v>reviewed</x:v>
      </x:c>
    </x:row>
    <x:row r="66" ht="38" customHeight="1">
      <x:c r="A66" s="14" t="str">
        <x:v>chronology-colony-croton-primary</x:v>
      </x:c>
      <x:c r="B66" s="14" t="str">
        <x:v>colony-croton</x:v>
      </x:c>
      <x:c r="C66" s="21" t="n">
        <x:v>-710</x:v>
      </x:c>
      <x:c r="D66" s="21" t="n">
        <x:v>600</x:v>
      </x:c>
      <x:c r="E66" s="14" t="str">
        <x:v>approximate</x:v>
      </x:c>
      <x:c r="F66" s="14" t="str">
        <x:v>display_cutoff</x:v>
      </x:c>
      <x:c r="G66" s="14" t="str">
        <x:v>approximate</x:v>
      </x:c>
      <x:c r="H66" s="14" t="str">
        <x:v>occupation_window</x:v>
      </x:c>
      <x:c r="I66" s="20" t="b">
        <x:v>1</x:v>
      </x:c>
      <x:c r="J66" s="16" t="str">
        <x:v>710 π.Χ.–600 μ.Χ. (όριο άτλαντα)</x:v>
      </x:c>
      <x:c r="K66" s="16" t="str">
        <x:v>710 BCE–600 CE (atlas display cutoff)</x:v>
      </x:c>
      <x:c r="L66" s="16" t="str">
        <x:v>Το 600 μ.Χ. είναι το συμβατικό άνω όριο της παρούσας αρχαίας χρονογραμμής και όχι χρονολογία καταστροφής ή εγκατάλειψης.</x:v>
      </x:c>
      <x:c r="M66" s="16" t="str">
        <x:v>The year 600 CE is the conventional upper limit of this ancient timeline, not a date of destruction or abandonment.</x:v>
      </x:c>
      <x:c r="N66" s="14" t="str">
        <x:v>src-pleiades-452317</x:v>
      </x:c>
      <x:c r="O66" s="14" t="str">
        <x:v>reviewed</x:v>
      </x:c>
    </x:row>
    <x:row r="67" ht="38" customHeight="1">
      <x:c r="A67" s="14" t="str">
        <x:v>chronology-colony-cumae-campania-primary</x:v>
      </x:c>
      <x:c r="B67" s="14" t="str">
        <x:v>colony-cumae-campania</x:v>
      </x:c>
      <x:c r="C67" s="21" t="n">
        <x:v>-750</x:v>
      </x:c>
      <x:c r="D67" s="21" t="n">
        <x:v>600</x:v>
      </x:c>
      <x:c r="E67" s="14" t="str">
        <x:v>approximate</x:v>
      </x:c>
      <x:c r="F67" s="14" t="str">
        <x:v>display_cutoff</x:v>
      </x:c>
      <x:c r="G67" s="14" t="str">
        <x:v>approximate</x:v>
      </x:c>
      <x:c r="H67" s="14" t="str">
        <x:v>occupation_window</x:v>
      </x:c>
      <x:c r="I67" s="20" t="b">
        <x:v>1</x:v>
      </x:c>
      <x:c r="J67" s="16" t="str">
        <x:v>750 π.Χ.–600 μ.Χ. (όριο άτλαντα)</x:v>
      </x:c>
      <x:c r="K67" s="16" t="str">
        <x:v>750 BCE–600 CE (atlas display cutoff)</x:v>
      </x:c>
      <x:c r="L67" s="16" t="str">
        <x:v>Το 600 μ.Χ. είναι το συμβατικό άνω όριο της παρούσας αρχαίας χρονογραμμής και όχι χρονολογία καταστροφής ή εγκατάλειψης.</x:v>
      </x:c>
      <x:c r="M67" s="16" t="str">
        <x:v>The year 600 CE is the conventional upper limit of this ancient timeline, not a date of destruction or abandonment.</x:v>
      </x:c>
      <x:c r="N67" s="14" t="str">
        <x:v>src-pleiades-432808</x:v>
      </x:c>
      <x:c r="O67" s="14" t="str">
        <x:v>reviewed</x:v>
      </x:c>
    </x:row>
    <x:row r="68" ht="38" customHeight="1">
      <x:c r="A68" s="14" t="str">
        <x:v>chronology-colony-cyme-aeolis-primary</x:v>
      </x:c>
      <x:c r="B68" s="14" t="str">
        <x:v>colony-cyme-aeolis</x:v>
      </x:c>
      <x:c r="C68" s="21" t="n">
        <x:v>-1050</x:v>
      </x:c>
      <x:c r="D68" s="21" t="n">
        <x:v>600</x:v>
      </x:c>
      <x:c r="E68" s="14" t="str">
        <x:v>approximate</x:v>
      </x:c>
      <x:c r="F68" s="14" t="str">
        <x:v>display_cutoff</x:v>
      </x:c>
      <x:c r="G68" s="14" t="str">
        <x:v>approximate</x:v>
      </x:c>
      <x:c r="H68" s="14" t="str">
        <x:v>occupation_window</x:v>
      </x:c>
      <x:c r="I68" s="20" t="b">
        <x:v>1</x:v>
      </x:c>
      <x:c r="J68" s="16" t="str">
        <x:v>1050 π.Χ.–600 μ.Χ. (όριο άτλαντα)</x:v>
      </x:c>
      <x:c r="K68" s="16" t="str">
        <x:v>1050 BCE–600 CE (atlas display cutoff)</x:v>
      </x:c>
      <x:c r="L68" s="16" t="str">
        <x:v>Το 600 μ.Χ. είναι το συμβατικό άνω όριο της παρούσας αρχαίας χρονογραμμής και όχι χρονολογία καταστροφής ή εγκατάλειψης.</x:v>
      </x:c>
      <x:c r="M68" s="16" t="str">
        <x:v>The year 600 CE is the conventional upper limit of this ancient timeline, not a date of destruction or abandonment.</x:v>
      </x:c>
      <x:c r="N68" s="14" t="str">
        <x:v>src-pleiades-550506</x:v>
      </x:c>
      <x:c r="O68" s="14" t="str">
        <x:v>reviewed</x:v>
      </x:c>
    </x:row>
    <x:row r="69" ht="38" customHeight="1">
      <x:c r="A69" s="14" t="str">
        <x:v>chronology-colony-cyrene-primary</x:v>
      </x:c>
      <x:c r="B69" s="14" t="str">
        <x:v>colony-cyrene</x:v>
      </x:c>
      <x:c r="C69" s="21" t="n">
        <x:v>-631</x:v>
      </x:c>
      <x:c r="D69" s="21" t="n">
        <x:v>600</x:v>
      </x:c>
      <x:c r="E69" s="14" t="str">
        <x:v>approximate</x:v>
      </x:c>
      <x:c r="F69" s="14" t="str">
        <x:v>display_cutoff</x:v>
      </x:c>
      <x:c r="G69" s="14" t="str">
        <x:v>approximate</x:v>
      </x:c>
      <x:c r="H69" s="14" t="str">
        <x:v>occupation_window</x:v>
      </x:c>
      <x:c r="I69" s="20" t="b">
        <x:v>1</x:v>
      </x:c>
      <x:c r="J69" s="16" t="str">
        <x:v>631 π.Χ.–600 μ.Χ. (όριο άτλαντα)</x:v>
      </x:c>
      <x:c r="K69" s="16" t="str">
        <x:v>631 BCE–600 CE (atlas display cutoff)</x:v>
      </x:c>
      <x:c r="L69" s="16" t="str">
        <x:v>Το 600 μ.Χ. είναι το συμβατικό άνω όριο της παρούσας αρχαίας χρονογραμμής και όχι χρονολογία καταστροφής ή εγκατάλειψης.</x:v>
      </x:c>
      <x:c r="M69" s="16" t="str">
        <x:v>The year 600 CE is the conventional upper limit of this ancient timeline, not a date of destruction or abandonment.</x:v>
      </x:c>
      <x:c r="N69" s="14" t="str">
        <x:v>src-pleiades-373778</x:v>
      </x:c>
      <x:c r="O69" s="14" t="str">
        <x:v>reviewed</x:v>
      </x:c>
    </x:row>
    <x:row r="70" ht="38" customHeight="1">
      <x:c r="A70" s="14" t="str">
        <x:v>chronology-colony-cyzicus-primary</x:v>
      </x:c>
      <x:c r="B70" s="14" t="str">
        <x:v>colony-cyzicus</x:v>
      </x:c>
      <x:c r="C70" s="21" t="n">
        <x:v>-756</x:v>
      </x:c>
      <x:c r="D70" s="21" t="n">
        <x:v>600</x:v>
      </x:c>
      <x:c r="E70" s="14" t="str">
        <x:v>approximate</x:v>
      </x:c>
      <x:c r="F70" s="14" t="str">
        <x:v>display_cutoff</x:v>
      </x:c>
      <x:c r="G70" s="14" t="str">
        <x:v>approximate</x:v>
      </x:c>
      <x:c r="H70" s="14" t="str">
        <x:v>occupation_window</x:v>
      </x:c>
      <x:c r="I70" s="20" t="b">
        <x:v>1</x:v>
      </x:c>
      <x:c r="J70" s="16" t="str">
        <x:v>756 π.Χ.–600 μ.Χ. (όριο άτλαντα)</x:v>
      </x:c>
      <x:c r="K70" s="16" t="str">
        <x:v>756 BCE–600 CE (atlas display cutoff)</x:v>
      </x:c>
      <x:c r="L70" s="16" t="str">
        <x:v>Το 600 μ.Χ. είναι το συμβατικό άνω όριο της παρούσας αρχαίας χρονογραμμής και όχι χρονολογία καταστροφής ή εγκατάλειψης.</x:v>
      </x:c>
      <x:c r="M70" s="16" t="str">
        <x:v>The year 600 CE is the conventional upper limit of this ancient timeline, not a date of destruction or abandonment.</x:v>
      </x:c>
      <x:c r="N70" s="14" t="str">
        <x:v>src-pleiades-511218</x:v>
      </x:c>
      <x:c r="O70" s="14" t="str">
        <x:v>reviewed</x:v>
      </x:c>
    </x:row>
    <x:row r="71" ht="38" customHeight="1">
      <x:c r="A71" s="14" t="str">
        <x:v>chronology-colony-dioscurias-primary</x:v>
      </x:c>
      <x:c r="B71" s="14" t="str">
        <x:v>colony-dioscurias</x:v>
      </x:c>
      <x:c r="C71" s="21" t="n">
        <x:v>-550</x:v>
      </x:c>
      <x:c r="D71" s="21" t="n">
        <x:v>600</x:v>
      </x:c>
      <x:c r="E71" s="14" t="str">
        <x:v>approximate</x:v>
      </x:c>
      <x:c r="F71" s="14" t="str">
        <x:v>display_cutoff</x:v>
      </x:c>
      <x:c r="G71" s="14" t="str">
        <x:v>approximate</x:v>
      </x:c>
      <x:c r="H71" s="14" t="str">
        <x:v>occupation_window</x:v>
      </x:c>
      <x:c r="I71" s="20" t="b">
        <x:v>1</x:v>
      </x:c>
      <x:c r="J71" s="16" t="str">
        <x:v>550 π.Χ.–600 μ.Χ. (όριο άτλαντα)</x:v>
      </x:c>
      <x:c r="K71" s="16" t="str">
        <x:v>550 BCE–600 CE (atlas display cutoff)</x:v>
      </x:c>
      <x:c r="L71" s="16" t="str">
        <x:v>Το 600 μ.Χ. είναι το συμβατικό άνω όριο της παρούσας αρχαίας χρονογραμμής και όχι χρονολογία καταστροφής ή εγκατάλειψης.</x:v>
      </x:c>
      <x:c r="M71" s="16" t="str">
        <x:v>The year 600 CE is the conventional upper limit of this ancient timeline, not a date of destruction or abandonment.</x:v>
      </x:c>
      <x:c r="N71" s="14" t="str">
        <x:v>src-pleiades-857107</x:v>
      </x:c>
      <x:c r="O71" s="14" t="str">
        <x:v>reviewed</x:v>
      </x:c>
    </x:row>
    <x:row r="72" ht="38" customHeight="1">
      <x:c r="A72" s="14" t="str">
        <x:v>chronology-colony-elea-velia-primary</x:v>
      </x:c>
      <x:c r="B72" s="14" t="str">
        <x:v>colony-elea-velia</x:v>
      </x:c>
      <x:c r="C72" s="21" t="n">
        <x:v>-540</x:v>
      </x:c>
      <x:c r="D72" s="21" t="n">
        <x:v>600</x:v>
      </x:c>
      <x:c r="E72" s="14" t="str">
        <x:v>approximate</x:v>
      </x:c>
      <x:c r="F72" s="14" t="str">
        <x:v>display_cutoff</x:v>
      </x:c>
      <x:c r="G72" s="14" t="str">
        <x:v>approximate</x:v>
      </x:c>
      <x:c r="H72" s="14" t="str">
        <x:v>occupation_window</x:v>
      </x:c>
      <x:c r="I72" s="20" t="b">
        <x:v>1</x:v>
      </x:c>
      <x:c r="J72" s="16" t="str">
        <x:v>540 π.Χ.–600 μ.Χ. (όριο άτλαντα)</x:v>
      </x:c>
      <x:c r="K72" s="16" t="str">
        <x:v>540 BCE–600 CE (atlas display cutoff)</x:v>
      </x:c>
      <x:c r="L72" s="16" t="str">
        <x:v>Το 600 μ.Χ. είναι το συμβατικό άνω όριο της παρούσας αρχαίας χρονογραμμής και όχι χρονολογία καταστροφής ή εγκατάλειψης.</x:v>
      </x:c>
      <x:c r="M72" s="16" t="str">
        <x:v>The year 600 CE is the conventional upper limit of this ancient timeline, not a date of destruction or abandonment.</x:v>
      </x:c>
      <x:c r="N72" s="14" t="str">
        <x:v>src-pleiades-452488</x:v>
      </x:c>
      <x:c r="O72" s="14" t="str">
        <x:v>reviewed</x:v>
      </x:c>
    </x:row>
    <x:row r="73" ht="38" customHeight="1">
      <x:c r="A73" s="14" t="str">
        <x:v>chronology-colony-emporion-iberia-primary</x:v>
      </x:c>
      <x:c r="B73" s="14" t="str">
        <x:v>colony-emporion-iberia</x:v>
      </x:c>
      <x:c r="C73" s="21" t="n">
        <x:v>-575</x:v>
      </x:c>
      <x:c r="D73" s="21" t="n">
        <x:v>600</x:v>
      </x:c>
      <x:c r="E73" s="14" t="str">
        <x:v>approximate</x:v>
      </x:c>
      <x:c r="F73" s="14" t="str">
        <x:v>display_cutoff</x:v>
      </x:c>
      <x:c r="G73" s="14" t="str">
        <x:v>approximate</x:v>
      </x:c>
      <x:c r="H73" s="14" t="str">
        <x:v>occupation_window</x:v>
      </x:c>
      <x:c r="I73" s="20" t="b">
        <x:v>1</x:v>
      </x:c>
      <x:c r="J73" s="16" t="str">
        <x:v>575 π.Χ.–600 μ.Χ. (όριο άτλαντα)</x:v>
      </x:c>
      <x:c r="K73" s="16" t="str">
        <x:v>575 BCE–600 CE (atlas display cutoff)</x:v>
      </x:c>
      <x:c r="L73" s="16" t="str">
        <x:v>Το 600 μ.Χ. είναι το συμβατικό άνω όριο της παρούσας αρχαίας χρονογραμμής και όχι χρονολογία καταστροφής ή εγκατάλειψης.</x:v>
      </x:c>
      <x:c r="M73" s="16" t="str">
        <x:v>The year 600 CE is the conventional upper limit of this ancient timeline, not a date of destruction or abandonment.</x:v>
      </x:c>
      <x:c r="N73" s="14" t="str">
        <x:v>src-pleiades-246382</x:v>
      </x:c>
      <x:c r="O73" s="14" t="str">
        <x:v>reviewed</x:v>
      </x:c>
    </x:row>
    <x:row r="74" ht="38" customHeight="1">
      <x:c r="A74" s="14" t="str">
        <x:v>chronology-colony-ephesus-primary</x:v>
      </x:c>
      <x:c r="B74" s="14" t="str">
        <x:v>colony-ephesus</x:v>
      </x:c>
      <x:c r="C74" s="21" t="n">
        <x:v>-1050</x:v>
      </x:c>
      <x:c r="D74" s="21" t="n">
        <x:v>600</x:v>
      </x:c>
      <x:c r="E74" s="14" t="str">
        <x:v>approximate</x:v>
      </x:c>
      <x:c r="F74" s="14" t="str">
        <x:v>display_cutoff</x:v>
      </x:c>
      <x:c r="G74" s="14" t="str">
        <x:v>approximate</x:v>
      </x:c>
      <x:c r="H74" s="14" t="str">
        <x:v>occupation_window</x:v>
      </x:c>
      <x:c r="I74" s="20" t="b">
        <x:v>1</x:v>
      </x:c>
      <x:c r="J74" s="16" t="str">
        <x:v>1050 π.Χ.–600 μ.Χ. (όριο άτλαντα)</x:v>
      </x:c>
      <x:c r="K74" s="16" t="str">
        <x:v>1050 BCE–600 CE (atlas display cutoff)</x:v>
      </x:c>
      <x:c r="L74" s="16" t="str">
        <x:v>Το 600 μ.Χ. είναι το συμβατικό άνω όριο της παρούσας αρχαίας χρονογραμμής και όχι χρονολογία καταστροφής ή εγκατάλειψης.</x:v>
      </x:c>
      <x:c r="M74" s="16" t="str">
        <x:v>The year 600 CE is the conventional upper limit of this ancient timeline, not a date of destruction or abandonment.</x:v>
      </x:c>
      <x:c r="N74" s="14" t="str">
        <x:v>src-pleiades-599612</x:v>
      </x:c>
      <x:c r="O74" s="14" t="str">
        <x:v>reviewed</x:v>
      </x:c>
    </x:row>
    <x:row r="75" ht="38" customHeight="1">
      <x:c r="A75" s="14" t="str">
        <x:v>chronology-colony-epidamnos-primary</x:v>
      </x:c>
      <x:c r="B75" s="14" t="str">
        <x:v>colony-epidamnos</x:v>
      </x:c>
      <x:c r="C75" s="21" t="n">
        <x:v>-627</x:v>
      </x:c>
      <x:c r="D75" s="21" t="n">
        <x:v>600</x:v>
      </x:c>
      <x:c r="E75" s="14" t="str">
        <x:v>approximate</x:v>
      </x:c>
      <x:c r="F75" s="14" t="str">
        <x:v>display_cutoff</x:v>
      </x:c>
      <x:c r="G75" s="14" t="str">
        <x:v>approximate</x:v>
      </x:c>
      <x:c r="H75" s="14" t="str">
        <x:v>occupation_window</x:v>
      </x:c>
      <x:c r="I75" s="20" t="b">
        <x:v>1</x:v>
      </x:c>
      <x:c r="J75" s="16" t="str">
        <x:v>627 π.Χ.–600 μ.Χ. (όριο άτλαντα)</x:v>
      </x:c>
      <x:c r="K75" s="16" t="str">
        <x:v>627 BCE–600 CE (atlas display cutoff)</x:v>
      </x:c>
      <x:c r="L75" s="16" t="str">
        <x:v>Το 600 μ.Χ. είναι το συμβατικό άνω όριο της παρούσας αρχαίας χρονογραμμής και όχι χρονολογία καταστροφής ή εγκατάλειψης.</x:v>
      </x:c>
      <x:c r="M75" s="16" t="str">
        <x:v>The year 600 CE is the conventional upper limit of this ancient timeline, not a date of destruction or abandonment.</x:v>
      </x:c>
      <x:c r="N75" s="14" t="str">
        <x:v>src-pleiades-481818</x:v>
      </x:c>
      <x:c r="O75" s="14" t="str">
        <x:v>reviewed</x:v>
      </x:c>
    </x:row>
    <x:row r="76" ht="38" customHeight="1">
      <x:c r="A76" s="14" t="str">
        <x:v>chronology-colony-erythrae-ionia-primary</x:v>
      </x:c>
      <x:c r="B76" s="14" t="str">
        <x:v>colony-erythrae-ionia</x:v>
      </x:c>
      <x:c r="C76" s="21" t="n">
        <x:v>-1000</x:v>
      </x:c>
      <x:c r="D76" s="21" t="n">
        <x:v>600</x:v>
      </x:c>
      <x:c r="E76" s="14" t="str">
        <x:v>approximate</x:v>
      </x:c>
      <x:c r="F76" s="14" t="str">
        <x:v>display_cutoff</x:v>
      </x:c>
      <x:c r="G76" s="14" t="str">
        <x:v>approximate</x:v>
      </x:c>
      <x:c r="H76" s="14" t="str">
        <x:v>occupation_window</x:v>
      </x:c>
      <x:c r="I76" s="20" t="b">
        <x:v>1</x:v>
      </x:c>
      <x:c r="J76" s="16" t="str">
        <x:v>1000 π.Χ.–600 μ.Χ. (όριο άτλαντα)</x:v>
      </x:c>
      <x:c r="K76" s="16" t="str">
        <x:v>1000 BCE–600 CE (atlas display cutoff)</x:v>
      </x:c>
      <x:c r="L76" s="16" t="str">
        <x:v>Το 600 μ.Χ. είναι το συμβατικό άνω όριο της παρούσας αρχαίας χρονογραμμής και όχι χρονολογία καταστροφής ή εγκατάλειψης.</x:v>
      </x:c>
      <x:c r="M76" s="16" t="str">
        <x:v>The year 600 CE is the conventional upper limit of this ancient timeline, not a date of destruction or abandonment.</x:v>
      </x:c>
      <x:c r="N76" s="14" t="str">
        <x:v>src-pleiades-550535</x:v>
      </x:c>
      <x:c r="O76" s="14" t="str">
        <x:v>reviewed</x:v>
      </x:c>
    </x:row>
    <x:row r="77" ht="38" customHeight="1">
      <x:c r="A77" s="14" t="str">
        <x:v>chronology-colony-euesperides-primary</x:v>
      </x:c>
      <x:c r="B77" s="14" t="str">
        <x:v>colony-euesperides</x:v>
      </x:c>
      <x:c r="C77" s="21" t="n">
        <x:v>-520</x:v>
      </x:c>
      <x:c r="D77" s="21" t="n">
        <x:v>-250</x:v>
      </x:c>
      <x:c r="E77" s="14" t="str">
        <x:v>approximate</x:v>
      </x:c>
      <x:c r="F77" s="14" t="str">
        <x:v>approximate</x:v>
      </x:c>
      <x:c r="G77" s="14" t="str">
        <x:v>approximate</x:v>
      </x:c>
      <x:c r="H77" s="14" t="str">
        <x:v>occupation_window</x:v>
      </x:c>
      <x:c r="I77" s="20" t="b">
        <x:v>0</x:v>
      </x:c>
      <x:c r="J77" s="16" t="str">
        <x:v>520 π.Χ.–250 π.Χ.</x:v>
      </x:c>
      <x:c r="K77" s="16" t="str">
        <x:v>520 BCE–250 BCE</x:v>
      </x:c>
      <x:c r="L77" s="16"/>
      <x:c r="M77" s="16"/>
      <x:c r="N77" s="14" t="str">
        <x:v>src-pleiades-373786</x:v>
      </x:c>
      <x:c r="O77" s="14" t="str">
        <x:v>reviewed</x:v>
      </x:c>
    </x:row>
    <x:row r="78" ht="38" customHeight="1">
      <x:c r="A78" s="14" t="str">
        <x:v>chronology-colony-gela-primary</x:v>
      </x:c>
      <x:c r="B78" s="14" t="str">
        <x:v>colony-gela</x:v>
      </x:c>
      <x:c r="C78" s="21" t="n">
        <x:v>-688</x:v>
      </x:c>
      <x:c r="D78" s="21" t="n">
        <x:v>600</x:v>
      </x:c>
      <x:c r="E78" s="14" t="str">
        <x:v>approximate</x:v>
      </x:c>
      <x:c r="F78" s="14" t="str">
        <x:v>display_cutoff</x:v>
      </x:c>
      <x:c r="G78" s="14" t="str">
        <x:v>approximate</x:v>
      </x:c>
      <x:c r="H78" s="14" t="str">
        <x:v>occupation_window</x:v>
      </x:c>
      <x:c r="I78" s="20" t="b">
        <x:v>1</x:v>
      </x:c>
      <x:c r="J78" s="16" t="str">
        <x:v>688 π.Χ.–600 μ.Χ. (όριο άτλαντα)</x:v>
      </x:c>
      <x:c r="K78" s="16" t="str">
        <x:v>688 BCE–600 CE (atlas display cutoff)</x:v>
      </x:c>
      <x:c r="L78" s="16" t="str">
        <x:v>Το 600 μ.Χ. είναι το συμβατικό άνω όριο της παρούσας αρχαίας χρονογραμμής και όχι χρονολογία καταστροφής ή εγκατάλειψης.</x:v>
      </x:c>
      <x:c r="M78" s="16" t="str">
        <x:v>The year 600 CE is the conventional upper limit of this ancient timeline, not a date of destruction or abandonment.</x:v>
      </x:c>
      <x:c r="N78" s="14" t="str">
        <x:v>src-pleiades-462214</x:v>
      </x:c>
      <x:c r="O78" s="14" t="str">
        <x:v>reviewed</x:v>
      </x:c>
    </x:row>
    <x:row r="79" ht="38" customHeight="1">
      <x:c r="A79" s="14" t="str">
        <x:v>chronology-colony-halicarnassus-primary</x:v>
      </x:c>
      <x:c r="B79" s="14" t="str">
        <x:v>colony-halicarnassus</x:v>
      </x:c>
      <x:c r="C79" s="21" t="n">
        <x:v>-1000</x:v>
      </x:c>
      <x:c r="D79" s="21" t="n">
        <x:v>600</x:v>
      </x:c>
      <x:c r="E79" s="14" t="str">
        <x:v>approximate</x:v>
      </x:c>
      <x:c r="F79" s="14" t="str">
        <x:v>display_cutoff</x:v>
      </x:c>
      <x:c r="G79" s="14" t="str">
        <x:v>approximate</x:v>
      </x:c>
      <x:c r="H79" s="14" t="str">
        <x:v>occupation_window</x:v>
      </x:c>
      <x:c r="I79" s="20" t="b">
        <x:v>1</x:v>
      </x:c>
      <x:c r="J79" s="16" t="str">
        <x:v>1000 π.Χ.–600 μ.Χ. (όριο άτλαντα)</x:v>
      </x:c>
      <x:c r="K79" s="16" t="str">
        <x:v>1000 BCE–600 CE (atlas display cutoff)</x:v>
      </x:c>
      <x:c r="L79" s="16" t="str">
        <x:v>Το 600 μ.Χ. είναι το συμβατικό άνω όριο της παρούσας αρχαίας χρονογραμμής και όχι χρονολογία καταστροφής ή εγκατάλειψης.</x:v>
      </x:c>
      <x:c r="M79" s="16" t="str">
        <x:v>The year 600 CE is the conventional upper limit of this ancient timeline, not a date of destruction or abandonment.</x:v>
      </x:c>
      <x:c r="N79" s="14" t="str">
        <x:v>src-pleiades-599636</x:v>
      </x:c>
      <x:c r="O79" s="14" t="str">
        <x:v>reviewed</x:v>
      </x:c>
    </x:row>
    <x:row r="80" ht="38" customHeight="1">
      <x:c r="A80" s="14" t="str">
        <x:v>chronology-colony-heraclea-pontica-primary</x:v>
      </x:c>
      <x:c r="B80" s="14" t="str">
        <x:v>colony-heraclea-pontica</x:v>
      </x:c>
      <x:c r="C80" s="21" t="n">
        <x:v>-560</x:v>
      </x:c>
      <x:c r="D80" s="21" t="n">
        <x:v>600</x:v>
      </x:c>
      <x:c r="E80" s="14" t="str">
        <x:v>approximate</x:v>
      </x:c>
      <x:c r="F80" s="14" t="str">
        <x:v>display_cutoff</x:v>
      </x:c>
      <x:c r="G80" s="14" t="str">
        <x:v>approximate</x:v>
      </x:c>
      <x:c r="H80" s="14" t="str">
        <x:v>occupation_window</x:v>
      </x:c>
      <x:c r="I80" s="20" t="b">
        <x:v>1</x:v>
      </x:c>
      <x:c r="J80" s="16" t="str">
        <x:v>560 π.Χ.–600 μ.Χ. (όριο άτλαντα)</x:v>
      </x:c>
      <x:c r="K80" s="16" t="str">
        <x:v>560 BCE–600 CE (atlas display cutoff)</x:v>
      </x:c>
      <x:c r="L80" s="16" t="str">
        <x:v>Το 600 μ.Χ. είναι το συμβατικό άνω όριο της παρούσας αρχαίας χρονογραμμής και όχι χρονολογία καταστροφής ή εγκατάλειψης.</x:v>
      </x:c>
      <x:c r="M80" s="16" t="str">
        <x:v>The year 600 CE is the conventional upper limit of this ancient timeline, not a date of destruction or abandonment.</x:v>
      </x:c>
      <x:c r="N80" s="14" t="str">
        <x:v>src-pleiades-844944</x:v>
      </x:c>
      <x:c r="O80" s="14" t="str">
        <x:v>reviewed</x:v>
      </x:c>
    </x:row>
    <x:row r="81" ht="38" customHeight="1">
      <x:c r="A81" s="14" t="str">
        <x:v>chronology-colony-himera-primary</x:v>
      </x:c>
      <x:c r="B81" s="14" t="str">
        <x:v>colony-himera</x:v>
      </x:c>
      <x:c r="C81" s="21" t="n">
        <x:v>-648</x:v>
      </x:c>
      <x:c r="D81" s="21" t="n">
        <x:v>-409</x:v>
      </x:c>
      <x:c r="E81" s="14" t="str">
        <x:v>approximate</x:v>
      </x:c>
      <x:c r="F81" s="14" t="str">
        <x:v>approximate</x:v>
      </x:c>
      <x:c r="G81" s="14" t="str">
        <x:v>approximate</x:v>
      </x:c>
      <x:c r="H81" s="14" t="str">
        <x:v>occupation_window</x:v>
      </x:c>
      <x:c r="I81" s="20" t="b">
        <x:v>0</x:v>
      </x:c>
      <x:c r="J81" s="16" t="str">
        <x:v>648 π.Χ.–409 π.Χ.</x:v>
      </x:c>
      <x:c r="K81" s="16" t="str">
        <x:v>648 BCE–409 BCE</x:v>
      </x:c>
      <x:c r="L81" s="16"/>
      <x:c r="M81" s="16"/>
      <x:c r="N81" s="14" t="str">
        <x:v>src-pleiades-462244</x:v>
      </x:c>
      <x:c r="O81" s="14" t="str">
        <x:v>reviewed</x:v>
      </x:c>
    </x:row>
    <x:row r="82" ht="38" customHeight="1">
      <x:c r="A82" s="14" t="str">
        <x:v>chronology-colony-histria-pontica-primary</x:v>
      </x:c>
      <x:c r="B82" s="14" t="str">
        <x:v>colony-histria-pontica</x:v>
      </x:c>
      <x:c r="C82" s="21" t="n">
        <x:v>-657</x:v>
      </x:c>
      <x:c r="D82" s="21" t="n">
        <x:v>700</x:v>
      </x:c>
      <x:c r="E82" s="14" t="str">
        <x:v>approximate</x:v>
      </x:c>
      <x:c r="F82" s="14" t="str">
        <x:v>approximate</x:v>
      </x:c>
      <x:c r="G82" s="14" t="str">
        <x:v>approximate</x:v>
      </x:c>
      <x:c r="H82" s="14" t="str">
        <x:v>occupation_window</x:v>
      </x:c>
      <x:c r="I82" s="20" t="b">
        <x:v>0</x:v>
      </x:c>
      <x:c r="J82" s="16" t="str">
        <x:v>657 π.Χ.–700 μ.Χ.</x:v>
      </x:c>
      <x:c r="K82" s="16" t="str">
        <x:v>657 BCE–700 CE</x:v>
      </x:c>
      <x:c r="L82" s="16"/>
      <x:c r="M82" s="16"/>
      <x:c r="N82" s="14" t="str">
        <x:v>src-pleiades-216839</x:v>
      </x:c>
      <x:c r="O82" s="14" t="str">
        <x:v>reviewed</x:v>
      </x:c>
    </x:row>
    <x:row r="83" ht="38" customHeight="1">
      <x:c r="A83" s="14" t="str">
        <x:v>chronology-colony-iasos-primary</x:v>
      </x:c>
      <x:c r="B83" s="14" t="str">
        <x:v>colony-iasos</x:v>
      </x:c>
      <x:c r="C83" s="21" t="n">
        <x:v>-1000</x:v>
      </x:c>
      <x:c r="D83" s="21" t="n">
        <x:v>600</x:v>
      </x:c>
      <x:c r="E83" s="14" t="str">
        <x:v>approximate</x:v>
      </x:c>
      <x:c r="F83" s="14" t="str">
        <x:v>display_cutoff</x:v>
      </x:c>
      <x:c r="G83" s="14" t="str">
        <x:v>approximate</x:v>
      </x:c>
      <x:c r="H83" s="14" t="str">
        <x:v>occupation_window</x:v>
      </x:c>
      <x:c r="I83" s="20" t="b">
        <x:v>1</x:v>
      </x:c>
      <x:c r="J83" s="16" t="str">
        <x:v>1000 π.Χ.–600 μ.Χ. (όριο άτλαντα)</x:v>
      </x:c>
      <x:c r="K83" s="16" t="str">
        <x:v>1000 BCE–600 CE (atlas display cutoff)</x:v>
      </x:c>
      <x:c r="L83" s="16" t="str">
        <x:v>Το 600 μ.Χ. είναι το συμβατικό άνω όριο της παρούσας αρχαίας χρονογραμμής και όχι χρονολογία καταστροφής ή εγκατάλειψης.</x:v>
      </x:c>
      <x:c r="M83" s="16" t="str">
        <x:v>The year 600 CE is the conventional upper limit of this ancient timeline, not a date of destruction or abandonment.</x:v>
      </x:c>
      <x:c r="N83" s="14" t="str">
        <x:v>src-pleiades-599664</x:v>
      </x:c>
      <x:c r="O83" s="14" t="str">
        <x:v>reviewed</x:v>
      </x:c>
    </x:row>
    <x:row r="84" ht="38" customHeight="1">
      <x:c r="A84" s="14" t="str">
        <x:v>chronology-colony-issa-vis-primary</x:v>
      </x:c>
      <x:c r="B84" s="14" t="str">
        <x:v>colony-issa-vis</x:v>
      </x:c>
      <x:c r="C84" s="21" t="n">
        <x:v>-397</x:v>
      </x:c>
      <x:c r="D84" s="21" t="n">
        <x:v>600</x:v>
      </x:c>
      <x:c r="E84" s="14" t="str">
        <x:v>approximate</x:v>
      </x:c>
      <x:c r="F84" s="14" t="str">
        <x:v>display_cutoff</x:v>
      </x:c>
      <x:c r="G84" s="14" t="str">
        <x:v>approximate</x:v>
      </x:c>
      <x:c r="H84" s="14" t="str">
        <x:v>occupation_window</x:v>
      </x:c>
      <x:c r="I84" s="20" t="b">
        <x:v>1</x:v>
      </x:c>
      <x:c r="J84" s="16" t="str">
        <x:v>397 π.Χ.–600 μ.Χ. (όριο άτλαντα)</x:v>
      </x:c>
      <x:c r="K84" s="16" t="str">
        <x:v>397 BCE–600 CE (atlas display cutoff)</x:v>
      </x:c>
      <x:c r="L84" s="16" t="str">
        <x:v>Το 600 μ.Χ. είναι το συμβατικό άνω όριο της παρούσας αρχαίας χρονογραμμής και όχι χρονολογία καταστροφής ή εγκατάλειψης.</x:v>
      </x:c>
      <x:c r="M84" s="16" t="str">
        <x:v>The year 600 CE is the conventional upper limit of this ancient timeline, not a date of destruction or abandonment.</x:v>
      </x:c>
      <x:c r="N84" s="14" t="str">
        <x:v>src-armus-4dde844bac8f</x:v>
      </x:c>
      <x:c r="O84" s="14" t="str">
        <x:v>reviewed</x:v>
      </x:c>
    </x:row>
    <x:row r="85" ht="38" customHeight="1">
      <x:c r="A85" s="14" t="str">
        <x:v>chronology-colony-lampsacus-primary</x:v>
      </x:c>
      <x:c r="B85" s="14" t="str">
        <x:v>colony-lampsacus</x:v>
      </x:c>
      <x:c r="C85" s="21" t="n">
        <x:v>-650</x:v>
      </x:c>
      <x:c r="D85" s="21" t="n">
        <x:v>600</x:v>
      </x:c>
      <x:c r="E85" s="14" t="str">
        <x:v>approximate</x:v>
      </x:c>
      <x:c r="F85" s="14" t="str">
        <x:v>display_cutoff</x:v>
      </x:c>
      <x:c r="G85" s="14" t="str">
        <x:v>approximate</x:v>
      </x:c>
      <x:c r="H85" s="14" t="str">
        <x:v>occupation_window</x:v>
      </x:c>
      <x:c r="I85" s="20" t="b">
        <x:v>1</x:v>
      </x:c>
      <x:c r="J85" s="16" t="str">
        <x:v>650 π.Χ.–600 μ.Χ. (όριο άτλαντα)</x:v>
      </x:c>
      <x:c r="K85" s="16" t="str">
        <x:v>650 BCE–600 CE (atlas display cutoff)</x:v>
      </x:c>
      <x:c r="L85" s="16" t="str">
        <x:v>Το 600 μ.Χ. είναι το συμβατικό άνω όριο της παρούσας αρχαίας χρονογραμμής και όχι χρονολογία καταστροφής ή εγκατάλειψης.</x:v>
      </x:c>
      <x:c r="M85" s="16" t="str">
        <x:v>The year 600 CE is the conventional upper limit of this ancient timeline, not a date of destruction or abandonment.</x:v>
      </x:c>
      <x:c r="N85" s="14" t="str">
        <x:v>src-pleiades-501570</x:v>
      </x:c>
      <x:c r="O85" s="14" t="str">
        <x:v>reviewed</x:v>
      </x:c>
    </x:row>
    <x:row r="86" ht="38" customHeight="1">
      <x:c r="A86" s="14" t="str">
        <x:v>chronology-colony-leontinoi-primary</x:v>
      </x:c>
      <x:c r="B86" s="14" t="str">
        <x:v>colony-leontinoi</x:v>
      </x:c>
      <x:c r="C86" s="21" t="n">
        <x:v>-729</x:v>
      </x:c>
      <x:c r="D86" s="21" t="n">
        <x:v>600</x:v>
      </x:c>
      <x:c r="E86" s="14" t="str">
        <x:v>approximate</x:v>
      </x:c>
      <x:c r="F86" s="14" t="str">
        <x:v>display_cutoff</x:v>
      </x:c>
      <x:c r="G86" s="14" t="str">
        <x:v>approximate</x:v>
      </x:c>
      <x:c r="H86" s="14" t="str">
        <x:v>occupation_window</x:v>
      </x:c>
      <x:c r="I86" s="20" t="b">
        <x:v>1</x:v>
      </x:c>
      <x:c r="J86" s="16" t="str">
        <x:v>729 π.Χ.–600 μ.Χ. (όριο άτλαντα)</x:v>
      </x:c>
      <x:c r="K86" s="16" t="str">
        <x:v>729 BCE–600 CE (atlas display cutoff)</x:v>
      </x:c>
      <x:c r="L86" s="16" t="str">
        <x:v>Το 600 μ.Χ. είναι το συμβατικό άνω όριο της παρούσας αρχαίας χρονογραμμής και όχι χρονολογία καταστροφής ή εγκατάλειψης.</x:v>
      </x:c>
      <x:c r="M86" s="16" t="str">
        <x:v>The year 600 CE is the conventional upper limit of this ancient timeline, not a date of destruction or abandonment.</x:v>
      </x:c>
      <x:c r="N86" s="14" t="str">
        <x:v>src-pleiades-462279</x:v>
      </x:c>
      <x:c r="O86" s="14" t="str">
        <x:v>reviewed</x:v>
      </x:c>
    </x:row>
    <x:row r="87" ht="38" customHeight="1">
      <x:c r="A87" s="14" t="str">
        <x:v>chronology-colony-locri-epizephyrii-primary</x:v>
      </x:c>
      <x:c r="B87" s="14" t="str">
        <x:v>colony-locri-epizephyrii</x:v>
      </x:c>
      <x:c r="C87" s="21" t="n">
        <x:v>-680</x:v>
      </x:c>
      <x:c r="D87" s="21" t="n">
        <x:v>600</x:v>
      </x:c>
      <x:c r="E87" s="14" t="str">
        <x:v>approximate</x:v>
      </x:c>
      <x:c r="F87" s="14" t="str">
        <x:v>display_cutoff</x:v>
      </x:c>
      <x:c r="G87" s="14" t="str">
        <x:v>approximate</x:v>
      </x:c>
      <x:c r="H87" s="14" t="str">
        <x:v>occupation_window</x:v>
      </x:c>
      <x:c r="I87" s="20" t="b">
        <x:v>1</x:v>
      </x:c>
      <x:c r="J87" s="16" t="str">
        <x:v>680 π.Χ.–600 μ.Χ. (όριο άτλαντα)</x:v>
      </x:c>
      <x:c r="K87" s="16" t="str">
        <x:v>680 BCE–600 CE (atlas display cutoff)</x:v>
      </x:c>
      <x:c r="L87" s="16" t="str">
        <x:v>Το 600 μ.Χ. είναι το συμβατικό άνω όριο της παρούσας αρχαίας χρονογραμμής και όχι χρονολογία καταστροφής ή εγκατάλειψης.</x:v>
      </x:c>
      <x:c r="M87" s="16" t="str">
        <x:v>The year 600 CE is the conventional upper limit of this ancient timeline, not a date of destruction or abandonment.</x:v>
      </x:c>
      <x:c r="N87" s="14" t="str">
        <x:v>src-pleiades-452369</x:v>
      </x:c>
      <x:c r="O87" s="14" t="str">
        <x:v>reviewed</x:v>
      </x:c>
    </x:row>
    <x:row r="88" ht="38" customHeight="1">
      <x:c r="A88" s="14" t="str">
        <x:v>chronology-colony-magnesia-maeander-primary</x:v>
      </x:c>
      <x:c r="B88" s="14" t="str">
        <x:v>colony-magnesia-maeander</x:v>
      </x:c>
      <x:c r="C88" s="21" t="n">
        <x:v>-1000</x:v>
      </x:c>
      <x:c r="D88" s="21" t="n">
        <x:v>600</x:v>
      </x:c>
      <x:c r="E88" s="14" t="str">
        <x:v>approximate</x:v>
      </x:c>
      <x:c r="F88" s="14" t="str">
        <x:v>display_cutoff</x:v>
      </x:c>
      <x:c r="G88" s="14" t="str">
        <x:v>approximate</x:v>
      </x:c>
      <x:c r="H88" s="14" t="str">
        <x:v>occupation_window</x:v>
      </x:c>
      <x:c r="I88" s="20" t="b">
        <x:v>1</x:v>
      </x:c>
      <x:c r="J88" s="16" t="str">
        <x:v>1000 π.Χ.–600 μ.Χ. (όριο άτλαντα)</x:v>
      </x:c>
      <x:c r="K88" s="16" t="str">
        <x:v>1000 BCE–600 CE (atlas display cutoff)</x:v>
      </x:c>
      <x:c r="L88" s="16" t="str">
        <x:v>Το 600 μ.Χ. είναι το συμβατικό άνω όριο της παρούσας αρχαίας χρονογραμμής και όχι χρονολογία καταστροφής ή εγκατάλειψης.</x:v>
      </x:c>
      <x:c r="M88" s="16" t="str">
        <x:v>The year 600 CE is the conventional upper limit of this ancient timeline, not a date of destruction or abandonment.</x:v>
      </x:c>
      <x:c r="N88" s="14" t="str">
        <x:v>src-pleiades-599778</x:v>
      </x:c>
      <x:c r="O88" s="14" t="str">
        <x:v>reviewed</x:v>
      </x:c>
    </x:row>
    <x:row r="89" ht="38" customHeight="1">
      <x:c r="A89" s="14" t="str">
        <x:v>chronology-colony-massalia-primary</x:v>
      </x:c>
      <x:c r="B89" s="14" t="str">
        <x:v>colony-massalia</x:v>
      </x:c>
      <x:c r="C89" s="21" t="n">
        <x:v>-600</x:v>
      </x:c>
      <x:c r="D89" s="21" t="n">
        <x:v>600</x:v>
      </x:c>
      <x:c r="E89" s="14" t="str">
        <x:v>approximate</x:v>
      </x:c>
      <x:c r="F89" s="14" t="str">
        <x:v>display_cutoff</x:v>
      </x:c>
      <x:c r="G89" s="14" t="str">
        <x:v>approximate</x:v>
      </x:c>
      <x:c r="H89" s="14" t="str">
        <x:v>occupation_window</x:v>
      </x:c>
      <x:c r="I89" s="20" t="b">
        <x:v>1</x:v>
      </x:c>
      <x:c r="J89" s="16" t="str">
        <x:v>600 π.Χ.–600 μ.Χ. (όριο άτλαντα)</x:v>
      </x:c>
      <x:c r="K89" s="16" t="str">
        <x:v>600 BCE–600 CE (atlas display cutoff)</x:v>
      </x:c>
      <x:c r="L89" s="16" t="str">
        <x:v>Το 600 μ.Χ. είναι το συμβατικό άνω όριο της παρούσας αρχαίας χρονογραμμής και όχι χρονολογία καταστροφής ή εγκατάλειψης.</x:v>
      </x:c>
      <x:c r="M89" s="16" t="str">
        <x:v>The year 600 CE is the conventional upper limit of this ancient timeline, not a date of destruction or abandonment.</x:v>
      </x:c>
      <x:c r="N89" s="14" t="str">
        <x:v>src-pleiades-148127</x:v>
      </x:c>
      <x:c r="O89" s="14" t="str">
        <x:v>reviewed</x:v>
      </x:c>
    </x:row>
    <x:row r="90" ht="38" customHeight="1">
      <x:c r="A90" s="14" t="str">
        <x:v>chronology-colony-megara-hyblaea-primary</x:v>
      </x:c>
      <x:c r="B90" s="14" t="str">
        <x:v>colony-megara-hyblaea</x:v>
      </x:c>
      <x:c r="C90" s="21" t="n">
        <x:v>-728</x:v>
      </x:c>
      <x:c r="D90" s="21" t="n">
        <x:v>-483</x:v>
      </x:c>
      <x:c r="E90" s="14" t="str">
        <x:v>approximate</x:v>
      </x:c>
      <x:c r="F90" s="14" t="str">
        <x:v>approximate</x:v>
      </x:c>
      <x:c r="G90" s="14" t="str">
        <x:v>approximate</x:v>
      </x:c>
      <x:c r="H90" s="14" t="str">
        <x:v>occupation_window</x:v>
      </x:c>
      <x:c r="I90" s="20" t="b">
        <x:v>0</x:v>
      </x:c>
      <x:c r="J90" s="16" t="str">
        <x:v>728 π.Χ.–483 π.Χ.</x:v>
      </x:c>
      <x:c r="K90" s="16" t="str">
        <x:v>728 BCE–483 BCE</x:v>
      </x:c>
      <x:c r="L90" s="16"/>
      <x:c r="M90" s="16"/>
      <x:c r="N90" s="14" t="str">
        <x:v>src-pleiades-462307</x:v>
      </x:c>
      <x:c r="O90" s="14" t="str">
        <x:v>reviewed</x:v>
      </x:c>
    </x:row>
    <x:row r="91" ht="38" customHeight="1">
      <x:c r="A91" s="14" t="str">
        <x:v>chronology-colony-mesembria-primary</x:v>
      </x:c>
      <x:c r="B91" s="14" t="str">
        <x:v>colony-mesembria</x:v>
      </x:c>
      <x:c r="C91" s="21" t="n">
        <x:v>-510</x:v>
      </x:c>
      <x:c r="D91" s="21" t="n">
        <x:v>600</x:v>
      </x:c>
      <x:c r="E91" s="14" t="str">
        <x:v>approximate</x:v>
      </x:c>
      <x:c r="F91" s="14" t="str">
        <x:v>display_cutoff</x:v>
      </x:c>
      <x:c r="G91" s="14" t="str">
        <x:v>approximate</x:v>
      </x:c>
      <x:c r="H91" s="14" t="str">
        <x:v>occupation_window</x:v>
      </x:c>
      <x:c r="I91" s="20" t="b">
        <x:v>1</x:v>
      </x:c>
      <x:c r="J91" s="16" t="str">
        <x:v>510 π.Χ.–600 μ.Χ. (όριο άτλαντα)</x:v>
      </x:c>
      <x:c r="K91" s="16" t="str">
        <x:v>510 BCE–600 CE (atlas display cutoff)</x:v>
      </x:c>
      <x:c r="L91" s="16" t="str">
        <x:v>Το 600 μ.Χ. είναι το συμβατικό άνω όριο της παρούσας αρχαίας χρονογραμμής και όχι χρονολογία καταστροφής ή εγκατάλειψης.</x:v>
      </x:c>
      <x:c r="M91" s="16" t="str">
        <x:v>The year 600 CE is the conventional upper limit of this ancient timeline, not a date of destruction or abandonment.</x:v>
      </x:c>
      <x:c r="N91" s="14" t="str">
        <x:v>src-pleiades-216882</x:v>
      </x:c>
      <x:c r="O91" s="14" t="str">
        <x:v>reviewed</x:v>
      </x:c>
    </x:row>
    <x:row r="92" ht="38" customHeight="1">
      <x:c r="A92" s="14" t="str">
        <x:v>chronology-colony-metapontum-primary</x:v>
      </x:c>
      <x:c r="B92" s="14" t="str">
        <x:v>colony-metapontum</x:v>
      </x:c>
      <x:c r="C92" s="21" t="n">
        <x:v>-700</x:v>
      </x:c>
      <x:c r="D92" s="21" t="n">
        <x:v>600</x:v>
      </x:c>
      <x:c r="E92" s="14" t="str">
        <x:v>approximate</x:v>
      </x:c>
      <x:c r="F92" s="14" t="str">
        <x:v>display_cutoff</x:v>
      </x:c>
      <x:c r="G92" s="14" t="str">
        <x:v>approximate</x:v>
      </x:c>
      <x:c r="H92" s="14" t="str">
        <x:v>occupation_window</x:v>
      </x:c>
      <x:c r="I92" s="20" t="b">
        <x:v>1</x:v>
      </x:c>
      <x:c r="J92" s="16" t="str">
        <x:v>700 π.Χ.–600 μ.Χ. (όριο άτλαντα)</x:v>
      </x:c>
      <x:c r="K92" s="16" t="str">
        <x:v>700 BCE–600 CE (atlas display cutoff)</x:v>
      </x:c>
      <x:c r="L92" s="16" t="str">
        <x:v>Το 600 μ.Χ. είναι το συμβατικό άνω όριο της παρούσας αρχαίας χρονογραμμής και όχι χρονολογία καταστροφής ή εγκατάλειψης.</x:v>
      </x:c>
      <x:c r="M92" s="16" t="str">
        <x:v>The year 600 CE is the conventional upper limit of this ancient timeline, not a date of destruction or abandonment.</x:v>
      </x:c>
      <x:c r="N92" s="14" t="str">
        <x:v>src-pleiades-442658</x:v>
      </x:c>
      <x:c r="O92" s="14" t="str">
        <x:v>reviewed</x:v>
      </x:c>
    </x:row>
    <x:row r="93" ht="38" customHeight="1">
      <x:c r="A93" s="14" t="str">
        <x:v>chronology-colony-miletus-primary</x:v>
      </x:c>
      <x:c r="B93" s="14" t="str">
        <x:v>colony-miletus</x:v>
      </x:c>
      <x:c r="C93" s="21" t="n">
        <x:v>-1050</x:v>
      </x:c>
      <x:c r="D93" s="21" t="n">
        <x:v>600</x:v>
      </x:c>
      <x:c r="E93" s="14" t="str">
        <x:v>approximate</x:v>
      </x:c>
      <x:c r="F93" s="14" t="str">
        <x:v>display_cutoff</x:v>
      </x:c>
      <x:c r="G93" s="14" t="str">
        <x:v>approximate</x:v>
      </x:c>
      <x:c r="H93" s="14" t="str">
        <x:v>occupation_window</x:v>
      </x:c>
      <x:c r="I93" s="20" t="b">
        <x:v>1</x:v>
      </x:c>
      <x:c r="J93" s="16" t="str">
        <x:v>1050 π.Χ.–600 μ.Χ. (όριο άτλαντα)</x:v>
      </x:c>
      <x:c r="K93" s="16" t="str">
        <x:v>1050 BCE–600 CE (atlas display cutoff)</x:v>
      </x:c>
      <x:c r="L93" s="16" t="str">
        <x:v>Το 600 μ.Χ. είναι το συμβατικό άνω όριο της παρούσας αρχαίας χρονογραμμής και όχι χρονολογία καταστροφής ή εγκατάλειψης.</x:v>
      </x:c>
      <x:c r="M93" s="16" t="str">
        <x:v>The year 600 CE is the conventional upper limit of this ancient timeline, not a date of destruction or abandonment.</x:v>
      </x:c>
      <x:c r="N93" s="14" t="str">
        <x:v>src-pleiades-599799</x:v>
      </x:c>
      <x:c r="O93" s="14" t="str">
        <x:v>reviewed</x:v>
      </x:c>
    </x:row>
    <x:row r="94" ht="38" customHeight="1">
      <x:c r="A94" s="14" t="str">
        <x:v>chronology-colony-myrina-aeolis-primary</x:v>
      </x:c>
      <x:c r="B94" s="14" t="str">
        <x:v>colony-myrina-aeolis</x:v>
      </x:c>
      <x:c r="C94" s="21" t="n">
        <x:v>-1000</x:v>
      </x:c>
      <x:c r="D94" s="21" t="n">
        <x:v>600</x:v>
      </x:c>
      <x:c r="E94" s="14" t="str">
        <x:v>approximate</x:v>
      </x:c>
      <x:c r="F94" s="14" t="str">
        <x:v>display_cutoff</x:v>
      </x:c>
      <x:c r="G94" s="14" t="str">
        <x:v>approximate</x:v>
      </x:c>
      <x:c r="H94" s="14" t="str">
        <x:v>occupation_window</x:v>
      </x:c>
      <x:c r="I94" s="20" t="b">
        <x:v>1</x:v>
      </x:c>
      <x:c r="J94" s="16" t="str">
        <x:v>1000 π.Χ.–600 μ.Χ. (όριο άτλαντα)</x:v>
      </x:c>
      <x:c r="K94" s="16" t="str">
        <x:v>1000 BCE–600 CE (atlas display cutoff)</x:v>
      </x:c>
      <x:c r="L94" s="16" t="str">
        <x:v>Το 600 μ.Χ. είναι το συμβατικό άνω όριο της παρούσας αρχαίας χρονογραμμής και όχι χρονολογία καταστροφής ή εγκατάλειψης.</x:v>
      </x:c>
      <x:c r="M94" s="16" t="str">
        <x:v>The year 600 CE is the conventional upper limit of this ancient timeline, not a date of destruction or abandonment.</x:v>
      </x:c>
      <x:c r="N94" s="14" t="str">
        <x:v>src-pleiades-550756</x:v>
      </x:c>
      <x:c r="O94" s="14" t="str">
        <x:v>reviewed</x:v>
      </x:c>
    </x:row>
    <x:row r="95" ht="38" customHeight="1">
      <x:c r="A95" s="14" t="str">
        <x:v>chronology-colony-naucratis-primary</x:v>
      </x:c>
      <x:c r="B95" s="14" t="str">
        <x:v>colony-naucratis</x:v>
      </x:c>
      <x:c r="C95" s="21" t="n">
        <x:v>-620</x:v>
      </x:c>
      <x:c r="D95" s="21" t="n">
        <x:v>600</x:v>
      </x:c>
      <x:c r="E95" s="14" t="str">
        <x:v>approximate</x:v>
      </x:c>
      <x:c r="F95" s="14" t="str">
        <x:v>display_cutoff</x:v>
      </x:c>
      <x:c r="G95" s="14" t="str">
        <x:v>approximate</x:v>
      </x:c>
      <x:c r="H95" s="14" t="str">
        <x:v>occupation_window</x:v>
      </x:c>
      <x:c r="I95" s="20" t="b">
        <x:v>1</x:v>
      </x:c>
      <x:c r="J95" s="16" t="str">
        <x:v>620 π.Χ.–600 μ.Χ. (όριο άτλαντα)</x:v>
      </x:c>
      <x:c r="K95" s="16" t="str">
        <x:v>620 BCE–600 CE (atlas display cutoff)</x:v>
      </x:c>
      <x:c r="L95" s="16" t="str">
        <x:v>Το 600 μ.Χ. είναι το συμβατικό άνω όριο της παρούσας αρχαίας χρονογραμμής και όχι χρονολογία καταστροφής ή εγκατάλειψης.</x:v>
      </x:c>
      <x:c r="M95" s="16" t="str">
        <x:v>The year 600 CE is the conventional upper limit of this ancient timeline, not a date of destruction or abandonment.</x:v>
      </x:c>
      <x:c r="N95" s="14" t="str">
        <x:v>src-pleiades-727169</x:v>
      </x:c>
      <x:c r="O95" s="14" t="str">
        <x:v>reviewed</x:v>
      </x:c>
    </x:row>
    <x:row r="96" ht="38" customHeight="1">
      <x:c r="A96" s="14" t="str">
        <x:v>chronology-colony-naxos-sicily-primary</x:v>
      </x:c>
      <x:c r="B96" s="14" t="str">
        <x:v>colony-naxos-sicily</x:v>
      </x:c>
      <x:c r="C96" s="21" t="n">
        <x:v>-734</x:v>
      </x:c>
      <x:c r="D96" s="21" t="n">
        <x:v>-403</x:v>
      </x:c>
      <x:c r="E96" s="14" t="str">
        <x:v>approximate</x:v>
      </x:c>
      <x:c r="F96" s="14" t="str">
        <x:v>approximate</x:v>
      </x:c>
      <x:c r="G96" s="14" t="str">
        <x:v>approximate</x:v>
      </x:c>
      <x:c r="H96" s="14" t="str">
        <x:v>occupation_window</x:v>
      </x:c>
      <x:c r="I96" s="20" t="b">
        <x:v>0</x:v>
      </x:c>
      <x:c r="J96" s="16" t="str">
        <x:v>734 π.Χ.–403 π.Χ.</x:v>
      </x:c>
      <x:c r="K96" s="16" t="str">
        <x:v>734 BCE–403 BCE</x:v>
      </x:c>
      <x:c r="L96" s="16"/>
      <x:c r="M96" s="16"/>
      <x:c r="N96" s="14" t="str">
        <x:v>src-pleiades-462386</x:v>
      </x:c>
      <x:c r="O96" s="14" t="str">
        <x:v>reviewed</x:v>
      </x:c>
    </x:row>
    <x:row r="97" ht="38" customHeight="1">
      <x:c r="A97" s="14" t="str">
        <x:v>chronology-colony-neapolis-campania-primary</x:v>
      </x:c>
      <x:c r="B97" s="14" t="str">
        <x:v>colony-neapolis-campania</x:v>
      </x:c>
      <x:c r="C97" s="21" t="n">
        <x:v>-600</x:v>
      </x:c>
      <x:c r="D97" s="21" t="n">
        <x:v>600</x:v>
      </x:c>
      <x:c r="E97" s="14" t="str">
        <x:v>approximate</x:v>
      </x:c>
      <x:c r="F97" s="14" t="str">
        <x:v>display_cutoff</x:v>
      </x:c>
      <x:c r="G97" s="14" t="str">
        <x:v>approximate</x:v>
      </x:c>
      <x:c r="H97" s="14" t="str">
        <x:v>occupation_window</x:v>
      </x:c>
      <x:c r="I97" s="20" t="b">
        <x:v>1</x:v>
      </x:c>
      <x:c r="J97" s="16" t="str">
        <x:v>600 π.Χ.–600 μ.Χ. (όριο άτλαντα)</x:v>
      </x:c>
      <x:c r="K97" s="16" t="str">
        <x:v>600 BCE–600 CE (atlas display cutoff)</x:v>
      </x:c>
      <x:c r="L97" s="16" t="str">
        <x:v>Το 600 μ.Χ. είναι το συμβατικό άνω όριο της παρούσας αρχαίας χρονογραμμής και όχι χρονολογία καταστροφής ή εγκατάλειψης.</x:v>
      </x:c>
      <x:c r="M97" s="16" t="str">
        <x:v>The year 600 CE is the conventional upper limit of this ancient timeline, not a date of destruction or abandonment.</x:v>
      </x:c>
      <x:c r="N97" s="14" t="str">
        <x:v>src-pleiades-433014</x:v>
      </x:c>
      <x:c r="O97" s="14" t="str">
        <x:v>reviewed</x:v>
      </x:c>
    </x:row>
    <x:row r="98" ht="38" customHeight="1">
      <x:c r="A98" s="14" t="str">
        <x:v>chronology-colony-odessos-primary</x:v>
      </x:c>
      <x:c r="B98" s="14" t="str">
        <x:v>colony-odessos</x:v>
      </x:c>
      <x:c r="C98" s="21" t="n">
        <x:v>-580</x:v>
      </x:c>
      <x:c r="D98" s="21" t="n">
        <x:v>600</x:v>
      </x:c>
      <x:c r="E98" s="14" t="str">
        <x:v>approximate</x:v>
      </x:c>
      <x:c r="F98" s="14" t="str">
        <x:v>display_cutoff</x:v>
      </x:c>
      <x:c r="G98" s="14" t="str">
        <x:v>approximate</x:v>
      </x:c>
      <x:c r="H98" s="14" t="str">
        <x:v>occupation_window</x:v>
      </x:c>
      <x:c r="I98" s="20" t="b">
        <x:v>1</x:v>
      </x:c>
      <x:c r="J98" s="16" t="str">
        <x:v>580 π.Χ.–600 μ.Χ. (όριο άτλαντα)</x:v>
      </x:c>
      <x:c r="K98" s="16" t="str">
        <x:v>580 BCE–600 CE (atlas display cutoff)</x:v>
      </x:c>
      <x:c r="L98" s="16" t="str">
        <x:v>Το 600 μ.Χ. είναι το συμβατικό άνω όριο της παρούσας αρχαίας χρονογραμμής και όχι χρονολογία καταστροφής ή εγκατάλειψης.</x:v>
      </x:c>
      <x:c r="M98" s="16" t="str">
        <x:v>The year 600 CE is the conventional upper limit of this ancient timeline, not a date of destruction or abandonment.</x:v>
      </x:c>
      <x:c r="N98" s="14" t="str">
        <x:v>src-pleiades-216904</x:v>
      </x:c>
      <x:c r="O98" s="14" t="str">
        <x:v>reviewed</x:v>
      </x:c>
    </x:row>
    <x:row r="99" ht="38" customHeight="1">
      <x:c r="A99" s="14" t="str">
        <x:v>chronology-colony-olbia-pontica-primary</x:v>
      </x:c>
      <x:c r="B99" s="14" t="str">
        <x:v>colony-olbia-pontica</x:v>
      </x:c>
      <x:c r="C99" s="21" t="n">
        <x:v>-590</x:v>
      </x:c>
      <x:c r="D99" s="21" t="n">
        <x:v>370</x:v>
      </x:c>
      <x:c r="E99" s="14" t="str">
        <x:v>approximate</x:v>
      </x:c>
      <x:c r="F99" s="14" t="str">
        <x:v>approximate</x:v>
      </x:c>
      <x:c r="G99" s="14" t="str">
        <x:v>approximate</x:v>
      </x:c>
      <x:c r="H99" s="14" t="str">
        <x:v>occupation_window</x:v>
      </x:c>
      <x:c r="I99" s="20" t="b">
        <x:v>0</x:v>
      </x:c>
      <x:c r="J99" s="16" t="str">
        <x:v>590 π.Χ.–370 μ.Χ.</x:v>
      </x:c>
      <x:c r="K99" s="16" t="str">
        <x:v>590 BCE–370 CE</x:v>
      </x:c>
      <x:c r="L99" s="16"/>
      <x:c r="M99" s="16"/>
      <x:c r="N99" s="14" t="str">
        <x:v>src-pleiades-226546</x:v>
      </x:c>
      <x:c r="O99" s="14" t="str">
        <x:v>reviewed</x:v>
      </x:c>
    </x:row>
    <x:row r="100" ht="38" customHeight="1">
      <x:c r="A100" s="14" t="str">
        <x:v>chronology-colony-panticapaeum-primary</x:v>
      </x:c>
      <x:c r="B100" s="14" t="str">
        <x:v>colony-panticapaeum</x:v>
      </x:c>
      <x:c r="C100" s="21" t="n">
        <x:v>-600</x:v>
      </x:c>
      <x:c r="D100" s="21" t="n">
        <x:v>600</x:v>
      </x:c>
      <x:c r="E100" s="14" t="str">
        <x:v>approximate</x:v>
      </x:c>
      <x:c r="F100" s="14" t="str">
        <x:v>display_cutoff</x:v>
      </x:c>
      <x:c r="G100" s="14" t="str">
        <x:v>approximate</x:v>
      </x:c>
      <x:c r="H100" s="14" t="str">
        <x:v>occupation_window</x:v>
      </x:c>
      <x:c r="I100" s="20" t="b">
        <x:v>1</x:v>
      </x:c>
      <x:c r="J100" s="16" t="str">
        <x:v>600 π.Χ.–600 μ.Χ. (όριο άτλαντα)</x:v>
      </x:c>
      <x:c r="K100" s="16" t="str">
        <x:v>600 BCE–600 CE (atlas display cutoff)</x:v>
      </x:c>
      <x:c r="L100" s="16" t="str">
        <x:v>Το 600 μ.Χ. είναι το συμβατικό άνω όριο της παρούσας αρχαίας χρονογραμμής και όχι χρονολογία καταστροφής ή εγκατάλειψης.</x:v>
      </x:c>
      <x:c r="M100" s="16" t="str">
        <x:v>The year 600 CE is the conventional upper limit of this ancient timeline, not a date of destruction or abandonment.</x:v>
      </x:c>
      <x:c r="N100" s="14" t="str">
        <x:v>src-pleiades-854719</x:v>
      </x:c>
      <x:c r="O100" s="14" t="str">
        <x:v>reviewed</x:v>
      </x:c>
    </x:row>
    <x:row r="101" ht="38" customHeight="1">
      <x:c r="A101" s="14" t="str">
        <x:v>chronology-colony-phanagoria-primary</x:v>
      </x:c>
      <x:c r="B101" s="14" t="str">
        <x:v>colony-phanagoria</x:v>
      </x:c>
      <x:c r="C101" s="21" t="n">
        <x:v>-540</x:v>
      </x:c>
      <x:c r="D101" s="21" t="n">
        <x:v>600</x:v>
      </x:c>
      <x:c r="E101" s="14" t="str">
        <x:v>approximate</x:v>
      </x:c>
      <x:c r="F101" s="14" t="str">
        <x:v>display_cutoff</x:v>
      </x:c>
      <x:c r="G101" s="14" t="str">
        <x:v>approximate</x:v>
      </x:c>
      <x:c r="H101" s="14" t="str">
        <x:v>occupation_window</x:v>
      </x:c>
      <x:c r="I101" s="20" t="b">
        <x:v>1</x:v>
      </x:c>
      <x:c r="J101" s="16" t="str">
        <x:v>540 π.Χ.–600 μ.Χ. (όριο άτλαντα)</x:v>
      </x:c>
      <x:c r="K101" s="16" t="str">
        <x:v>540 BCE–600 CE (atlas display cutoff)</x:v>
      </x:c>
      <x:c r="L101" s="16" t="str">
        <x:v>Το 600 μ.Χ. είναι το συμβατικό άνω όριο της παρούσας αρχαίας χρονογραμμής και όχι χρονολογία καταστροφής ή εγκατάλειψης.</x:v>
      </x:c>
      <x:c r="M101" s="16" t="str">
        <x:v>The year 600 CE is the conventional upper limit of this ancient timeline, not a date of destruction or abandonment.</x:v>
      </x:c>
      <x:c r="N101" s="14" t="str">
        <x:v>src-pleiades-854724</x:v>
      </x:c>
      <x:c r="O101" s="14" t="str">
        <x:v>reviewed</x:v>
      </x:c>
    </x:row>
    <x:row r="102" ht="38" customHeight="1">
      <x:c r="A102" s="14" t="str">
        <x:v>chronology-colony-pharos-hvar-primary</x:v>
      </x:c>
      <x:c r="B102" s="14" t="str">
        <x:v>colony-pharos-hvar</x:v>
      </x:c>
      <x:c r="C102" s="21" t="n">
        <x:v>-385</x:v>
      </x:c>
      <x:c r="D102" s="21" t="n">
        <x:v>600</x:v>
      </x:c>
      <x:c r="E102" s="14" t="str">
        <x:v>approximate</x:v>
      </x:c>
      <x:c r="F102" s="14" t="str">
        <x:v>display_cutoff</x:v>
      </x:c>
      <x:c r="G102" s="14" t="str">
        <x:v>approximate</x:v>
      </x:c>
      <x:c r="H102" s="14" t="str">
        <x:v>occupation_window</x:v>
      </x:c>
      <x:c r="I102" s="20" t="b">
        <x:v>1</x:v>
      </x:c>
      <x:c r="J102" s="16" t="str">
        <x:v>385 π.Χ.–600 μ.Χ. (όριο άτλαντα)</x:v>
      </x:c>
      <x:c r="K102" s="16" t="str">
        <x:v>385 BCE–600 CE (atlas display cutoff)</x:v>
      </x:c>
      <x:c r="L102" s="16" t="str">
        <x:v>Το 600 μ.Χ. είναι το συμβατικό άνω όριο της παρούσας αρχαίας χρονογραμμής και όχι χρονολογία καταστροφής ή εγκατάλειψης.</x:v>
      </x:c>
      <x:c r="M102" s="16" t="str">
        <x:v>The year 600 CE is the conventional upper limit of this ancient timeline, not a date of destruction or abandonment.</x:v>
      </x:c>
      <x:c r="N102" s="14" t="str">
        <x:v>src-pleiades-197433</x:v>
      </x:c>
      <x:c r="O102" s="14" t="str">
        <x:v>reviewed</x:v>
      </x:c>
    </x:row>
    <x:row r="103" ht="38" customHeight="1">
      <x:c r="A103" s="14" t="str">
        <x:v>chronology-colony-phaselis-primary</x:v>
      </x:c>
      <x:c r="B103" s="14" t="str">
        <x:v>colony-phaselis</x:v>
      </x:c>
      <x:c r="C103" s="21" t="n">
        <x:v>-690</x:v>
      </x:c>
      <x:c r="D103" s="21" t="n">
        <x:v>600</x:v>
      </x:c>
      <x:c r="E103" s="14" t="str">
        <x:v>approximate</x:v>
      </x:c>
      <x:c r="F103" s="14" t="str">
        <x:v>display_cutoff</x:v>
      </x:c>
      <x:c r="G103" s="14" t="str">
        <x:v>approximate</x:v>
      </x:c>
      <x:c r="H103" s="14" t="str">
        <x:v>occupation_window</x:v>
      </x:c>
      <x:c r="I103" s="20" t="b">
        <x:v>1</x:v>
      </x:c>
      <x:c r="J103" s="16" t="str">
        <x:v>690 π.Χ.–600 μ.Χ. (όριο άτλαντα)</x:v>
      </x:c>
      <x:c r="K103" s="16" t="str">
        <x:v>690 BCE–600 CE (atlas display cutoff)</x:v>
      </x:c>
      <x:c r="L103" s="16" t="str">
        <x:v>Το 600 μ.Χ. είναι το συμβατικό άνω όριο της παρούσας αρχαίας χρονογραμμής και όχι χρονολογία καταστροφής ή εγκατάλειψης.</x:v>
      </x:c>
      <x:c r="M103" s="16" t="str">
        <x:v>The year 600 CE is the conventional upper limit of this ancient timeline, not a date of destruction or abandonment.</x:v>
      </x:c>
      <x:c r="N103" s="14" t="str">
        <x:v>src-pleiades-639051</x:v>
      </x:c>
      <x:c r="O103" s="14" t="str">
        <x:v>reviewed</x:v>
      </x:c>
    </x:row>
    <x:row r="104" ht="38" customHeight="1">
      <x:c r="A104" s="14" t="str">
        <x:v>chronology-colony-phasis-city-primary</x:v>
      </x:c>
      <x:c r="B104" s="14" t="str">
        <x:v>colony-phasis-city</x:v>
      </x:c>
      <x:c r="C104" s="21" t="n">
        <x:v>-600</x:v>
      </x:c>
      <x:c r="D104" s="21" t="n">
        <x:v>600</x:v>
      </x:c>
      <x:c r="E104" s="14" t="str">
        <x:v>approximate</x:v>
      </x:c>
      <x:c r="F104" s="14" t="str">
        <x:v>display_cutoff</x:v>
      </x:c>
      <x:c r="G104" s="14" t="str">
        <x:v>approximate</x:v>
      </x:c>
      <x:c r="H104" s="14" t="str">
        <x:v>occupation_window</x:v>
      </x:c>
      <x:c r="I104" s="20" t="b">
        <x:v>1</x:v>
      </x:c>
      <x:c r="J104" s="16" t="str">
        <x:v>600 π.Χ.–600 μ.Χ. (όριο άτλαντα)</x:v>
      </x:c>
      <x:c r="K104" s="16" t="str">
        <x:v>600 BCE–600 CE (atlas display cutoff)</x:v>
      </x:c>
      <x:c r="L104" s="16" t="str">
        <x:v>Το 600 μ.Χ. είναι το συμβατικό άνω όριο της παρούσας αρχαίας χρονογραμμής και όχι χρονολογία καταστροφής ή εγκατάλειψης.</x:v>
      </x:c>
      <x:c r="M104" s="16" t="str">
        <x:v>The year 600 CE is the conventional upper limit of this ancient timeline, not a date of destruction or abandonment.</x:v>
      </x:c>
      <x:c r="N104" s="14" t="str">
        <x:v>src-pleiades-857275</x:v>
      </x:c>
      <x:c r="O104" s="14" t="str">
        <x:v>reviewed</x:v>
      </x:c>
    </x:row>
    <x:row r="105" ht="38" customHeight="1">
      <x:c r="A105" s="14" t="str">
        <x:v>chronology-colony-philippi-primary</x:v>
      </x:c>
      <x:c r="B105" s="14" t="str">
        <x:v>colony-philippi</x:v>
      </x:c>
      <x:c r="C105" s="21" t="n">
        <x:v>-360</x:v>
      </x:c>
      <x:c r="D105" s="21" t="n">
        <x:v>600</x:v>
      </x:c>
      <x:c r="E105" s="14" t="str">
        <x:v>approximate</x:v>
      </x:c>
      <x:c r="F105" s="14" t="str">
        <x:v>display_cutoff</x:v>
      </x:c>
      <x:c r="G105" s="14" t="str">
        <x:v>approximate</x:v>
      </x:c>
      <x:c r="H105" s="14" t="str">
        <x:v>occupation_window</x:v>
      </x:c>
      <x:c r="I105" s="20" t="b">
        <x:v>1</x:v>
      </x:c>
      <x:c r="J105" s="16" t="str">
        <x:v>360 π.Χ.–600 μ.Χ. (όριο άτλαντα)</x:v>
      </x:c>
      <x:c r="K105" s="16" t="str">
        <x:v>360 BCE–600 CE (atlas display cutoff)</x:v>
      </x:c>
      <x:c r="L105" s="16" t="str">
        <x:v>Το 600 μ.Χ. είναι το συμβατικό άνω όριο της παρούσας αρχαίας χρονογραμμής και όχι χρονολογία καταστροφής ή εγκατάλειψης.</x:v>
      </x:c>
      <x:c r="M105" s="16" t="str">
        <x:v>The year 600 CE is the conventional upper limit of this ancient timeline, not a date of destruction or abandonment.</x:v>
      </x:c>
      <x:c r="N105" s="14" t="str">
        <x:v>src-pleiades-501482</x:v>
      </x:c>
      <x:c r="O105" s="14" t="str">
        <x:v>reviewed</x:v>
      </x:c>
    </x:row>
    <x:row r="106" ht="38" customHeight="1">
      <x:c r="A106" s="14" t="str">
        <x:v>chronology-colony-phocaea-primary</x:v>
      </x:c>
      <x:c r="B106" s="14" t="str">
        <x:v>colony-phocaea</x:v>
      </x:c>
      <x:c r="C106" s="21" t="n">
        <x:v>-1000</x:v>
      </x:c>
      <x:c r="D106" s="21" t="n">
        <x:v>600</x:v>
      </x:c>
      <x:c r="E106" s="14" t="str">
        <x:v>approximate</x:v>
      </x:c>
      <x:c r="F106" s="14" t="str">
        <x:v>display_cutoff</x:v>
      </x:c>
      <x:c r="G106" s="14" t="str">
        <x:v>approximate</x:v>
      </x:c>
      <x:c r="H106" s="14" t="str">
        <x:v>occupation_window</x:v>
      </x:c>
      <x:c r="I106" s="20" t="b">
        <x:v>1</x:v>
      </x:c>
      <x:c r="J106" s="16" t="str">
        <x:v>1000 π.Χ.–600 μ.Χ. (όριο άτλαντα)</x:v>
      </x:c>
      <x:c r="K106" s="16" t="str">
        <x:v>1000 BCE–600 CE (atlas display cutoff)</x:v>
      </x:c>
      <x:c r="L106" s="16" t="str">
        <x:v>Το 600 μ.Χ. είναι το συμβατικό άνω όριο της παρούσας αρχαίας χρονογραμμής και όχι χρονολογία καταστροφής ή εγκατάλειψης.</x:v>
      </x:c>
      <x:c r="M106" s="16" t="str">
        <x:v>The year 600 CE is the conventional upper limit of this ancient timeline, not a date of destruction or abandonment.</x:v>
      </x:c>
      <x:c r="N106" s="14" t="str">
        <x:v>src-pleiades-550823</x:v>
      </x:c>
      <x:c r="O106" s="14" t="str">
        <x:v>reviewed</x:v>
      </x:c>
    </x:row>
    <x:row r="107" ht="38" customHeight="1">
      <x:c r="A107" s="14" t="str">
        <x:v>chronology-colony-poseidonia-primary</x:v>
      </x:c>
      <x:c r="B107" s="14" t="str">
        <x:v>colony-poseidonia</x:v>
      </x:c>
      <x:c r="C107" s="21" t="n">
        <x:v>-600</x:v>
      </x:c>
      <x:c r="D107" s="21" t="n">
        <x:v>600</x:v>
      </x:c>
      <x:c r="E107" s="14" t="str">
        <x:v>approximate</x:v>
      </x:c>
      <x:c r="F107" s="14" t="str">
        <x:v>display_cutoff</x:v>
      </x:c>
      <x:c r="G107" s="14" t="str">
        <x:v>approximate</x:v>
      </x:c>
      <x:c r="H107" s="14" t="str">
        <x:v>occupation_window</x:v>
      </x:c>
      <x:c r="I107" s="20" t="b">
        <x:v>1</x:v>
      </x:c>
      <x:c r="J107" s="16" t="str">
        <x:v>600 π.Χ.–600 μ.Χ. (όριο άτλαντα)</x:v>
      </x:c>
      <x:c r="K107" s="16" t="str">
        <x:v>600 BCE–600 CE (atlas display cutoff)</x:v>
      </x:c>
      <x:c r="L107" s="16" t="str">
        <x:v>Το 600 μ.Χ. είναι το συμβατικό άνω όριο της παρούσας αρχαίας χρονογραμμής και όχι χρονολογία καταστροφής ή εγκατάλειψης.</x:v>
      </x:c>
      <x:c r="M107" s="16" t="str">
        <x:v>The year 600 CE is the conventional upper limit of this ancient timeline, not a date of destruction or abandonment.</x:v>
      </x:c>
      <x:c r="N107" s="14" t="str">
        <x:v>src-pleiades-442733</x:v>
      </x:c>
      <x:c r="O107" s="14" t="str">
        <x:v>reviewed</x:v>
      </x:c>
    </x:row>
    <x:row r="108" ht="38" customHeight="1">
      <x:c r="A108" s="14" t="str">
        <x:v>chronology-colony-priene-primary</x:v>
      </x:c>
      <x:c r="B108" s="14" t="str">
        <x:v>colony-priene</x:v>
      </x:c>
      <x:c r="C108" s="21" t="n">
        <x:v>-1050</x:v>
      </x:c>
      <x:c r="D108" s="21" t="n">
        <x:v>600</x:v>
      </x:c>
      <x:c r="E108" s="14" t="str">
        <x:v>approximate</x:v>
      </x:c>
      <x:c r="F108" s="14" t="str">
        <x:v>display_cutoff</x:v>
      </x:c>
      <x:c r="G108" s="14" t="str">
        <x:v>approximate</x:v>
      </x:c>
      <x:c r="H108" s="14" t="str">
        <x:v>occupation_window</x:v>
      </x:c>
      <x:c r="I108" s="20" t="b">
        <x:v>1</x:v>
      </x:c>
      <x:c r="J108" s="16" t="str">
        <x:v>1050 π.Χ.–600 μ.Χ. (όριο άτλαντα)</x:v>
      </x:c>
      <x:c r="K108" s="16" t="str">
        <x:v>1050 BCE–600 CE (atlas display cutoff)</x:v>
      </x:c>
      <x:c r="L108" s="16" t="str">
        <x:v>Το 600 μ.Χ. είναι το συμβατικό άνω όριο της παρούσας αρχαίας χρονογραμμής και όχι χρονολογία καταστροφής ή εγκατάλειψης.</x:v>
      </x:c>
      <x:c r="M108" s="16" t="str">
        <x:v>The year 600 CE is the conventional upper limit of this ancient timeline, not a date of destruction or abandonment.</x:v>
      </x:c>
      <x:c r="N108" s="14" t="str">
        <x:v>src-pleiades-599905</x:v>
      </x:c>
      <x:c r="O108" s="14" t="str">
        <x:v>reviewed</x:v>
      </x:c>
    </x:row>
    <x:row r="109" ht="38" customHeight="1">
      <x:c r="A109" s="14" t="str">
        <x:v>chronology-colony-rhegion-primary</x:v>
      </x:c>
      <x:c r="B109" s="14" t="str">
        <x:v>colony-rhegion</x:v>
      </x:c>
      <x:c r="C109" s="21" t="n">
        <x:v>-720</x:v>
      </x:c>
      <x:c r="D109" s="21" t="n">
        <x:v>600</x:v>
      </x:c>
      <x:c r="E109" s="14" t="str">
        <x:v>approximate</x:v>
      </x:c>
      <x:c r="F109" s="14" t="str">
        <x:v>display_cutoff</x:v>
      </x:c>
      <x:c r="G109" s="14" t="str">
        <x:v>approximate</x:v>
      </x:c>
      <x:c r="H109" s="14" t="str">
        <x:v>occupation_window</x:v>
      </x:c>
      <x:c r="I109" s="20" t="b">
        <x:v>1</x:v>
      </x:c>
      <x:c r="J109" s="16" t="str">
        <x:v>720 π.Χ.–600 μ.Χ. (όριο άτλαντα)</x:v>
      </x:c>
      <x:c r="K109" s="16" t="str">
        <x:v>720 BCE–600 CE (atlas display cutoff)</x:v>
      </x:c>
      <x:c r="L109" s="16" t="str">
        <x:v>Το 600 μ.Χ. είναι το συμβατικό άνω όριο της παρούσας αρχαίας χρονογραμμής και όχι χρονολογία καταστροφής ή εγκατάλειψης.</x:v>
      </x:c>
      <x:c r="M109" s="16" t="str">
        <x:v>The year 600 CE is the conventional upper limit of this ancient timeline, not a date of destruction or abandonment.</x:v>
      </x:c>
      <x:c r="N109" s="14" t="str">
        <x:v>src-pleiades-452416</x:v>
      </x:c>
      <x:c r="O109" s="14" t="str">
        <x:v>reviewed</x:v>
      </x:c>
    </x:row>
    <x:row r="110" ht="38" customHeight="1">
      <x:c r="A110" s="14" t="str">
        <x:v>chronology-colony-selinus-primary</x:v>
      </x:c>
      <x:c r="B110" s="14" t="str">
        <x:v>colony-selinus</x:v>
      </x:c>
      <x:c r="C110" s="21" t="n">
        <x:v>-628</x:v>
      </x:c>
      <x:c r="D110" s="21" t="n">
        <x:v>-250</x:v>
      </x:c>
      <x:c r="E110" s="14" t="str">
        <x:v>approximate</x:v>
      </x:c>
      <x:c r="F110" s="14" t="str">
        <x:v>approximate</x:v>
      </x:c>
      <x:c r="G110" s="14" t="str">
        <x:v>approximate</x:v>
      </x:c>
      <x:c r="H110" s="14" t="str">
        <x:v>occupation_window</x:v>
      </x:c>
      <x:c r="I110" s="20" t="b">
        <x:v>0</x:v>
      </x:c>
      <x:c r="J110" s="16" t="str">
        <x:v>628 π.Χ.–250 π.Χ.</x:v>
      </x:c>
      <x:c r="K110" s="16" t="str">
        <x:v>628 BCE–250 BCE</x:v>
      </x:c>
      <x:c r="L110" s="16"/>
      <x:c r="M110" s="16"/>
      <x:c r="N110" s="14" t="str">
        <x:v>src-pleiades-462489</x:v>
      </x:c>
      <x:c r="O110" s="14" t="str">
        <x:v>reviewed</x:v>
      </x:c>
    </x:row>
    <x:row r="111" ht="38" customHeight="1">
      <x:c r="A111" s="14" t="str">
        <x:v>chronology-colony-sinope-primary</x:v>
      </x:c>
      <x:c r="B111" s="14" t="str">
        <x:v>colony-sinope</x:v>
      </x:c>
      <x:c r="C111" s="21" t="n">
        <x:v>-630</x:v>
      </x:c>
      <x:c r="D111" s="21" t="n">
        <x:v>600</x:v>
      </x:c>
      <x:c r="E111" s="14" t="str">
        <x:v>approximate</x:v>
      </x:c>
      <x:c r="F111" s="14" t="str">
        <x:v>display_cutoff</x:v>
      </x:c>
      <x:c r="G111" s="14" t="str">
        <x:v>approximate</x:v>
      </x:c>
      <x:c r="H111" s="14" t="str">
        <x:v>occupation_window</x:v>
      </x:c>
      <x:c r="I111" s="20" t="b">
        <x:v>1</x:v>
      </x:c>
      <x:c r="J111" s="16" t="str">
        <x:v>630 π.Χ.–600 μ.Χ. (όριο άτλαντα)</x:v>
      </x:c>
      <x:c r="K111" s="16" t="str">
        <x:v>630 BCE–600 CE (atlas display cutoff)</x:v>
      </x:c>
      <x:c r="L111" s="16" t="str">
        <x:v>Το 600 μ.Χ. είναι το συμβατικό άνω όριο της παρούσας αρχαίας χρονογραμμής και όχι χρονολογία καταστροφής ή εγκατάλειψης.</x:v>
      </x:c>
      <x:c r="M111" s="16" t="str">
        <x:v>The year 600 CE is the conventional upper limit of this ancient timeline, not a date of destruction or abandonment.</x:v>
      </x:c>
      <x:c r="N111" s="14" t="str">
        <x:v>src-pleiades-857321</x:v>
      </x:c>
      <x:c r="O111" s="14" t="str">
        <x:v>reviewed</x:v>
      </x:c>
    </x:row>
    <x:row r="112" ht="38" customHeight="1">
      <x:c r="A112" s="14" t="str">
        <x:v>chronology-colony-sybaris-primary</x:v>
      </x:c>
      <x:c r="B112" s="14" t="str">
        <x:v>colony-sybaris</x:v>
      </x:c>
      <x:c r="C112" s="21" t="n">
        <x:v>-720</x:v>
      </x:c>
      <x:c r="D112" s="21" t="n">
        <x:v>-510</x:v>
      </x:c>
      <x:c r="E112" s="14" t="str">
        <x:v>approximate</x:v>
      </x:c>
      <x:c r="F112" s="14" t="str">
        <x:v>approximate</x:v>
      </x:c>
      <x:c r="G112" s="14" t="str">
        <x:v>approximate</x:v>
      </x:c>
      <x:c r="H112" s="14" t="str">
        <x:v>occupation_window</x:v>
      </x:c>
      <x:c r="I112" s="20" t="b">
        <x:v>0</x:v>
      </x:c>
      <x:c r="J112" s="16" t="str">
        <x:v>720 π.Χ.–510 π.Χ.</x:v>
      </x:c>
      <x:c r="K112" s="16" t="str">
        <x:v>720 BCE–510 BCE</x:v>
      </x:c>
      <x:c r="L112" s="16"/>
      <x:c r="M112" s="16"/>
      <x:c r="N112" s="14" t="str">
        <x:v>src-pleiades-452457</x:v>
      </x:c>
      <x:c r="O112" s="14" t="str">
        <x:v>reviewed</x:v>
      </x:c>
    </x:row>
    <x:row r="113" ht="38" customHeight="1">
      <x:c r="A113" s="14" t="str">
        <x:v>chronology-colony-syracuse-primary</x:v>
      </x:c>
      <x:c r="B113" s="14" t="str">
        <x:v>colony-syracuse</x:v>
      </x:c>
      <x:c r="C113" s="21" t="n">
        <x:v>-734</x:v>
      </x:c>
      <x:c r="D113" s="21" t="n">
        <x:v>600</x:v>
      </x:c>
      <x:c r="E113" s="14" t="str">
        <x:v>approximate</x:v>
      </x:c>
      <x:c r="F113" s="14" t="str">
        <x:v>display_cutoff</x:v>
      </x:c>
      <x:c r="G113" s="14" t="str">
        <x:v>approximate</x:v>
      </x:c>
      <x:c r="H113" s="14" t="str">
        <x:v>occupation_window</x:v>
      </x:c>
      <x:c r="I113" s="20" t="b">
        <x:v>1</x:v>
      </x:c>
      <x:c r="J113" s="16" t="str">
        <x:v>734 π.Χ.–600 μ.Χ. (όριο άτλαντα)</x:v>
      </x:c>
      <x:c r="K113" s="16" t="str">
        <x:v>734 BCE–600 CE (atlas display cutoff)</x:v>
      </x:c>
      <x:c r="L113" s="16" t="str">
        <x:v>Το 600 μ.Χ. είναι το συμβατικό άνω όριο της παρούσας αρχαίας χρονογραμμής και όχι χρονολογία καταστροφής ή εγκατάλειψης.</x:v>
      </x:c>
      <x:c r="M113" s="16" t="str">
        <x:v>The year 600 CE is the conventional upper limit of this ancient timeline, not a date of destruction or abandonment.</x:v>
      </x:c>
      <x:c r="N113" s="14" t="str">
        <x:v>src-pleiades-462503</x:v>
      </x:c>
      <x:c r="O113" s="14" t="str">
        <x:v>reviewed</x:v>
      </x:c>
    </x:row>
    <x:row r="114" ht="38" customHeight="1">
      <x:c r="A114" s="14" t="str">
        <x:v>chronology-colony-tanais-primary</x:v>
      </x:c>
      <x:c r="B114" s="14" t="str">
        <x:v>colony-tanais</x:v>
      </x:c>
      <x:c r="C114" s="21" t="n">
        <x:v>-300</x:v>
      </x:c>
      <x:c r="D114" s="21" t="n">
        <x:v>375</x:v>
      </x:c>
      <x:c r="E114" s="14" t="str">
        <x:v>approximate</x:v>
      </x:c>
      <x:c r="F114" s="14" t="str">
        <x:v>approximate</x:v>
      </x:c>
      <x:c r="G114" s="14" t="str">
        <x:v>approximate</x:v>
      </x:c>
      <x:c r="H114" s="14" t="str">
        <x:v>occupation_window</x:v>
      </x:c>
      <x:c r="I114" s="20" t="b">
        <x:v>0</x:v>
      </x:c>
      <x:c r="J114" s="16" t="str">
        <x:v>300 π.Χ.–375 μ.Χ.</x:v>
      </x:c>
      <x:c r="K114" s="16" t="str">
        <x:v>300 BCE–375 CE</x:v>
      </x:c>
      <x:c r="L114" s="16"/>
      <x:c r="M114" s="16"/>
      <x:c r="N114" s="14" t="str">
        <x:v>src-pleiades-825397</x:v>
      </x:c>
      <x:c r="O114" s="14" t="str">
        <x:v>reviewed</x:v>
      </x:c>
    </x:row>
    <x:row r="115" ht="38" customHeight="1">
      <x:c r="A115" s="14" t="str">
        <x:v>chronology-colony-taras-primary</x:v>
      </x:c>
      <x:c r="B115" s="14" t="str">
        <x:v>colony-taras</x:v>
      </x:c>
      <x:c r="C115" s="21" t="n">
        <x:v>-706</x:v>
      </x:c>
      <x:c r="D115" s="21" t="n">
        <x:v>600</x:v>
      </x:c>
      <x:c r="E115" s="14" t="str">
        <x:v>approximate</x:v>
      </x:c>
      <x:c r="F115" s="14" t="str">
        <x:v>display_cutoff</x:v>
      </x:c>
      <x:c r="G115" s="14" t="str">
        <x:v>approximate</x:v>
      </x:c>
      <x:c r="H115" s="14" t="str">
        <x:v>occupation_window</x:v>
      </x:c>
      <x:c r="I115" s="20" t="b">
        <x:v>1</x:v>
      </x:c>
      <x:c r="J115" s="16" t="str">
        <x:v>706 π.Χ.–600 μ.Χ. (όριο άτλαντα)</x:v>
      </x:c>
      <x:c r="K115" s="16" t="str">
        <x:v>706 BCE–600 CE (atlas display cutoff)</x:v>
      </x:c>
      <x:c r="L115" s="16" t="str">
        <x:v>Το 600 μ.Χ. είναι το συμβατικό άνω όριο της παρούσας αρχαίας χρονογραμμής και όχι χρονολογία καταστροφής ή εγκατάλειψης.</x:v>
      </x:c>
      <x:c r="M115" s="16" t="str">
        <x:v>The year 600 CE is the conventional upper limit of this ancient timeline, not a date of destruction or abandonment.</x:v>
      </x:c>
      <x:c r="N115" s="14" t="str">
        <x:v>src-pleiades-442810</x:v>
      </x:c>
      <x:c r="O115" s="14" t="str">
        <x:v>reviewed</x:v>
      </x:c>
    </x:row>
    <x:row r="116" ht="38" customHeight="1">
      <x:c r="A116" s="14" t="str">
        <x:v>chronology-colony-taucheira-primary</x:v>
      </x:c>
      <x:c r="B116" s="14" t="str">
        <x:v>colony-taucheira</x:v>
      </x:c>
      <x:c r="C116" s="21" t="n">
        <x:v>-620</x:v>
      </x:c>
      <x:c r="D116" s="21" t="n">
        <x:v>600</x:v>
      </x:c>
      <x:c r="E116" s="14" t="str">
        <x:v>approximate</x:v>
      </x:c>
      <x:c r="F116" s="14" t="str">
        <x:v>display_cutoff</x:v>
      </x:c>
      <x:c r="G116" s="14" t="str">
        <x:v>approximate</x:v>
      </x:c>
      <x:c r="H116" s="14" t="str">
        <x:v>occupation_window</x:v>
      </x:c>
      <x:c r="I116" s="20" t="b">
        <x:v>1</x:v>
      </x:c>
      <x:c r="J116" s="16" t="str">
        <x:v>620 π.Χ.–600 μ.Χ. (όριο άτλαντα)</x:v>
      </x:c>
      <x:c r="K116" s="16" t="str">
        <x:v>620 BCE–600 CE (atlas display cutoff)</x:v>
      </x:c>
      <x:c r="L116" s="16" t="str">
        <x:v>Το 600 μ.Χ. είναι το συμβατικό άνω όριο της παρούσας αρχαίας χρονογραμμής και όχι χρονολογία καταστροφής ή εγκατάλειψης.</x:v>
      </x:c>
      <x:c r="M116" s="16" t="str">
        <x:v>The year 600 CE is the conventional upper limit of this ancient timeline, not a date of destruction or abandonment.</x:v>
      </x:c>
      <x:c r="N116" s="14" t="str">
        <x:v>src-pleiades-373736</x:v>
      </x:c>
      <x:c r="O116" s="14" t="str">
        <x:v>reviewed</x:v>
      </x:c>
    </x:row>
    <x:row r="117" ht="38" customHeight="1">
      <x:c r="A117" s="14" t="str">
        <x:v>chronology-colony-teos-primary</x:v>
      </x:c>
      <x:c r="B117" s="14" t="str">
        <x:v>colony-teos</x:v>
      </x:c>
      <x:c r="C117" s="21" t="n">
        <x:v>-1000</x:v>
      </x:c>
      <x:c r="D117" s="21" t="n">
        <x:v>600</x:v>
      </x:c>
      <x:c r="E117" s="14" t="str">
        <x:v>approximate</x:v>
      </x:c>
      <x:c r="F117" s="14" t="str">
        <x:v>display_cutoff</x:v>
      </x:c>
      <x:c r="G117" s="14" t="str">
        <x:v>approximate</x:v>
      </x:c>
      <x:c r="H117" s="14" t="str">
        <x:v>occupation_window</x:v>
      </x:c>
      <x:c r="I117" s="20" t="b">
        <x:v>1</x:v>
      </x:c>
      <x:c r="J117" s="16" t="str">
        <x:v>1000 π.Χ.–600 μ.Χ. (όριο άτλαντα)</x:v>
      </x:c>
      <x:c r="K117" s="16" t="str">
        <x:v>1000 BCE–600 CE (atlas display cutoff)</x:v>
      </x:c>
      <x:c r="L117" s="16" t="str">
        <x:v>Το 600 μ.Χ. είναι το συμβατικό άνω όριο της παρούσας αρχαίας χρονογραμμής και όχι χρονολογία καταστροφής ή εγκατάλειψης.</x:v>
      </x:c>
      <x:c r="M117" s="16" t="str">
        <x:v>The year 600 CE is the conventional upper limit of this ancient timeline, not a date of destruction or abandonment.</x:v>
      </x:c>
      <x:c r="N117" s="14" t="str">
        <x:v>src-pleiades-550913</x:v>
      </x:c>
      <x:c r="O117" s="14" t="str">
        <x:v>reviewed</x:v>
      </x:c>
    </x:row>
    <x:row r="118" ht="38" customHeight="1">
      <x:c r="A118" s="14" t="str">
        <x:v>chronology-colony-theodosia-crimea-primary</x:v>
      </x:c>
      <x:c r="B118" s="14" t="str">
        <x:v>colony-theodosia-crimea</x:v>
      </x:c>
      <x:c r="C118" s="21" t="n">
        <x:v>-600</x:v>
      </x:c>
      <x:c r="D118" s="21" t="n">
        <x:v>600</x:v>
      </x:c>
      <x:c r="E118" s="14" t="str">
        <x:v>approximate</x:v>
      </x:c>
      <x:c r="F118" s="14" t="str">
        <x:v>display_cutoff</x:v>
      </x:c>
      <x:c r="G118" s="14" t="str">
        <x:v>approximate</x:v>
      </x:c>
      <x:c r="H118" s="14" t="str">
        <x:v>occupation_window</x:v>
      </x:c>
      <x:c r="I118" s="20" t="b">
        <x:v>1</x:v>
      </x:c>
      <x:c r="J118" s="16" t="str">
        <x:v>600 π.Χ.–600 μ.Χ. (όριο άτλαντα)</x:v>
      </x:c>
      <x:c r="K118" s="16" t="str">
        <x:v>600 BCE–600 CE (atlas display cutoff)</x:v>
      </x:c>
      <x:c r="L118" s="16" t="str">
        <x:v>Το 600 μ.Χ. είναι το συμβατικό άνω όριο της παρούσας αρχαίας χρονογραμμής και όχι χρονολογία καταστροφής ή εγκατάλειψης.</x:v>
      </x:c>
      <x:c r="M118" s="16" t="str">
        <x:v>The year 600 CE is the conventional upper limit of this ancient timeline, not a date of destruction or abandonment.</x:v>
      </x:c>
      <x:c r="N118" s="14" t="str">
        <x:v>src-pleiades-854743</x:v>
      </x:c>
      <x:c r="O118" s="14" t="str">
        <x:v>reviewed</x:v>
      </x:c>
    </x:row>
    <x:row r="119" ht="38" customHeight="1">
      <x:c r="A119" s="14" t="str">
        <x:v>chronology-colony-tomis-primary</x:v>
      </x:c>
      <x:c r="B119" s="14" t="str">
        <x:v>colony-tomis</x:v>
      </x:c>
      <x:c r="C119" s="21" t="n">
        <x:v>-600</x:v>
      </x:c>
      <x:c r="D119" s="21" t="n">
        <x:v>600</x:v>
      </x:c>
      <x:c r="E119" s="14" t="str">
        <x:v>approximate</x:v>
      </x:c>
      <x:c r="F119" s="14" t="str">
        <x:v>display_cutoff</x:v>
      </x:c>
      <x:c r="G119" s="14" t="str">
        <x:v>approximate</x:v>
      </x:c>
      <x:c r="H119" s="14" t="str">
        <x:v>occupation_window</x:v>
      </x:c>
      <x:c r="I119" s="20" t="b">
        <x:v>1</x:v>
      </x:c>
      <x:c r="J119" s="16" t="str">
        <x:v>600 π.Χ.–600 μ.Χ. (όριο άτλαντα)</x:v>
      </x:c>
      <x:c r="K119" s="16" t="str">
        <x:v>600 BCE–600 CE (atlas display cutoff)</x:v>
      </x:c>
      <x:c r="L119" s="16" t="str">
        <x:v>Το 600 μ.Χ. είναι το συμβατικό άνω όριο της παρούσας αρχαίας χρονογραμμής και όχι χρονολογία καταστροφής ή εγκατάλειψης.</x:v>
      </x:c>
      <x:c r="M119" s="16" t="str">
        <x:v>The year 600 CE is the conventional upper limit of this ancient timeline, not a date of destruction or abandonment.</x:v>
      </x:c>
      <x:c r="N119" s="14" t="str">
        <x:v>src-pleiades-217016</x:v>
      </x:c>
      <x:c r="O119" s="14" t="str">
        <x:v>reviewed</x:v>
      </x:c>
    </x:row>
    <x:row r="120" ht="38" customHeight="1">
      <x:c r="A120" s="14" t="str">
        <x:v>chronology-colony-tragurion-primary</x:v>
      </x:c>
      <x:c r="B120" s="14" t="str">
        <x:v>colony-tragurion</x:v>
      </x:c>
      <x:c r="C120" s="21" t="n">
        <x:v>-300</x:v>
      </x:c>
      <x:c r="D120" s="21" t="n">
        <x:v>600</x:v>
      </x:c>
      <x:c r="E120" s="14" t="str">
        <x:v>approximate</x:v>
      </x:c>
      <x:c r="F120" s="14" t="str">
        <x:v>display_cutoff</x:v>
      </x:c>
      <x:c r="G120" s="14" t="str">
        <x:v>approximate</x:v>
      </x:c>
      <x:c r="H120" s="14" t="str">
        <x:v>occupation_window</x:v>
      </x:c>
      <x:c r="I120" s="20" t="b">
        <x:v>1</x:v>
      </x:c>
      <x:c r="J120" s="16" t="str">
        <x:v>300 π.Χ.–600 μ.Χ. (όριο άτλαντα)</x:v>
      </x:c>
      <x:c r="K120" s="16" t="str">
        <x:v>300 BCE–600 CE (atlas display cutoff)</x:v>
      </x:c>
      <x:c r="L120" s="16" t="str">
        <x:v>Το 600 μ.Χ. είναι το συμβατικό άνω όριο της παρούσας αρχαίας χρονογραμμής και όχι χρονολογία καταστροφής ή εγκατάλειψης.</x:v>
      </x:c>
      <x:c r="M120" s="16" t="str">
        <x:v>The year 600 CE is the conventional upper limit of this ancient timeline, not a date of destruction or abandonment.</x:v>
      </x:c>
      <x:c r="N120" s="14" t="str">
        <x:v>src-pleiades-197555</x:v>
      </x:c>
      <x:c r="O120" s="14" t="str">
        <x:v>reviewed</x:v>
      </x:c>
    </x:row>
    <x:row r="121" ht="38" customHeight="1">
      <x:c r="A121" s="14" t="str">
        <x:v>chronology-colony-trapezus-primary</x:v>
      </x:c>
      <x:c r="B121" s="14" t="str">
        <x:v>colony-trapezus</x:v>
      </x:c>
      <x:c r="C121" s="21" t="n">
        <x:v>-756</x:v>
      </x:c>
      <x:c r="D121" s="21" t="n">
        <x:v>600</x:v>
      </x:c>
      <x:c r="E121" s="14" t="str">
        <x:v>approximate</x:v>
      </x:c>
      <x:c r="F121" s="14" t="str">
        <x:v>display_cutoff</x:v>
      </x:c>
      <x:c r="G121" s="14" t="str">
        <x:v>approximate</x:v>
      </x:c>
      <x:c r="H121" s="14" t="str">
        <x:v>occupation_window</x:v>
      </x:c>
      <x:c r="I121" s="20" t="b">
        <x:v>1</x:v>
      </x:c>
      <x:c r="J121" s="16" t="str">
        <x:v>756 π.Χ.–600 μ.Χ. (όριο άτλαντα)</x:v>
      </x:c>
      <x:c r="K121" s="16" t="str">
        <x:v>756 BCE–600 CE (atlas display cutoff)</x:v>
      </x:c>
      <x:c r="L121" s="16" t="str">
        <x:v>Το 600 μ.Χ. είναι το συμβατικό άνω όριο της παρούσας αρχαίας χρονογραμμής και όχι χρονολογία καταστροφής ή εγκατάλειψης.</x:v>
      </x:c>
      <x:c r="M121" s="16" t="str">
        <x:v>The year 600 CE is the conventional upper limit of this ancient timeline, not a date of destruction or abandonment.</x:v>
      </x:c>
      <x:c r="N121" s="14" t="str">
        <x:v>src-pleiades-857359</x:v>
      </x:c>
      <x:c r="O121" s="14" t="str">
        <x:v>reviewed</x:v>
      </x:c>
    </x:row>
    <x:row r="122" ht="38" customHeight="1">
      <x:c r="A122" s="14" t="str">
        <x:v>chronology-colony-tyras-primary</x:v>
      </x:c>
      <x:c r="B122" s="14" t="str">
        <x:v>colony-tyras</x:v>
      </x:c>
      <x:c r="C122" s="21" t="n">
        <x:v>-600</x:v>
      </x:c>
      <x:c r="D122" s="21" t="n">
        <x:v>375</x:v>
      </x:c>
      <x:c r="E122" s="14" t="str">
        <x:v>approximate</x:v>
      </x:c>
      <x:c r="F122" s="14" t="str">
        <x:v>approximate</x:v>
      </x:c>
      <x:c r="G122" s="14" t="str">
        <x:v>approximate</x:v>
      </x:c>
      <x:c r="H122" s="14" t="str">
        <x:v>occupation_window</x:v>
      </x:c>
      <x:c r="I122" s="20" t="b">
        <x:v>0</x:v>
      </x:c>
      <x:c r="J122" s="16" t="str">
        <x:v>600 π.Χ.–375 μ.Χ.</x:v>
      </x:c>
      <x:c r="K122" s="16" t="str">
        <x:v>600 BCE–375 CE</x:v>
      </x:c>
      <x:c r="L122" s="16"/>
      <x:c r="M122" s="16"/>
      <x:c r="N122" s="14" t="str">
        <x:v>src-pleiades-226800</x:v>
      </x:c>
      <x:c r="O122" s="14" t="str">
        <x:v>reviewed</x:v>
      </x:c>
    </x:row>
    <x:row r="123" ht="38" customHeight="1">
      <x:c r="A123" s="14" t="str">
        <x:v>chronology-colony-zancle-messana-primary</x:v>
      </x:c>
      <x:c r="B123" s="14" t="str">
        <x:v>colony-zancle-messana</x:v>
      </x:c>
      <x:c r="C123" s="21" t="n">
        <x:v>-730</x:v>
      </x:c>
      <x:c r="D123" s="21" t="n">
        <x:v>600</x:v>
      </x:c>
      <x:c r="E123" s="14" t="str">
        <x:v>approximate</x:v>
      </x:c>
      <x:c r="F123" s="14" t="str">
        <x:v>display_cutoff</x:v>
      </x:c>
      <x:c r="G123" s="14" t="str">
        <x:v>approximate</x:v>
      </x:c>
      <x:c r="H123" s="14" t="str">
        <x:v>occupation_window</x:v>
      </x:c>
      <x:c r="I123" s="20" t="b">
        <x:v>1</x:v>
      </x:c>
      <x:c r="J123" s="16" t="str">
        <x:v>730 π.Χ.–600 μ.Χ. (όριο άτλαντα)</x:v>
      </x:c>
      <x:c r="K123" s="16" t="str">
        <x:v>730 BCE–600 CE (atlas display cutoff)</x:v>
      </x:c>
      <x:c r="L123" s="16" t="str">
        <x:v>Το 600 μ.Χ. είναι το συμβατικό άνω όριο της παρούσας αρχαίας χρονογραμμής και όχι χρονολογία καταστροφής ή εγκατάλειψης.</x:v>
      </x:c>
      <x:c r="M123" s="16" t="str">
        <x:v>The year 600 CE is the conventional upper limit of this ancient timeline, not a date of destruction or abandonment.</x:v>
      </x:c>
      <x:c r="N123" s="14" t="str">
        <x:v>src-pleiades-462538</x:v>
      </x:c>
      <x:c r="O123" s="14" t="str">
        <x:v>reviewed</x:v>
      </x:c>
    </x:row>
    <x:row r="124" ht="38" customHeight="1">
      <x:c r="A124" s="14" t="str">
        <x:v>chronology-kingdom-alexander-empire-primary</x:v>
      </x:c>
      <x:c r="B124" s="14" t="str">
        <x:v>kingdom-alexander-empire</x:v>
      </x:c>
      <x:c r="C124" s="21" t="n">
        <x:v>-336</x:v>
      </x:c>
      <x:c r="D124" s="21" t="n">
        <x:v>-323</x:v>
      </x:c>
      <x:c r="E124" s="14" t="str">
        <x:v>exact</x:v>
      </x:c>
      <x:c r="F124" s="14" t="str">
        <x:v>exact</x:v>
      </x:c>
      <x:c r="G124" s="14" t="str">
        <x:v>exact</x:v>
      </x:c>
      <x:c r="H124" s="14" t="str">
        <x:v>political_phase</x:v>
      </x:c>
      <x:c r="I124" s="20" t="b">
        <x:v>0</x:v>
      </x:c>
      <x:c r="J124" s="16" t="str">
        <x:v>336 π.Χ.–323 π.Χ.</x:v>
      </x:c>
      <x:c r="K124" s="16" t="str">
        <x:v>336 BCE–323 BCE</x:v>
      </x:c>
      <x:c r="L124" s="16"/>
      <x:c r="M124" s="16"/>
      <x:c r="N124" s="14" t="str">
        <x:v>src-metmuseum-89019924e8c3</x:v>
      </x:c>
      <x:c r="O124" s="14" t="str">
        <x:v>reviewed</x:v>
      </x:c>
    </x:row>
    <x:row r="125" ht="38" customHeight="1">
      <x:c r="A125" s="14" t="str">
        <x:v>chronology-kingdom-athens-mycenaean-primary</x:v>
      </x:c>
      <x:c r="B125" s="14" t="str">
        <x:v>kingdom-athens-mycenaean</x:v>
      </x:c>
      <x:c r="C125" s="21" t="n">
        <x:v>-1400</x:v>
      </x:c>
      <x:c r="D125" s="21" t="n">
        <x:v>-1100</x:v>
      </x:c>
      <x:c r="E125" s="14" t="str">
        <x:v>approximate</x:v>
      </x:c>
      <x:c r="F125" s="14" t="str">
        <x:v>approximate</x:v>
      </x:c>
      <x:c r="G125" s="14" t="str">
        <x:v>broad_range</x:v>
      </x:c>
      <x:c r="H125" s="14" t="str">
        <x:v>political_phase</x:v>
      </x:c>
      <x:c r="I125" s="20" t="b">
        <x:v>0</x:v>
      </x:c>
      <x:c r="J125" s="16" t="str">
        <x:v>1400 π.Χ.–1100 π.Χ.</x:v>
      </x:c>
      <x:c r="K125" s="16" t="str">
        <x:v>1400 BCE–1100 BCE</x:v>
      </x:c>
      <x:c r="L125" s="16"/>
      <x:c r="M125" s="16"/>
      <x:c r="N125" s="14" t="str">
        <x:v>src-whc-228f1be9c035</x:v>
      </x:c>
      <x:c r="O125" s="14" t="str">
        <x:v>reviewed</x:v>
      </x:c>
    </x:row>
    <x:row r="126" ht="38" customHeight="1">
      <x:c r="A126" s="14" t="str">
        <x:v>chronology-kingdom-attalid-pergamon-primary</x:v>
      </x:c>
      <x:c r="B126" s="14" t="str">
        <x:v>kingdom-attalid-pergamon</x:v>
      </x:c>
      <x:c r="C126" s="21" t="n">
        <x:v>-283</x:v>
      </x:c>
      <x:c r="D126" s="21" t="n">
        <x:v>-133</x:v>
      </x:c>
      <x:c r="E126" s="14" t="str">
        <x:v>uncertain</x:v>
      </x:c>
      <x:c r="F126" s="14" t="str">
        <x:v>uncertain</x:v>
      </x:c>
      <x:c r="G126" s="14" t="str">
        <x:v>mixed</x:v>
      </x:c>
      <x:c r="H126" s="14" t="str">
        <x:v>political_phase</x:v>
      </x:c>
      <x:c r="I126" s="20" t="b">
        <x:v>0</x:v>
      </x:c>
      <x:c r="J126" s="16" t="str">
        <x:v>283 π.Χ.–133 π.Χ.</x:v>
      </x:c>
      <x:c r="K126" s="16" t="str">
        <x:v>283 BCE–133 BCE</x:v>
      </x:c>
      <x:c r="L126" s="16" t="str">
        <x:v>Το διάστημα συμπυκνώνει αμφισβητούμενες ή μη συνεχείς ιστορικές φάσεις· απαιτείται λεπτομερέστερη διάσπαση πριν από αυστηρή χρονική ανάλυση.</x:v>
      </x:c>
      <x:c r="M126" s="16" t="str">
        <x:v>This interval compresses disputed or discontinuous historical phases; it must be divided more finely before rigorous chronological analysis.</x:v>
      </x:c>
      <x:c r="N126" s="14" t="str">
        <x:v>src-metmuseum-50fe20dc493f</x:v>
      </x:c>
      <x:c r="O126" s="14" t="str">
        <x:v>reviewed</x:v>
      </x:c>
    </x:row>
    <x:row r="127" ht="38" customHeight="1">
      <x:c r="A127" s="14" t="str">
        <x:v>chronology-kingdom-bithynia-primary</x:v>
      </x:c>
      <x:c r="B127" s="14" t="str">
        <x:v>kingdom-bithynia</x:v>
      </x:c>
      <x:c r="C127" s="21" t="n">
        <x:v>-297</x:v>
      </x:c>
      <x:c r="D127" s="21" t="n">
        <x:v>-74</x:v>
      </x:c>
      <x:c r="E127" s="14" t="str">
        <x:v>exact</x:v>
      </x:c>
      <x:c r="F127" s="14" t="str">
        <x:v>exact</x:v>
      </x:c>
      <x:c r="G127" s="14" t="str">
        <x:v>exact</x:v>
      </x:c>
      <x:c r="H127" s="14" t="str">
        <x:v>political_phase</x:v>
      </x:c>
      <x:c r="I127" s="20" t="b">
        <x:v>0</x:v>
      </x:c>
      <x:c r="J127" s="16" t="str">
        <x:v>297 π.Χ.–74 π.Χ.</x:v>
      </x:c>
      <x:c r="K127" s="16" t="str">
        <x:v>297 BCE–74 BCE</x:v>
      </x:c>
      <x:c r="L127" s="16"/>
      <x:c r="M127" s="16"/>
      <x:c r="N127" s="14" t="str">
        <x:v>src-attalus-1b40f4436114</x:v>
      </x:c>
      <x:c r="O127" s="14" t="str">
        <x:v>reviewed</x:v>
      </x:c>
    </x:row>
    <x:row r="128" ht="38" customHeight="1">
      <x:c r="A128" s="14" t="str">
        <x:v>chronology-kingdom-bosporus-archaeanactid-primary</x:v>
      </x:c>
      <x:c r="B128" s="14" t="str">
        <x:v>kingdom-bosporus-archaeanactid</x:v>
      </x:c>
      <x:c r="C128" s="21" t="n">
        <x:v>-480</x:v>
      </x:c>
      <x:c r="D128" s="21" t="n">
        <x:v>-438</x:v>
      </x:c>
      <x:c r="E128" s="14" t="str">
        <x:v>approximate</x:v>
      </x:c>
      <x:c r="F128" s="14" t="str">
        <x:v>approximate</x:v>
      </x:c>
      <x:c r="G128" s="14" t="str">
        <x:v>approximate</x:v>
      </x:c>
      <x:c r="H128" s="14" t="str">
        <x:v>political_phase</x:v>
      </x:c>
      <x:c r="I128" s="20" t="b">
        <x:v>0</x:v>
      </x:c>
      <x:c r="J128" s="16" t="str">
        <x:v>480 π.Χ.–438 π.Χ.</x:v>
      </x:c>
      <x:c r="K128" s="16" t="str">
        <x:v>480 BCE–438 BCE</x:v>
      </x:c>
      <x:c r="L128" s="16"/>
      <x:c r="M128" s="16"/>
      <x:c r="N128" s="14" t="str">
        <x:v>src-iranicaonline-4a607235e191</x:v>
      </x:c>
      <x:c r="O128" s="14" t="str">
        <x:v>reviewed</x:v>
      </x:c>
    </x:row>
    <x:row r="129" ht="38" customHeight="1">
      <x:c r="A129" s="14" t="str">
        <x:v>chronology-kingdom-bosporus-mithridatic-primary</x:v>
      </x:c>
      <x:c r="B129" s="14" t="str">
        <x:v>kingdom-bosporus-mithridatic</x:v>
      </x:c>
      <x:c r="C129" s="21" t="n">
        <x:v>-107</x:v>
      </x:c>
      <x:c r="D129" s="21" t="n">
        <x:v>-63</x:v>
      </x:c>
      <x:c r="E129" s="14" t="str">
        <x:v>approximate</x:v>
      </x:c>
      <x:c r="F129" s="14" t="str">
        <x:v>approximate</x:v>
      </x:c>
      <x:c r="G129" s="14" t="str">
        <x:v>approximate</x:v>
      </x:c>
      <x:c r="H129" s="14" t="str">
        <x:v>political_phase</x:v>
      </x:c>
      <x:c r="I129" s="20" t="b">
        <x:v>0</x:v>
      </x:c>
      <x:c r="J129" s="16" t="str">
        <x:v>107 π.Χ.–63 π.Χ.</x:v>
      </x:c>
      <x:c r="K129" s="16" t="str">
        <x:v>107 BCE–63 BCE</x:v>
      </x:c>
      <x:c r="L129" s="16"/>
      <x:c r="M129" s="16"/>
      <x:c r="N129" s="14" t="str">
        <x:v>src-iranicaonline-4a607235e191</x:v>
      </x:c>
      <x:c r="O129" s="14" t="str">
        <x:v>reviewed</x:v>
      </x:c>
    </x:row>
    <x:row r="130" ht="38" customHeight="1">
      <x:c r="A130" s="14" t="str">
        <x:v>chronology-kingdom-bosporus-spartocid-primary</x:v>
      </x:c>
      <x:c r="B130" s="14" t="str">
        <x:v>kingdom-bosporus-spartocid</x:v>
      </x:c>
      <x:c r="C130" s="21" t="n">
        <x:v>-438</x:v>
      </x:c>
      <x:c r="D130" s="21" t="n">
        <x:v>-107</x:v>
      </x:c>
      <x:c r="E130" s="14" t="str">
        <x:v>approximate</x:v>
      </x:c>
      <x:c r="F130" s="14" t="str">
        <x:v>approximate</x:v>
      </x:c>
      <x:c r="G130" s="14" t="str">
        <x:v>approximate</x:v>
      </x:c>
      <x:c r="H130" s="14" t="str">
        <x:v>political_phase</x:v>
      </x:c>
      <x:c r="I130" s="20" t="b">
        <x:v>0</x:v>
      </x:c>
      <x:c r="J130" s="16" t="str">
        <x:v>438 π.Χ.–107 π.Χ.</x:v>
      </x:c>
      <x:c r="K130" s="16" t="str">
        <x:v>438 BCE–107 BCE</x:v>
      </x:c>
      <x:c r="L130" s="16"/>
      <x:c r="M130" s="16"/>
      <x:c r="N130" s="14" t="str">
        <x:v>src-encyclopediaofukraine-237e86aa1350</x:v>
      </x:c>
      <x:c r="O130" s="14" t="str">
        <x:v>reviewed</x:v>
      </x:c>
    </x:row>
    <x:row r="131" ht="38" customHeight="1">
      <x:c r="A131" s="14" t="str">
        <x:v>chronology-kingdom-cappadocia-ariarathid-primary</x:v>
      </x:c>
      <x:c r="B131" s="14" t="str">
        <x:v>kingdom-cappadocia-ariarathid</x:v>
      </x:c>
      <x:c r="C131" s="21" t="n">
        <x:v>-331</x:v>
      </x:c>
      <x:c r="D131" s="21" t="n">
        <x:v>-96</x:v>
      </x:c>
      <x:c r="E131" s="14" t="str">
        <x:v>approximate</x:v>
      </x:c>
      <x:c r="F131" s="14" t="str">
        <x:v>approximate</x:v>
      </x:c>
      <x:c r="G131" s="14" t="str">
        <x:v>approximate</x:v>
      </x:c>
      <x:c r="H131" s="14" t="str">
        <x:v>political_phase</x:v>
      </x:c>
      <x:c r="I131" s="20" t="b">
        <x:v>0</x:v>
      </x:c>
      <x:c r="J131" s="16" t="str">
        <x:v>331 π.Χ.–96 π.Χ.</x:v>
      </x:c>
      <x:c r="K131" s="16" t="str">
        <x:v>331 BCE–96 BCE</x:v>
      </x:c>
      <x:c r="L131" s="16"/>
      <x:c r="M131" s="16"/>
      <x:c r="N131" s="14" t="str">
        <x:v>src-iranicaonline-0624b0b64cf3</x:v>
      </x:c>
      <x:c r="O131" s="14" t="str">
        <x:v>reviewed</x:v>
      </x:c>
    </x:row>
    <x:row r="132" ht="38" customHeight="1">
      <x:c r="A132" s="14" t="str">
        <x:v>chronology-kingdom-cappadocia-late-client-primary</x:v>
      </x:c>
      <x:c r="B132" s="14" t="str">
        <x:v>kingdom-cappadocia-late-client</x:v>
      </x:c>
      <x:c r="C132" s="21" t="n">
        <x:v>-95</x:v>
      </x:c>
      <x:c r="D132" s="21" t="n">
        <x:v>17</x:v>
      </x:c>
      <x:c r="E132" s="14" t="str">
        <x:v>uncertain</x:v>
      </x:c>
      <x:c r="F132" s="14" t="str">
        <x:v>uncertain</x:v>
      </x:c>
      <x:c r="G132" s="14" t="str">
        <x:v>mixed</x:v>
      </x:c>
      <x:c r="H132" s="14" t="str">
        <x:v>political_phase</x:v>
      </x:c>
      <x:c r="I132" s="20" t="b">
        <x:v>0</x:v>
      </x:c>
      <x:c r="J132" s="16" t="str">
        <x:v>95 π.Χ.–17 μ.Χ.</x:v>
      </x:c>
      <x:c r="K132" s="16" t="str">
        <x:v>95 BCE–17 CE</x:v>
      </x:c>
      <x:c r="L132" s="16" t="str">
        <x:v>Το διάστημα συμπυκνώνει αμφισβητούμενες ή μη συνεχείς ιστορικές φάσεις· απαιτείται λεπτομερέστερη διάσπαση πριν από αυστηρή χρονική ανάλυση.</x:v>
      </x:c>
      <x:c r="M132" s="16" t="str">
        <x:v>This interval compresses disputed or discontinuous historical phases; it must be divided more finely before rigorous chronological analysis.</x:v>
      </x:c>
      <x:c r="N132" s="14" t="str">
        <x:v>src-iranicaonline-0624b0b64cf3</x:v>
      </x:c>
      <x:c r="O132" s="14" t="str">
        <x:v>reviewed</x:v>
      </x:c>
    </x:row>
    <x:row r="133" ht="38" customHeight="1">
      <x:c r="A133" s="14" t="str">
        <x:v>chronology-kingdom-commagene-primary</x:v>
      </x:c>
      <x:c r="B133" s="14" t="str">
        <x:v>kingdom-commagene</x:v>
      </x:c>
      <x:c r="C133" s="21" t="n">
        <x:v>-163</x:v>
      </x:c>
      <x:c r="D133" s="21" t="n">
        <x:v>72</x:v>
      </x:c>
      <x:c r="E133" s="14" t="str">
        <x:v>uncertain</x:v>
      </x:c>
      <x:c r="F133" s="14" t="str">
        <x:v>uncertain</x:v>
      </x:c>
      <x:c r="G133" s="14" t="str">
        <x:v>mixed</x:v>
      </x:c>
      <x:c r="H133" s="14" t="str">
        <x:v>political_phase</x:v>
      </x:c>
      <x:c r="I133" s="20" t="b">
        <x:v>0</x:v>
      </x:c>
      <x:c r="J133" s="16" t="str">
        <x:v>163 π.Χ.–72 μ.Χ.</x:v>
      </x:c>
      <x:c r="K133" s="16" t="str">
        <x:v>163 BCE–72 CE</x:v>
      </x:c>
      <x:c r="L133" s="16" t="str">
        <x:v>Το διάστημα συμπυκνώνει αμφισβητούμενες ή μη συνεχείς ιστορικές φάσεις· απαιτείται λεπτομερέστερη διάσπαση πριν από αυστηρή χρονική ανάλυση.</x:v>
      </x:c>
      <x:c r="M133" s="16" t="str">
        <x:v>This interval compresses disputed or discontinuous historical phases; it must be divided more finely before rigorous chronological analysis.</x:v>
      </x:c>
      <x:c r="N133" s="14" t="str">
        <x:v>src-whc-758c2c416617</x:v>
      </x:c>
      <x:c r="O133" s="14" t="str">
        <x:v>reviewed</x:v>
      </x:c>
    </x:row>
    <x:row r="134" ht="38" customHeight="1">
      <x:c r="A134" s="14" t="str">
        <x:v>chronology-kingdom-cyrene-battiad-primary</x:v>
      </x:c>
      <x:c r="B134" s="14" t="str">
        <x:v>kingdom-cyrene-battiad</x:v>
      </x:c>
      <x:c r="C134" s="21" t="n">
        <x:v>-631</x:v>
      </x:c>
      <x:c r="D134" s="21" t="n">
        <x:v>-440</x:v>
      </x:c>
      <x:c r="E134" s="14" t="str">
        <x:v>approximate</x:v>
      </x:c>
      <x:c r="F134" s="14" t="str">
        <x:v>approximate</x:v>
      </x:c>
      <x:c r="G134" s="14" t="str">
        <x:v>approximate</x:v>
      </x:c>
      <x:c r="H134" s="14" t="str">
        <x:v>political_phase</x:v>
      </x:c>
      <x:c r="I134" s="20" t="b">
        <x:v>0</x:v>
      </x:c>
      <x:c r="J134" s="16" t="str">
        <x:v>631 π.Χ.–440 π.Χ.</x:v>
      </x:c>
      <x:c r="K134" s="16" t="str">
        <x:v>631 BCE–440 BCE</x:v>
      </x:c>
      <x:c r="L134" s="16"/>
      <x:c r="M134" s="16"/>
      <x:c r="N134" s="14" t="str">
        <x:v>src-whc-52a1efeb60e3</x:v>
      </x:c>
      <x:c r="O134" s="14" t="str">
        <x:v>reviewed</x:v>
      </x:c>
    </x:row>
    <x:row r="135" ht="38" customHeight="1">
      <x:c r="A135" s="14" t="str">
        <x:v>chronology-kingdom-cyrene-magas-primary</x:v>
      </x:c>
      <x:c r="B135" s="14" t="str">
        <x:v>kingdom-cyrene-magas</x:v>
      </x:c>
      <x:c r="C135" s="21" t="n">
        <x:v>-276</x:v>
      </x:c>
      <x:c r="D135" s="21" t="n">
        <x:v>-250</x:v>
      </x:c>
      <x:c r="E135" s="14" t="str">
        <x:v>approximate</x:v>
      </x:c>
      <x:c r="F135" s="14" t="str">
        <x:v>approximate</x:v>
      </x:c>
      <x:c r="G135" s="14" t="str">
        <x:v>approximate</x:v>
      </x:c>
      <x:c r="H135" s="14" t="str">
        <x:v>political_phase</x:v>
      </x:c>
      <x:c r="I135" s="20" t="b">
        <x:v>0</x:v>
      </x:c>
      <x:c r="J135" s="16" t="str">
        <x:v>276 π.Χ.–250 π.Χ.</x:v>
      </x:c>
      <x:c r="K135" s="16" t="str">
        <x:v>276 BCE–250 BCE</x:v>
      </x:c>
      <x:c r="L135" s="16"/>
      <x:c r="M135" s="16"/>
      <x:c r="N135" s="14" t="str">
        <x:v>src-persee-a9866e5e43d7</x:v>
      </x:c>
      <x:c r="O135" s="14" t="str">
        <x:v>reviewed</x:v>
      </x:c>
    </x:row>
    <x:row r="136" ht="38" customHeight="1">
      <x:c r="A136" s="14" t="str">
        <x:v>chronology-kingdom-epirus-aeacid-primary</x:v>
      </x:c>
      <x:c r="B136" s="14" t="str">
        <x:v>kingdom-epirus-aeacid</x:v>
      </x:c>
      <x:c r="C136" s="21" t="n">
        <x:v>-390</x:v>
      </x:c>
      <x:c r="D136" s="21" t="n">
        <x:v>-231</x:v>
      </x:c>
      <x:c r="E136" s="14" t="str">
        <x:v>approximate</x:v>
      </x:c>
      <x:c r="F136" s="14" t="str">
        <x:v>approximate</x:v>
      </x:c>
      <x:c r="G136" s="14" t="str">
        <x:v>approximate</x:v>
      </x:c>
      <x:c r="H136" s="14" t="str">
        <x:v>political_phase</x:v>
      </x:c>
      <x:c r="I136" s="20" t="b">
        <x:v>0</x:v>
      </x:c>
      <x:c r="J136" s="16" t="str">
        <x:v>390 π.Χ.–231 π.Χ.</x:v>
      </x:c>
      <x:c r="K136" s="16" t="str">
        <x:v>390 BCE–231 BCE</x:v>
      </x:c>
      <x:c r="L136" s="16"/>
      <x:c r="M136" s="16"/>
      <x:c r="N136" s="14" t="str">
        <x:v>src-cambridge-96106a304cc6</x:v>
      </x:c>
      <x:c r="O136" s="14" t="str">
        <x:v>reviewed</x:v>
      </x:c>
    </x:row>
    <x:row r="137" ht="38" customHeight="1">
      <x:c r="A137" s="14" t="str">
        <x:v>chronology-kingdom-greco-bactrian-diodotid-primary</x:v>
      </x:c>
      <x:c r="B137" s="14" t="str">
        <x:v>kingdom-greco-bactrian-diodotid</x:v>
      </x:c>
      <x:c r="C137" s="21" t="n">
        <x:v>-256</x:v>
      </x:c>
      <x:c r="D137" s="21" t="n">
        <x:v>-235</x:v>
      </x:c>
      <x:c r="E137" s="14" t="str">
        <x:v>approximate</x:v>
      </x:c>
      <x:c r="F137" s="14" t="str">
        <x:v>approximate</x:v>
      </x:c>
      <x:c r="G137" s="14" t="str">
        <x:v>approximate</x:v>
      </x:c>
      <x:c r="H137" s="14" t="str">
        <x:v>political_phase</x:v>
      </x:c>
      <x:c r="I137" s="20" t="b">
        <x:v>0</x:v>
      </x:c>
      <x:c r="J137" s="16" t="str">
        <x:v>256 π.Χ.–235 π.Χ.</x:v>
      </x:c>
      <x:c r="K137" s="16" t="str">
        <x:v>256 BCE–235 BCE</x:v>
      </x:c>
      <x:c r="L137" s="16"/>
      <x:c r="M137" s="16"/>
      <x:c r="N137" s="14" t="str">
        <x:v>src-metmuseum-50fe20dc493f</x:v>
      </x:c>
      <x:c r="O137" s="14" t="str">
        <x:v>reviewed</x:v>
      </x:c>
    </x:row>
    <x:row r="138" ht="38" customHeight="1">
      <x:c r="A138" s="14" t="str">
        <x:v>chronology-kingdom-greco-bactrian-eucratid-primary</x:v>
      </x:c>
      <x:c r="B138" s="14" t="str">
        <x:v>kingdom-greco-bactrian-eucratid</x:v>
      </x:c>
      <x:c r="C138" s="21" t="n">
        <x:v>-171</x:v>
      </x:c>
      <x:c r="D138" s="21" t="n">
        <x:v>-130</x:v>
      </x:c>
      <x:c r="E138" s="14" t="str">
        <x:v>approximate</x:v>
      </x:c>
      <x:c r="F138" s="14" t="str">
        <x:v>approximate</x:v>
      </x:c>
      <x:c r="G138" s="14" t="str">
        <x:v>approximate</x:v>
      </x:c>
      <x:c r="H138" s="14" t="str">
        <x:v>political_phase</x:v>
      </x:c>
      <x:c r="I138" s="20" t="b">
        <x:v>0</x:v>
      </x:c>
      <x:c r="J138" s="16" t="str">
        <x:v>171 π.Χ.–130 π.Χ.</x:v>
      </x:c>
      <x:c r="K138" s="16" t="str">
        <x:v>171 BCE–130 BCE</x:v>
      </x:c>
      <x:c r="L138" s="16"/>
      <x:c r="M138" s="16"/>
      <x:c r="N138" s="14" t="str">
        <x:v>src-iranicaonline-2bb61f112fc3</x:v>
      </x:c>
      <x:c r="O138" s="14" t="str">
        <x:v>reviewed</x:v>
      </x:c>
    </x:row>
    <x:row r="139" ht="38" customHeight="1">
      <x:c r="A139" s="14" t="str">
        <x:v>chronology-kingdom-greco-bactrian-euthydemid-primary</x:v>
      </x:c>
      <x:c r="B139" s="14" t="str">
        <x:v>kingdom-greco-bactrian-euthydemid</x:v>
      </x:c>
      <x:c r="C139" s="21" t="n">
        <x:v>-235</x:v>
      </x:c>
      <x:c r="D139" s="21" t="n">
        <x:v>-171</x:v>
      </x:c>
      <x:c r="E139" s="14" t="str">
        <x:v>approximate</x:v>
      </x:c>
      <x:c r="F139" s="14" t="str">
        <x:v>approximate</x:v>
      </x:c>
      <x:c r="G139" s="14" t="str">
        <x:v>approximate</x:v>
      </x:c>
      <x:c r="H139" s="14" t="str">
        <x:v>political_phase</x:v>
      </x:c>
      <x:c r="I139" s="20" t="b">
        <x:v>0</x:v>
      </x:c>
      <x:c r="J139" s="16" t="str">
        <x:v>235 π.Χ.–171 π.Χ.</x:v>
      </x:c>
      <x:c r="K139" s="16" t="str">
        <x:v>235 BCE–171 BCE</x:v>
      </x:c>
      <x:c r="L139" s="16"/>
      <x:c r="M139" s="16"/>
      <x:c r="N139" s="14" t="str">
        <x:v>src-iranicaonline-d4697d4d5c1a</x:v>
      </x:c>
      <x:c r="O139" s="14" t="str">
        <x:v>reviewed</x:v>
      </x:c>
    </x:row>
    <x:row r="140" ht="38" customHeight="1">
      <x:c r="A140" s="14" t="str">
        <x:v>chronology-kingdom-indo-greek-early-primary</x:v>
      </x:c>
      <x:c r="B140" s="14" t="str">
        <x:v>kingdom-indo-greek-early</x:v>
      </x:c>
      <x:c r="C140" s="21" t="n">
        <x:v>-200</x:v>
      </x:c>
      <x:c r="D140" s="21" t="n">
        <x:v>-165</x:v>
      </x:c>
      <x:c r="E140" s="14" t="str">
        <x:v>uncertain</x:v>
      </x:c>
      <x:c r="F140" s="14" t="str">
        <x:v>uncertain</x:v>
      </x:c>
      <x:c r="G140" s="14" t="str">
        <x:v>disputed</x:v>
      </x:c>
      <x:c r="H140" s="14" t="str">
        <x:v>political_phase</x:v>
      </x:c>
      <x:c r="I140" s="20" t="b">
        <x:v>0</x:v>
      </x:c>
      <x:c r="J140" s="16" t="str">
        <x:v>200 π.Χ.–165 π.Χ.</x:v>
      </x:c>
      <x:c r="K140" s="16" t="str">
        <x:v>200 BCE–165 BCE</x:v>
      </x:c>
      <x:c r="L140" s="16" t="str">
        <x:v>Το διάστημα συμπυκνώνει αμφισβητούμενες ή μη συνεχείς ιστορικές φάσεις· απαιτείται λεπτομερέστερη διάσπαση πριν από αυστηρή χρονική ανάλυση.</x:v>
      </x:c>
      <x:c r="M140" s="16" t="str">
        <x:v>This interval compresses disputed or discontinuous historical phases; it must be divided more finely before rigorous chronological analysis.</x:v>
      </x:c>
      <x:c r="N140" s="14" t="str">
        <x:v>src-iranicaonline-612dff96c99c</x:v>
      </x:c>
      <x:c r="O140" s="14" t="str">
        <x:v>reviewed</x:v>
      </x:c>
    </x:row>
    <x:row r="141" ht="38" customHeight="1">
      <x:c r="A141" s="14" t="str">
        <x:v>chronology-kingdom-indo-greek-late-primary</x:v>
      </x:c>
      <x:c r="B141" s="14" t="str">
        <x:v>kingdom-indo-greek-late</x:v>
      </x:c>
      <x:c r="C141" s="21" t="n">
        <x:v>-130</x:v>
      </x:c>
      <x:c r="D141" s="21" t="n">
        <x:v>10</x:v>
      </x:c>
      <x:c r="E141" s="14" t="str">
        <x:v>uncertain</x:v>
      </x:c>
      <x:c r="F141" s="14" t="str">
        <x:v>uncertain</x:v>
      </x:c>
      <x:c r="G141" s="14" t="str">
        <x:v>disputed</x:v>
      </x:c>
      <x:c r="H141" s="14" t="str">
        <x:v>political_phase</x:v>
      </x:c>
      <x:c r="I141" s="20" t="b">
        <x:v>0</x:v>
      </x:c>
      <x:c r="J141" s="16" t="str">
        <x:v>130 π.Χ.–10 μ.Χ.</x:v>
      </x:c>
      <x:c r="K141" s="16" t="str">
        <x:v>130 BCE–10 CE</x:v>
      </x:c>
      <x:c r="L141" s="16" t="str">
        <x:v>Το διάστημα συμπυκνώνει αμφισβητούμενες ή μη συνεχείς ιστορικές φάσεις· απαιτείται λεπτομερέστερη διάσπαση πριν από αυστηρή χρονική ανάλυση.</x:v>
      </x:c>
      <x:c r="M141" s="16" t="str">
        <x:v>This interval compresses disputed or discontinuous historical phases; it must be divided more finely before rigorous chronological analysis.</x:v>
      </x:c>
      <x:c r="N141" s="14" t="str">
        <x:v>src-iranicaonline-612dff96c99c</x:v>
      </x:c>
      <x:c r="O141" s="14" t="str">
        <x:v>reviewed</x:v>
      </x:c>
    </x:row>
    <x:row r="142" ht="38" customHeight="1">
      <x:c r="A142" s="14" t="str">
        <x:v>chronology-kingdom-indo-greek-menandrid-primary</x:v>
      </x:c>
      <x:c r="B142" s="14" t="str">
        <x:v>kingdom-indo-greek-menandrid</x:v>
      </x:c>
      <x:c r="C142" s="21" t="n">
        <x:v>-165</x:v>
      </x:c>
      <x:c r="D142" s="21" t="n">
        <x:v>-130</x:v>
      </x:c>
      <x:c r="E142" s="14" t="str">
        <x:v>approximate</x:v>
      </x:c>
      <x:c r="F142" s="14" t="str">
        <x:v>approximate</x:v>
      </x:c>
      <x:c r="G142" s="14" t="str">
        <x:v>approximate</x:v>
      </x:c>
      <x:c r="H142" s="14" t="str">
        <x:v>political_phase</x:v>
      </x:c>
      <x:c r="I142" s="20" t="b">
        <x:v>0</x:v>
      </x:c>
      <x:c r="J142" s="16" t="str">
        <x:v>165 π.Χ.–130 π.Χ.</x:v>
      </x:c>
      <x:c r="K142" s="16" t="str">
        <x:v>165 BCE–130 BCE</x:v>
      </x:c>
      <x:c r="L142" s="16"/>
      <x:c r="M142" s="16"/>
      <x:c r="N142" s="14" t="str">
        <x:v>src-iranicaonline-612dff96c99c</x:v>
      </x:c>
      <x:c r="O142" s="14" t="str">
        <x:v>reviewed</x:v>
      </x:c>
    </x:row>
    <x:row r="143" ht="38" customHeight="1">
      <x:c r="A143" s="14" t="str">
        <x:v>chronology-kingdom-iolcos-palatial-primary</x:v>
      </x:c>
      <x:c r="B143" s="14" t="str">
        <x:v>kingdom-iolcos-palatial</x:v>
      </x:c>
      <x:c r="C143" s="21" t="n">
        <x:v>-1400</x:v>
      </x:c>
      <x:c r="D143" s="21" t="n">
        <x:v>-1200</x:v>
      </x:c>
      <x:c r="E143" s="14" t="str">
        <x:v>approximate</x:v>
      </x:c>
      <x:c r="F143" s="14" t="str">
        <x:v>approximate</x:v>
      </x:c>
      <x:c r="G143" s="14" t="str">
        <x:v>broad_range</x:v>
      </x:c>
      <x:c r="H143" s="14" t="str">
        <x:v>political_phase</x:v>
      </x:c>
      <x:c r="I143" s="20" t="b">
        <x:v>0</x:v>
      </x:c>
      <x:c r="J143" s="16" t="str">
        <x:v>1400 π.Χ.–1200 π.Χ.</x:v>
      </x:c>
      <x:c r="K143" s="16" t="str">
        <x:v>1400 BCE–1200 BCE</x:v>
      </x:c>
      <x:c r="L143" s="16"/>
      <x:c r="M143" s="16"/>
      <x:c r="N143" s="14" t="str">
        <x:v>src-odysseus-589898851f92</x:v>
      </x:c>
      <x:c r="O143" s="14" t="str">
        <x:v>reviewed</x:v>
      </x:c>
    </x:row>
    <x:row r="144" ht="38" customHeight="1">
      <x:c r="A144" s="14" t="str">
        <x:v>chronology-kingdom-knossos-mycenaean-primary</x:v>
      </x:c>
      <x:c r="B144" s="14" t="str">
        <x:v>kingdom-knossos-mycenaean</x:v>
      </x:c>
      <x:c r="C144" s="21" t="n">
        <x:v>-1450</x:v>
      </x:c>
      <x:c r="D144" s="21" t="n">
        <x:v>-1375</x:v>
      </x:c>
      <x:c r="E144" s="14" t="str">
        <x:v>approximate</x:v>
      </x:c>
      <x:c r="F144" s="14" t="str">
        <x:v>approximate</x:v>
      </x:c>
      <x:c r="G144" s="14" t="str">
        <x:v>approximate</x:v>
      </x:c>
      <x:c r="H144" s="14" t="str">
        <x:v>political_phase</x:v>
      </x:c>
      <x:c r="I144" s="20" t="b">
        <x:v>0</x:v>
      </x:c>
      <x:c r="J144" s="16" t="str">
        <x:v>1450 π.Χ.–1375 π.Χ.</x:v>
      </x:c>
      <x:c r="K144" s="16" t="str">
        <x:v>1450 BCE–1375 BCE</x:v>
      </x:c>
      <x:c r="L144" s="16"/>
      <x:c r="M144" s="16"/>
      <x:c r="N144" s="14" t="str">
        <x:v>src-odysseus-9e3ae0cba911</x:v>
      </x:c>
      <x:c r="O144" s="14" t="str">
        <x:v>reviewed</x:v>
      </x:c>
    </x:row>
    <x:row r="145" ht="38" customHeight="1">
      <x:c r="A145" s="14" t="str">
        <x:v>chronology-kingdom-lysimachid-primary</x:v>
      </x:c>
      <x:c r="B145" s="14" t="str">
        <x:v>kingdom-lysimachid</x:v>
      </x:c>
      <x:c r="C145" s="21" t="n">
        <x:v>-306</x:v>
      </x:c>
      <x:c r="D145" s="21" t="n">
        <x:v>-281</x:v>
      </x:c>
      <x:c r="E145" s="14" t="str">
        <x:v>exact</x:v>
      </x:c>
      <x:c r="F145" s="14" t="str">
        <x:v>exact</x:v>
      </x:c>
      <x:c r="G145" s="14" t="str">
        <x:v>exact</x:v>
      </x:c>
      <x:c r="H145" s="14" t="str">
        <x:v>political_phase</x:v>
      </x:c>
      <x:c r="I145" s="20" t="b">
        <x:v>0</x:v>
      </x:c>
      <x:c r="J145" s="16" t="str">
        <x:v>306 π.Χ.–281 π.Χ.</x:v>
      </x:c>
      <x:c r="K145" s="16" t="str">
        <x:v>306 BCE–281 BCE</x:v>
      </x:c>
      <x:c r="L145" s="16"/>
      <x:c r="M145" s="16"/>
      <x:c r="N145" s="14" t="str">
        <x:v>src-pleiades-501458</x:v>
      </x:c>
      <x:c r="O145" s="14" t="str">
        <x:v>reviewed</x:v>
      </x:c>
    </x:row>
    <x:row r="146" ht="38" customHeight="1">
      <x:c r="A146" s="14" t="str">
        <x:v>chronology-kingdom-macedon-antigonid-primary</x:v>
      </x:c>
      <x:c r="B146" s="14" t="str">
        <x:v>kingdom-macedon-antigonid</x:v>
      </x:c>
      <x:c r="C146" s="21" t="n">
        <x:v>-277</x:v>
      </x:c>
      <x:c r="D146" s="21" t="n">
        <x:v>-168</x:v>
      </x:c>
      <x:c r="E146" s="14" t="str">
        <x:v>approximate</x:v>
      </x:c>
      <x:c r="F146" s="14" t="str">
        <x:v>approximate</x:v>
      </x:c>
      <x:c r="G146" s="14" t="str">
        <x:v>approximate</x:v>
      </x:c>
      <x:c r="H146" s="14" t="str">
        <x:v>political_phase</x:v>
      </x:c>
      <x:c r="I146" s="20" t="b">
        <x:v>0</x:v>
      </x:c>
      <x:c r="J146" s="16" t="str">
        <x:v>277 π.Χ.–168 π.Χ.</x:v>
      </x:c>
      <x:c r="K146" s="16" t="str">
        <x:v>277 BCE–168 BCE</x:v>
      </x:c>
      <x:c r="L146" s="16"/>
      <x:c r="M146" s="16"/>
      <x:c r="N146" s="14" t="str">
        <x:v>src-metmuseum-50fe20dc493f</x:v>
      </x:c>
      <x:c r="O146" s="14" t="str">
        <x:v>reviewed</x:v>
      </x:c>
    </x:row>
    <x:row r="147" ht="38" customHeight="1">
      <x:c r="A147" s="14" t="str">
        <x:v>chronology-kingdom-macedon-argead-primary</x:v>
      </x:c>
      <x:c r="B147" s="14" t="str">
        <x:v>kingdom-macedon-argead</x:v>
      </x:c>
      <x:c r="C147" s="21" t="n">
        <x:v>-700</x:v>
      </x:c>
      <x:c r="D147" s="21" t="n">
        <x:v>-336</x:v>
      </x:c>
      <x:c r="E147" s="14" t="str">
        <x:v>approximate</x:v>
      </x:c>
      <x:c r="F147" s="14" t="str">
        <x:v>approximate</x:v>
      </x:c>
      <x:c r="G147" s="14" t="str">
        <x:v>approximate</x:v>
      </x:c>
      <x:c r="H147" s="14" t="str">
        <x:v>political_phase</x:v>
      </x:c>
      <x:c r="I147" s="20" t="b">
        <x:v>0</x:v>
      </x:c>
      <x:c r="J147" s="16" t="str">
        <x:v>700 π.Χ.–336 π.Χ.</x:v>
      </x:c>
      <x:c r="K147" s="16" t="str">
        <x:v>700 BCE–336 BCE</x:v>
      </x:c>
      <x:c r="L147" s="16"/>
      <x:c r="M147" s="16"/>
      <x:c r="N147" s="14" t="str">
        <x:v>src-whc-fd006971700c</x:v>
      </x:c>
      <x:c r="O147" s="14" t="str">
        <x:v>reviewed</x:v>
      </x:c>
    </x:row>
    <x:row r="148" ht="38" customHeight="1">
      <x:c r="A148" s="14" t="str">
        <x:v>chronology-kingdom-macedon-kassandrid-primary</x:v>
      </x:c>
      <x:c r="B148" s="14" t="str">
        <x:v>kingdom-macedon-kassandrid</x:v>
      </x:c>
      <x:c r="C148" s="21" t="n">
        <x:v>-305</x:v>
      </x:c>
      <x:c r="D148" s="21" t="n">
        <x:v>-294</x:v>
      </x:c>
      <x:c r="E148" s="14" t="str">
        <x:v>exact</x:v>
      </x:c>
      <x:c r="F148" s="14" t="str">
        <x:v>exact</x:v>
      </x:c>
      <x:c r="G148" s="14" t="str">
        <x:v>exact</x:v>
      </x:c>
      <x:c r="H148" s="14" t="str">
        <x:v>political_phase</x:v>
      </x:c>
      <x:c r="I148" s="20" t="b">
        <x:v>0</x:v>
      </x:c>
      <x:c r="J148" s="16" t="str">
        <x:v>305 π.Χ.–294 π.Χ.</x:v>
      </x:c>
      <x:c r="K148" s="16" t="str">
        <x:v>305 BCE–294 BCE</x:v>
      </x:c>
      <x:c r="L148" s="16"/>
      <x:c r="M148" s="16"/>
      <x:c r="N148" s="14" t="str">
        <x:v>src-metmuseum-50fe20dc493f</x:v>
      </x:c>
      <x:c r="O148" s="14" t="str">
        <x:v>reviewed</x:v>
      </x:c>
    </x:row>
    <x:row r="149" ht="38" customHeight="1">
      <x:c r="A149" s="14" t="str">
        <x:v>chronology-kingdom-mycenae-palatial-primary</x:v>
      </x:c>
      <x:c r="B149" s="14" t="str">
        <x:v>kingdom-mycenae-palatial</x:v>
      </x:c>
      <x:c r="C149" s="21" t="n">
        <x:v>-1600</x:v>
      </x:c>
      <x:c r="D149" s="21" t="n">
        <x:v>-1100</x:v>
      </x:c>
      <x:c r="E149" s="14" t="str">
        <x:v>approximate</x:v>
      </x:c>
      <x:c r="F149" s="14" t="str">
        <x:v>approximate</x:v>
      </x:c>
      <x:c r="G149" s="14" t="str">
        <x:v>broad_range</x:v>
      </x:c>
      <x:c r="H149" s="14" t="str">
        <x:v>political_phase</x:v>
      </x:c>
      <x:c r="I149" s="20" t="b">
        <x:v>0</x:v>
      </x:c>
      <x:c r="J149" s="16" t="str">
        <x:v>1600 π.Χ.–1100 π.Χ.</x:v>
      </x:c>
      <x:c r="K149" s="16" t="str">
        <x:v>1600 BCE–1100 BCE</x:v>
      </x:c>
      <x:c r="L149" s="16"/>
      <x:c r="M149" s="16"/>
      <x:c r="N149" s="14" t="str">
        <x:v>src-whc-6306f630553d</x:v>
      </x:c>
      <x:c r="O149" s="14" t="str">
        <x:v>reviewed</x:v>
      </x:c>
    </x:row>
    <x:row r="150" ht="38" customHeight="1">
      <x:c r="A150" s="14" t="str">
        <x:v>chronology-kingdom-orchomenos-palatial-primary</x:v>
      </x:c>
      <x:c r="B150" s="14" t="str">
        <x:v>kingdom-orchomenos-palatial</x:v>
      </x:c>
      <x:c r="C150" s="21" t="n">
        <x:v>-1400</x:v>
      </x:c>
      <x:c r="D150" s="21" t="n">
        <x:v>-1200</x:v>
      </x:c>
      <x:c r="E150" s="14" t="str">
        <x:v>approximate</x:v>
      </x:c>
      <x:c r="F150" s="14" t="str">
        <x:v>approximate</x:v>
      </x:c>
      <x:c r="G150" s="14" t="str">
        <x:v>broad_range</x:v>
      </x:c>
      <x:c r="H150" s="14" t="str">
        <x:v>political_phase</x:v>
      </x:c>
      <x:c r="I150" s="20" t="b">
        <x:v>0</x:v>
      </x:c>
      <x:c r="J150" s="16" t="str">
        <x:v>1400 π.Χ.–1200 π.Χ.</x:v>
      </x:c>
      <x:c r="K150" s="16" t="str">
        <x:v>1400 BCE–1200 BCE</x:v>
      </x:c>
      <x:c r="L150" s="16"/>
      <x:c r="M150" s="16"/>
      <x:c r="N150" s="14" t="str">
        <x:v>src-mthv-715d665b63b5</x:v>
      </x:c>
      <x:c r="O150" s="14" t="str">
        <x:v>reviewed</x:v>
      </x:c>
    </x:row>
    <x:row r="151" ht="38" customHeight="1">
      <x:c r="A151" s="14" t="str">
        <x:v>chronology-kingdom-paphos-cyprus-primary</x:v>
      </x:c>
      <x:c r="B151" s="14" t="str">
        <x:v>kingdom-paphos-cyprus</x:v>
      </x:c>
      <x:c r="C151" s="21" t="n">
        <x:v>-800</x:v>
      </x:c>
      <x:c r="D151" s="21" t="n">
        <x:v>-312</x:v>
      </x:c>
      <x:c r="E151" s="14" t="str">
        <x:v>approximate</x:v>
      </x:c>
      <x:c r="F151" s="14" t="str">
        <x:v>approximate</x:v>
      </x:c>
      <x:c r="G151" s="14" t="str">
        <x:v>broad_range</x:v>
      </x:c>
      <x:c r="H151" s="14" t="str">
        <x:v>political_phase</x:v>
      </x:c>
      <x:c r="I151" s="20" t="b">
        <x:v>0</x:v>
      </x:c>
      <x:c r="J151" s="16" t="str">
        <x:v>800 π.Χ.–312 π.Χ.</x:v>
      </x:c>
      <x:c r="K151" s="16" t="str">
        <x:v>800 BCE–312 BCE</x:v>
      </x:c>
      <x:c r="L151" s="16"/>
      <x:c r="M151" s="16"/>
      <x:c r="N151" s="14" t="str">
        <x:v>src-websites-d5246844b076</x:v>
      </x:c>
      <x:c r="O151" s="14" t="str">
        <x:v>reviewed</x:v>
      </x:c>
    </x:row>
    <x:row r="152" ht="38" customHeight="1">
      <x:c r="A152" s="14" t="str">
        <x:v>chronology-kingdom-pontus-mithridatid-primary</x:v>
      </x:c>
      <x:c r="B152" s="14" t="str">
        <x:v>kingdom-pontus-mithridatid</x:v>
      </x:c>
      <x:c r="C152" s="21" t="n">
        <x:v>-280</x:v>
      </x:c>
      <x:c r="D152" s="21" t="n">
        <x:v>-63</x:v>
      </x:c>
      <x:c r="E152" s="14" t="str">
        <x:v>approximate</x:v>
      </x:c>
      <x:c r="F152" s="14" t="str">
        <x:v>approximate</x:v>
      </x:c>
      <x:c r="G152" s="14" t="str">
        <x:v>approximate</x:v>
      </x:c>
      <x:c r="H152" s="14" t="str">
        <x:v>political_phase</x:v>
      </x:c>
      <x:c r="I152" s="20" t="b">
        <x:v>0</x:v>
      </x:c>
      <x:c r="J152" s="16" t="str">
        <x:v>280 π.Χ.–63 π.Χ.</x:v>
      </x:c>
      <x:c r="K152" s="16" t="str">
        <x:v>280 BCE–63 BCE</x:v>
      </x:c>
      <x:c r="L152" s="16"/>
      <x:c r="M152" s="16"/>
      <x:c r="N152" s="14" t="str">
        <x:v>src-metmuseum-50fe20dc493f</x:v>
      </x:c>
      <x:c r="O152" s="14" t="str">
        <x:v>reviewed</x:v>
      </x:c>
    </x:row>
    <x:row r="153" ht="38" customHeight="1">
      <x:c r="A153" s="14" t="str">
        <x:v>chronology-kingdom-ptolemaic-egypt-primary</x:v>
      </x:c>
      <x:c r="B153" s="14" t="str">
        <x:v>kingdom-ptolemaic-egypt</x:v>
      </x:c>
      <x:c r="C153" s="21" t="n">
        <x:v>-305</x:v>
      </x:c>
      <x:c r="D153" s="21" t="n">
        <x:v>-30</x:v>
      </x:c>
      <x:c r="E153" s="14" t="str">
        <x:v>exact</x:v>
      </x:c>
      <x:c r="F153" s="14" t="str">
        <x:v>exact</x:v>
      </x:c>
      <x:c r="G153" s="14" t="str">
        <x:v>exact</x:v>
      </x:c>
      <x:c r="H153" s="14" t="str">
        <x:v>political_phase</x:v>
      </x:c>
      <x:c r="I153" s="20" t="b">
        <x:v>0</x:v>
      </x:c>
      <x:c r="J153" s="16" t="str">
        <x:v>305 π.Χ.–30 π.Χ.</x:v>
      </x:c>
      <x:c r="K153" s="16" t="str">
        <x:v>305 BCE–30 BCE</x:v>
      </x:c>
      <x:c r="L153" s="16"/>
      <x:c r="M153" s="16"/>
      <x:c r="N153" s="14" t="str">
        <x:v>src-metmuseum-9200258a95cb</x:v>
      </x:c>
      <x:c r="O153" s="14" t="str">
        <x:v>reviewed</x:v>
      </x:c>
    </x:row>
    <x:row r="154" ht="38" customHeight="1">
      <x:c r="A154" s="14" t="str">
        <x:v>chronology-kingdom-pylos-palatial-primary</x:v>
      </x:c>
      <x:c r="B154" s="14" t="str">
        <x:v>kingdom-pylos-palatial</x:v>
      </x:c>
      <x:c r="C154" s="21" t="n">
        <x:v>-1450</x:v>
      </x:c>
      <x:c r="D154" s="21" t="n">
        <x:v>-1180</x:v>
      </x:c>
      <x:c r="E154" s="14" t="str">
        <x:v>approximate</x:v>
      </x:c>
      <x:c r="F154" s="14" t="str">
        <x:v>approximate</x:v>
      </x:c>
      <x:c r="G154" s="14" t="str">
        <x:v>broad_range</x:v>
      </x:c>
      <x:c r="H154" s="14" t="str">
        <x:v>political_phase</x:v>
      </x:c>
      <x:c r="I154" s="20" t="b">
        <x:v>0</x:v>
      </x:c>
      <x:c r="J154" s="16" t="str">
        <x:v>1450 π.Χ.–1180 π.Χ.</x:v>
      </x:c>
      <x:c r="K154" s="16" t="str">
        <x:v>1450 BCE–1180 BCE</x:v>
      </x:c>
      <x:c r="L154" s="16"/>
      <x:c r="M154" s="16"/>
      <x:c r="N154" s="14" t="str">
        <x:v>src-odysseus-00e2d87ae4a8</x:v>
      </x:c>
      <x:c r="O154" s="14" t="str">
        <x:v>reviewed</x:v>
      </x:c>
    </x:row>
    <x:row r="155" ht="38" customHeight="1">
      <x:c r="A155" s="14" t="str">
        <x:v>chronology-kingdom-salamis-cyprus-primary</x:v>
      </x:c>
      <x:c r="B155" s="14" t="str">
        <x:v>kingdom-salamis-cyprus</x:v>
      </x:c>
      <x:c r="C155" s="21" t="n">
        <x:v>-800</x:v>
      </x:c>
      <x:c r="D155" s="21" t="n">
        <x:v>-311</x:v>
      </x:c>
      <x:c r="E155" s="14" t="str">
        <x:v>approximate</x:v>
      </x:c>
      <x:c r="F155" s="14" t="str">
        <x:v>approximate</x:v>
      </x:c>
      <x:c r="G155" s="14" t="str">
        <x:v>broad_range</x:v>
      </x:c>
      <x:c r="H155" s="14" t="str">
        <x:v>political_phase</x:v>
      </x:c>
      <x:c r="I155" s="20" t="b">
        <x:v>0</x:v>
      </x:c>
      <x:c r="J155" s="16" t="str">
        <x:v>800 π.Χ.–311 π.Χ.</x:v>
      </x:c>
      <x:c r="K155" s="16" t="str">
        <x:v>800 BCE–311 BCE</x:v>
      </x:c>
      <x:c r="L155" s="16"/>
      <x:c r="M155" s="16"/>
      <x:c r="N155" s="14" t="str">
        <x:v>src-uni-muenster-0a0030be4d2a</x:v>
      </x:c>
      <x:c r="O155" s="14" t="str">
        <x:v>reviewed</x:v>
      </x:c>
    </x:row>
    <x:row r="156" ht="38" customHeight="1">
      <x:c r="A156" s="14" t="str">
        <x:v>chronology-kingdom-seleucid-primary</x:v>
      </x:c>
      <x:c r="B156" s="14" t="str">
        <x:v>kingdom-seleucid</x:v>
      </x:c>
      <x:c r="C156" s="21" t="n">
        <x:v>-312</x:v>
      </x:c>
      <x:c r="D156" s="21" t="n">
        <x:v>-63</x:v>
      </x:c>
      <x:c r="E156" s="14" t="str">
        <x:v>approximate</x:v>
      </x:c>
      <x:c r="F156" s="14" t="str">
        <x:v>approximate</x:v>
      </x:c>
      <x:c r="G156" s="14" t="str">
        <x:v>approximate</x:v>
      </x:c>
      <x:c r="H156" s="14" t="str">
        <x:v>political_phase</x:v>
      </x:c>
      <x:c r="I156" s="20" t="b">
        <x:v>0</x:v>
      </x:c>
      <x:c r="J156" s="16" t="str">
        <x:v>312 π.Χ.–63 π.Χ.</x:v>
      </x:c>
      <x:c r="K156" s="16" t="str">
        <x:v>312 BCE–63 BCE</x:v>
      </x:c>
      <x:c r="L156" s="16"/>
      <x:c r="M156" s="16"/>
      <x:c r="N156" s="14" t="str">
        <x:v>src-metmuseum-31540f5687cf</x:v>
      </x:c>
      <x:c r="O156" s="14" t="str">
        <x:v>reviewed</x:v>
      </x:c>
    </x:row>
    <x:row r="157" ht="38" customHeight="1">
      <x:c r="A157" s="14" t="str">
        <x:v>chronology-kingdom-syracuse-agathocles-primary</x:v>
      </x:c>
      <x:c r="B157" s="14" t="str">
        <x:v>kingdom-syracuse-agathocles</x:v>
      </x:c>
      <x:c r="C157" s="21" t="n">
        <x:v>-304</x:v>
      </x:c>
      <x:c r="D157" s="21" t="n">
        <x:v>-289</x:v>
      </x:c>
      <x:c r="E157" s="14" t="str">
        <x:v>exact</x:v>
      </x:c>
      <x:c r="F157" s="14" t="str">
        <x:v>exact</x:v>
      </x:c>
      <x:c r="G157" s="14" t="str">
        <x:v>exact</x:v>
      </x:c>
      <x:c r="H157" s="14" t="str">
        <x:v>political_phase</x:v>
      </x:c>
      <x:c r="I157" s="20" t="b">
        <x:v>0</x:v>
      </x:c>
      <x:c r="J157" s="16" t="str">
        <x:v>304 π.Χ.–289 π.Χ.</x:v>
      </x:c>
      <x:c r="K157" s="16" t="str">
        <x:v>304 BCE–289 BCE</x:v>
      </x:c>
      <x:c r="L157" s="16"/>
      <x:c r="M157" s="16"/>
      <x:c r="N157" s="14" t="str">
        <x:v>src-britishmuseum-073d3f0a8ae4</x:v>
      </x:c>
      <x:c r="O157" s="14" t="str">
        <x:v>reviewed</x:v>
      </x:c>
    </x:row>
    <x:row r="158" ht="38" customHeight="1">
      <x:c r="A158" s="14" t="str">
        <x:v>chronology-kingdom-syracuse-hieron-ii-primary</x:v>
      </x:c>
      <x:c r="B158" s="14" t="str">
        <x:v>kingdom-syracuse-hieron-ii</x:v>
      </x:c>
      <x:c r="C158" s="21" t="n">
        <x:v>-269</x:v>
      </x:c>
      <x:c r="D158" s="21" t="n">
        <x:v>-215</x:v>
      </x:c>
      <x:c r="E158" s="14" t="str">
        <x:v>approximate</x:v>
      </x:c>
      <x:c r="F158" s="14" t="str">
        <x:v>approximate</x:v>
      </x:c>
      <x:c r="G158" s="14" t="str">
        <x:v>approximate</x:v>
      </x:c>
      <x:c r="H158" s="14" t="str">
        <x:v>political_phase</x:v>
      </x:c>
      <x:c r="I158" s="20" t="b">
        <x:v>0</x:v>
      </x:c>
      <x:c r="J158" s="16" t="str">
        <x:v>269 π.Χ.–215 π.Χ.</x:v>
      </x:c>
      <x:c r="K158" s="16" t="str">
        <x:v>269 BCE–215 BCE</x:v>
      </x:c>
      <x:c r="L158" s="16"/>
      <x:c r="M158" s="16"/>
      <x:c r="N158" s="14" t="str">
        <x:v>src-britishmuseum-d101eb623c92</x:v>
      </x:c>
      <x:c r="O158" s="14" t="str">
        <x:v>reviewed</x:v>
      </x:c>
    </x:row>
    <x:row r="159" ht="38" customHeight="1">
      <x:c r="A159" s="14" t="str">
        <x:v>chronology-kingdom-thebes-palatial-primary</x:v>
      </x:c>
      <x:c r="B159" s="14" t="str">
        <x:v>kingdom-thebes-palatial</x:v>
      </x:c>
      <x:c r="C159" s="21" t="n">
        <x:v>-1400</x:v>
      </x:c>
      <x:c r="D159" s="21" t="n">
        <x:v>-1200</x:v>
      </x:c>
      <x:c r="E159" s="14" t="str">
        <x:v>approximate</x:v>
      </x:c>
      <x:c r="F159" s="14" t="str">
        <x:v>approximate</x:v>
      </x:c>
      <x:c r="G159" s="14" t="str">
        <x:v>broad_range</x:v>
      </x:c>
      <x:c r="H159" s="14" t="str">
        <x:v>political_phase</x:v>
      </x:c>
      <x:c r="I159" s="20" t="b">
        <x:v>0</x:v>
      </x:c>
      <x:c r="J159" s="16" t="str">
        <x:v>1400 π.Χ.–1200 π.Χ.</x:v>
      </x:c>
      <x:c r="K159" s="16" t="str">
        <x:v>1400 BCE–1200 BCE</x:v>
      </x:c>
      <x:c r="L159" s="16"/>
      <x:c r="M159" s="16"/>
      <x:c r="N159" s="14" t="str">
        <x:v>src-mthv-715d665b63b5</x:v>
      </x:c>
      <x:c r="O159" s="14" t="str">
        <x:v>reviewed</x:v>
      </x:c>
    </x:row>
    <x:row r="160" ht="38" customHeight="1">
      <x:c r="A160" s="14" t="str">
        <x:v>chronology-kingdom-tiryns-palatial-primary</x:v>
      </x:c>
      <x:c r="B160" s="14" t="str">
        <x:v>kingdom-tiryns-palatial</x:v>
      </x:c>
      <x:c r="C160" s="21" t="n">
        <x:v>-1600</x:v>
      </x:c>
      <x:c r="D160" s="21" t="n">
        <x:v>-1050</x:v>
      </x:c>
      <x:c r="E160" s="14" t="str">
        <x:v>approximate</x:v>
      </x:c>
      <x:c r="F160" s="14" t="str">
        <x:v>approximate</x:v>
      </x:c>
      <x:c r="G160" s="14" t="str">
        <x:v>broad_range</x:v>
      </x:c>
      <x:c r="H160" s="14" t="str">
        <x:v>political_phase</x:v>
      </x:c>
      <x:c r="I160" s="20" t="b">
        <x:v>0</x:v>
      </x:c>
      <x:c r="J160" s="16" t="str">
        <x:v>1600 π.Χ.–1050 π.Χ.</x:v>
      </x:c>
      <x:c r="K160" s="16" t="str">
        <x:v>1600 BCE–1050 BCE</x:v>
      </x:c>
      <x:c r="L160" s="16"/>
      <x:c r="M160" s="16"/>
      <x:c r="N160" s="14" t="str">
        <x:v>src-whc-6306f630553d</x:v>
      </x:c>
      <x:c r="O160" s="14" t="str">
        <x:v>reviewed</x:v>
      </x:c>
    </x:row>
    <x:row r="161" ht="38" customHeight="1">
      <x:c r="A161" s="14" t="str">
        <x:v>chronology-sanctuary-aegina-aphaia-sanctuary-primary</x:v>
      </x:c>
      <x:c r="B161" s="14" t="str">
        <x:v>sanctuary-aegina-aphaia-sanctuary</x:v>
      </x:c>
      <x:c r="C161" s="21" t="n">
        <x:v>-1300</x:v>
      </x:c>
      <x:c r="D161" s="21" t="n">
        <x:v>300</x:v>
      </x:c>
      <x:c r="E161" s="14" t="str">
        <x:v>approximate</x:v>
      </x:c>
      <x:c r="F161" s="14" t="str">
        <x:v>approximate</x:v>
      </x:c>
      <x:c r="G161" s="14" t="str">
        <x:v>approximate</x:v>
      </x:c>
      <x:c r="H161" s="14" t="str">
        <x:v>cult_activity_window</x:v>
      </x:c>
      <x:c r="I161" s="20" t="b">
        <x:v>0</x:v>
      </x:c>
      <x:c r="J161" s="16" t="str">
        <x:v>1300 π.Χ.–300 μ.Χ.</x:v>
      </x:c>
      <x:c r="K161" s="16" t="str">
        <x:v>1300 BCE–300 CE</x:v>
      </x:c>
      <x:c r="L161"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61" s="16" t="str">
        <x:v>The final year is an approximate boundary for the principal period of ancient cult activity; a detailed timeline should separate the individual phases.</x:v>
      </x:c>
      <x:c r="N161" s="14" t="str">
        <x:v>src-pleiades-579872</x:v>
      </x:c>
      <x:c r="O161" s="14" t="str">
        <x:v>reviewed</x:v>
      </x:c>
    </x:row>
    <x:row r="162" ht="38" customHeight="1">
      <x:c r="A162" s="14" t="str">
        <x:v>chronology-sanctuary-akragas-concordia-temple-sanctuary-primary</x:v>
      </x:c>
      <x:c r="B162" s="14" t="str">
        <x:v>sanctuary-akragas-concordia-temple-sanctuary</x:v>
      </x:c>
      <x:c r="C162" s="21" t="n">
        <x:v>-440</x:v>
      </x:c>
      <x:c r="D162" s="21" t="n">
        <x:v>400</x:v>
      </x:c>
      <x:c r="E162" s="14" t="str">
        <x:v>approximate</x:v>
      </x:c>
      <x:c r="F162" s="14" t="str">
        <x:v>approximate</x:v>
      </x:c>
      <x:c r="G162" s="14" t="str">
        <x:v>approximate</x:v>
      </x:c>
      <x:c r="H162" s="14" t="str">
        <x:v>cult_activity_window</x:v>
      </x:c>
      <x:c r="I162" s="20" t="b">
        <x:v>0</x:v>
      </x:c>
      <x:c r="J162" s="16" t="str">
        <x:v>440 π.Χ.–400 μ.Χ.</x:v>
      </x:c>
      <x:c r="K162" s="16" t="str">
        <x:v>440 BCE–400 CE</x:v>
      </x:c>
      <x:c r="L162"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62" s="16" t="str">
        <x:v>The final year is an approximate boundary for the principal period of ancient cult activity; a detailed timeline should separate the individual phases.</x:v>
      </x:c>
      <x:c r="N162" s="14" t="str">
        <x:v>src-pleiades-943504072</x:v>
      </x:c>
      <x:c r="O162" s="14" t="str">
        <x:v>reviewed</x:v>
      </x:c>
    </x:row>
    <x:row r="163" ht="38" customHeight="1">
      <x:c r="A163" s="14" t="str">
        <x:v>chronology-sanctuary-alexandria-serapeum-primary</x:v>
      </x:c>
      <x:c r="B163" s="14" t="str">
        <x:v>sanctuary-alexandria-serapeum</x:v>
      </x:c>
      <x:c r="C163" s="21" t="n">
        <x:v>-280</x:v>
      </x:c>
      <x:c r="D163" s="21" t="n">
        <x:v>391</x:v>
      </x:c>
      <x:c r="E163" s="14" t="str">
        <x:v>approximate</x:v>
      </x:c>
      <x:c r="F163" s="14" t="str">
        <x:v>approximate</x:v>
      </x:c>
      <x:c r="G163" s="14" t="str">
        <x:v>approximate</x:v>
      </x:c>
      <x:c r="H163" s="14" t="str">
        <x:v>cult_activity_window</x:v>
      </x:c>
      <x:c r="I163" s="20" t="b">
        <x:v>0</x:v>
      </x:c>
      <x:c r="J163" s="16" t="str">
        <x:v>280 π.Χ.–391 μ.Χ.</x:v>
      </x:c>
      <x:c r="K163" s="16" t="str">
        <x:v>280 BCE–391 CE</x:v>
      </x:c>
      <x:c r="L163" s="16"/>
      <x:c r="M163" s="16"/>
      <x:c r="N163" s="14" t="str">
        <x:v>src-pleiades-182618516</x:v>
      </x:c>
      <x:c r="O163" s="14" t="str">
        <x:v>reviewed</x:v>
      </x:c>
    </x:row>
    <x:row r="164" ht="38" customHeight="1">
      <x:c r="A164" s="14" t="str">
        <x:v>chronology-sanctuary-amyklaion-apollo-sanctuary-primary</x:v>
      </x:c>
      <x:c r="B164" s="14" t="str">
        <x:v>sanctuary-amyklaion-apollo-sanctuary</x:v>
      </x:c>
      <x:c r="C164" s="21" t="n">
        <x:v>-800</x:v>
      </x:c>
      <x:c r="D164" s="21" t="n">
        <x:v>400</x:v>
      </x:c>
      <x:c r="E164" s="14" t="str">
        <x:v>approximate</x:v>
      </x:c>
      <x:c r="F164" s="14" t="str">
        <x:v>approximate</x:v>
      </x:c>
      <x:c r="G164" s="14" t="str">
        <x:v>approximate</x:v>
      </x:c>
      <x:c r="H164" s="14" t="str">
        <x:v>cult_activity_window</x:v>
      </x:c>
      <x:c r="I164" s="20" t="b">
        <x:v>0</x:v>
      </x:c>
      <x:c r="J164" s="16" t="str">
        <x:v>800 π.Χ.–400 μ.Χ.</x:v>
      </x:c>
      <x:c r="K164" s="16" t="str">
        <x:v>800 BCE–400 CE</x:v>
      </x:c>
      <x:c r="L164"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64" s="16" t="str">
        <x:v>The final year is an approximate boundary for the principal period of ancient cult activity; a detailed timeline should separate the individual phases.</x:v>
      </x:c>
      <x:c r="N164" s="14" t="str">
        <x:v>src-pleiades-73644851</x:v>
      </x:c>
      <x:c r="O164" s="14" t="str">
        <x:v>reviewed</x:v>
      </x:c>
    </x:row>
    <x:row r="165" ht="38" customHeight="1">
      <x:c r="A165" s="14" t="str">
        <x:v>chronology-sanctuary-aphrodisias-aphrodite-sanctuary-primary</x:v>
      </x:c>
      <x:c r="B165" s="14" t="str">
        <x:v>sanctuary-aphrodisias-aphrodite-sanctuary</x:v>
      </x:c>
      <x:c r="C165" s="21" t="n">
        <x:v>-600</x:v>
      </x:c>
      <x:c r="D165" s="21" t="n">
        <x:v>500</x:v>
      </x:c>
      <x:c r="E165" s="14" t="str">
        <x:v>approximate</x:v>
      </x:c>
      <x:c r="F165" s="14" t="str">
        <x:v>approximate</x:v>
      </x:c>
      <x:c r="G165" s="14" t="str">
        <x:v>approximate</x:v>
      </x:c>
      <x:c r="H165" s="14" t="str">
        <x:v>cult_activity_window</x:v>
      </x:c>
      <x:c r="I165" s="20" t="b">
        <x:v>0</x:v>
      </x:c>
      <x:c r="J165" s="16" t="str">
        <x:v>600 π.Χ.–500 μ.Χ.</x:v>
      </x:c>
      <x:c r="K165" s="16" t="str">
        <x:v>600 BCE–500 CE</x:v>
      </x:c>
      <x:c r="L165" s="16"/>
      <x:c r="M165" s="16"/>
      <x:c r="N165" s="14" t="str">
        <x:v>src-aphrodisias-excavations-68b8b8553e48</x:v>
      </x:c>
      <x:c r="O165" s="14" t="str">
        <x:v>reviewed</x:v>
      </x:c>
    </x:row>
    <x:row r="166" ht="38" customHeight="1">
      <x:c r="A166" s="14" t="str">
        <x:v>chronology-sanctuary-apollonia-pontica-apollo-ietros-sanctuary-primary</x:v>
      </x:c>
      <x:c r="B166" s="14" t="str">
        <x:v>sanctuary-apollonia-pontica-apollo-ietros-sanctuary</x:v>
      </x:c>
      <x:c r="C166" s="21" t="n">
        <x:v>-560</x:v>
      </x:c>
      <x:c r="D166" s="21" t="n">
        <x:v>-72</x:v>
      </x:c>
      <x:c r="E166" s="14" t="str">
        <x:v>approximate</x:v>
      </x:c>
      <x:c r="F166" s="14" t="str">
        <x:v>approximate</x:v>
      </x:c>
      <x:c r="G166" s="14" t="str">
        <x:v>approximate</x:v>
      </x:c>
      <x:c r="H166" s="14" t="str">
        <x:v>cult_activity_window</x:v>
      </x:c>
      <x:c r="I166" s="20" t="b">
        <x:v>0</x:v>
      </x:c>
      <x:c r="J166" s="16" t="str">
        <x:v>560 π.Χ.–72 π.Χ.</x:v>
      </x:c>
      <x:c r="K166" s="16" t="str">
        <x:v>560 BCE–72 BCE</x:v>
      </x:c>
      <x:c r="L166" s="16"/>
      <x:c r="M166" s="16"/>
      <x:c r="N166" s="14" t="str">
        <x:v>src-pleiades-216706</x:v>
      </x:c>
      <x:c r="O166" s="14" t="str">
        <x:v>reviewed</x:v>
      </x:c>
    </x:row>
    <x:row r="167" ht="38" customHeight="1">
      <x:c r="A167" s="14" t="str">
        <x:v>chronology-sanctuary-argive-heraion-primary</x:v>
      </x:c>
      <x:c r="B167" s="14" t="str">
        <x:v>sanctuary-argive-heraion</x:v>
      </x:c>
      <x:c r="C167" s="21" t="n">
        <x:v>-800</x:v>
      </x:c>
      <x:c r="D167" s="21" t="n">
        <x:v>400</x:v>
      </x:c>
      <x:c r="E167" s="14" t="str">
        <x:v>approximate</x:v>
      </x:c>
      <x:c r="F167" s="14" t="str">
        <x:v>approximate</x:v>
      </x:c>
      <x:c r="G167" s="14" t="str">
        <x:v>approximate</x:v>
      </x:c>
      <x:c r="H167" s="14" t="str">
        <x:v>cult_activity_window</x:v>
      </x:c>
      <x:c r="I167" s="20" t="b">
        <x:v>0</x:v>
      </x:c>
      <x:c r="J167" s="16" t="str">
        <x:v>800 π.Χ.–400 μ.Χ.</x:v>
      </x:c>
      <x:c r="K167" s="16" t="str">
        <x:v>800 BCE–400 CE</x:v>
      </x:c>
      <x:c r="L167"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67" s="16" t="str">
        <x:v>The final year is an approximate boundary for the principal period of ancient cult activity; a detailed timeline should separate the individual phases.</x:v>
      </x:c>
      <x:c r="N167" s="14" t="str">
        <x:v>src-pleiades-570289</x:v>
      </x:c>
      <x:c r="O167" s="14" t="str">
        <x:v>reviewed</x:v>
      </x:c>
    </x:row>
    <x:row r="168" ht="38" customHeight="1">
      <x:c r="A168" s="14" t="str">
        <x:v>chronology-sanctuary-athens-acropolis-sacred-center-primary</x:v>
      </x:c>
      <x:c r="B168" s="14" t="str">
        <x:v>sanctuary-athens-acropolis-sacred-center</x:v>
      </x:c>
      <x:c r="C168" s="21" t="n">
        <x:v>-1300</x:v>
      </x:c>
      <x:c r="D168" s="21" t="n">
        <x:v>529</x:v>
      </x:c>
      <x:c r="E168" s="14" t="str">
        <x:v>approximate</x:v>
      </x:c>
      <x:c r="F168" s="14" t="str">
        <x:v>approximate</x:v>
      </x:c>
      <x:c r="G168" s="14" t="str">
        <x:v>approximate</x:v>
      </x:c>
      <x:c r="H168" s="14" t="str">
        <x:v>cult_activity_window</x:v>
      </x:c>
      <x:c r="I168" s="20" t="b">
        <x:v>0</x:v>
      </x:c>
      <x:c r="J168" s="16" t="str">
        <x:v>1300 π.Χ.–529 μ.Χ.</x:v>
      </x:c>
      <x:c r="K168" s="16" t="str">
        <x:v>1300 BCE–529 CE</x:v>
      </x:c>
      <x:c r="L168" s="16"/>
      <x:c r="M168" s="16"/>
      <x:c r="N168" s="14" t="str">
        <x:v>src-pleiades-638356144</x:v>
      </x:c>
      <x:c r="O168" s="14" t="str">
        <x:v>reviewed</x:v>
      </x:c>
    </x:row>
    <x:row r="169" ht="38" customHeight="1">
      <x:c r="A169" s="14" t="str">
        <x:v>chronology-sanctuary-bassae-apollo-epikourios-primary</x:v>
      </x:c>
      <x:c r="B169" s="14" t="str">
        <x:v>sanctuary-bassae-apollo-epikourios</x:v>
      </x:c>
      <x:c r="C169" s="21" t="n">
        <x:v>-600</x:v>
      </x:c>
      <x:c r="D169" s="21" t="n">
        <x:v>400</x:v>
      </x:c>
      <x:c r="E169" s="14" t="str">
        <x:v>approximate</x:v>
      </x:c>
      <x:c r="F169" s="14" t="str">
        <x:v>approximate</x:v>
      </x:c>
      <x:c r="G169" s="14" t="str">
        <x:v>approximate</x:v>
      </x:c>
      <x:c r="H169" s="14" t="str">
        <x:v>cult_activity_window</x:v>
      </x:c>
      <x:c r="I169" s="20" t="b">
        <x:v>0</x:v>
      </x:c>
      <x:c r="J169" s="16" t="str">
        <x:v>600 π.Χ.–400 μ.Χ.</x:v>
      </x:c>
      <x:c r="K169" s="16" t="str">
        <x:v>600 BCE–400 CE</x:v>
      </x:c>
      <x:c r="L169"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69" s="16" t="str">
        <x:v>The final year is an approximate boundary for the principal period of ancient cult activity; a detailed timeline should separate the individual phases.</x:v>
      </x:c>
      <x:c r="N169" s="14" t="str">
        <x:v>src-pleiades-570148</x:v>
      </x:c>
      <x:c r="O169" s="14" t="str">
        <x:v>reviewed</x:v>
      </x:c>
    </x:row>
    <x:row r="170" ht="38" customHeight="1">
      <x:c r="A170" s="14" t="str">
        <x:v>chronology-sanctuary-brauron-artemis-sanctuary-primary</x:v>
      </x:c>
      <x:c r="B170" s="14" t="str">
        <x:v>sanctuary-brauron-artemis-sanctuary</x:v>
      </x:c>
      <x:c r="C170" s="21" t="n">
        <x:v>-800</x:v>
      </x:c>
      <x:c r="D170" s="21" t="n">
        <x:v>-300</x:v>
      </x:c>
      <x:c r="E170" s="14" t="str">
        <x:v>approximate</x:v>
      </x:c>
      <x:c r="F170" s="14" t="str">
        <x:v>approximate</x:v>
      </x:c>
      <x:c r="G170" s="14" t="str">
        <x:v>approximate</x:v>
      </x:c>
      <x:c r="H170" s="14" t="str">
        <x:v>cult_activity_window</x:v>
      </x:c>
      <x:c r="I170" s="20" t="b">
        <x:v>0</x:v>
      </x:c>
      <x:c r="J170" s="16" t="str">
        <x:v>800 π.Χ.–300 π.Χ.</x:v>
      </x:c>
      <x:c r="K170" s="16" t="str">
        <x:v>800 BCE–300 BCE</x:v>
      </x:c>
      <x:c r="L170" s="16"/>
      <x:c r="M170" s="16"/>
      <x:c r="N170" s="14" t="str">
        <x:v>src-pleiades-579879</x:v>
      </x:c>
      <x:c r="O170" s="14" t="str">
        <x:v>reviewed</x:v>
      </x:c>
    </x:row>
    <x:row r="171" ht="38" customHeight="1">
      <x:c r="A171" s="14" t="str">
        <x:v>chronology-sanctuary-chersonesos-parthenos-sanctuary-primary</x:v>
      </x:c>
      <x:c r="B171" s="14" t="str">
        <x:v>sanctuary-chersonesos-parthenos-sanctuary</x:v>
      </x:c>
      <x:c r="C171" s="21" t="n">
        <x:v>-400</x:v>
      </x:c>
      <x:c r="D171" s="21" t="n">
        <x:v>300</x:v>
      </x:c>
      <x:c r="E171" s="14" t="str">
        <x:v>approximate</x:v>
      </x:c>
      <x:c r="F171" s="14" t="str">
        <x:v>approximate</x:v>
      </x:c>
      <x:c r="G171" s="14" t="str">
        <x:v>approximate</x:v>
      </x:c>
      <x:c r="H171" s="14" t="str">
        <x:v>cult_activity_window</x:v>
      </x:c>
      <x:c r="I171" s="20" t="b">
        <x:v>0</x:v>
      </x:c>
      <x:c r="J171" s="16" t="str">
        <x:v>400 π.Χ.–300 μ.Χ.</x:v>
      </x:c>
      <x:c r="K171" s="16" t="str">
        <x:v>400 BCE–300 CE</x:v>
      </x:c>
      <x:c r="L171"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71" s="16" t="str">
        <x:v>The final year is an approximate boundary for the principal period of ancient cult activity; a detailed timeline should separate the individual phases.</x:v>
      </x:c>
      <x:c r="N171" s="14" t="str">
        <x:v>src-whc-329a28f5c851</x:v>
      </x:c>
      <x:c r="O171" s="14" t="str">
        <x:v>reviewed</x:v>
      </x:c>
    </x:row>
    <x:row r="172" ht="38" customHeight="1">
      <x:c r="A172" s="14" t="str">
        <x:v>chronology-sanctuary-claros-apollo-oracle-primary</x:v>
      </x:c>
      <x:c r="B172" s="14" t="str">
        <x:v>sanctuary-claros-apollo-oracle</x:v>
      </x:c>
      <x:c r="C172" s="21" t="n">
        <x:v>-700</x:v>
      </x:c>
      <x:c r="D172" s="21" t="n">
        <x:v>400</x:v>
      </x:c>
      <x:c r="E172" s="14" t="str">
        <x:v>approximate</x:v>
      </x:c>
      <x:c r="F172" s="14" t="str">
        <x:v>approximate</x:v>
      </x:c>
      <x:c r="G172" s="14" t="str">
        <x:v>approximate</x:v>
      </x:c>
      <x:c r="H172" s="14" t="str">
        <x:v>cult_activity_window</x:v>
      </x:c>
      <x:c r="I172" s="20" t="b">
        <x:v>0</x:v>
      </x:c>
      <x:c r="J172" s="16" t="str">
        <x:v>700 π.Χ.–400 μ.Χ.</x:v>
      </x:c>
      <x:c r="K172" s="16" t="str">
        <x:v>700 BCE–400 CE</x:v>
      </x:c>
      <x:c r="L172"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72" s="16" t="str">
        <x:v>The final year is an approximate boundary for the principal period of ancient cult activity; a detailed timeline should separate the individual phases.</x:v>
      </x:c>
      <x:c r="N172" s="14" t="str">
        <x:v>src-pleiades-599719</x:v>
      </x:c>
      <x:c r="O172" s="14" t="str">
        <x:v>reviewed</x:v>
      </x:c>
    </x:row>
    <x:row r="173" ht="38" customHeight="1">
      <x:c r="A173" s="14" t="str">
        <x:v>chronology-sanctuary-crete-idaion-antron-primary</x:v>
      </x:c>
      <x:c r="B173" s="14" t="str">
        <x:v>sanctuary-crete-idaion-antron</x:v>
      </x:c>
      <x:c r="C173" s="21" t="n">
        <x:v>-2000</x:v>
      </x:c>
      <x:c r="D173" s="21" t="n">
        <x:v>400</x:v>
      </x:c>
      <x:c r="E173" s="14" t="str">
        <x:v>approximate</x:v>
      </x:c>
      <x:c r="F173" s="14" t="str">
        <x:v>approximate</x:v>
      </x:c>
      <x:c r="G173" s="14" t="str">
        <x:v>approximate</x:v>
      </x:c>
      <x:c r="H173" s="14" t="str">
        <x:v>cult_activity_window</x:v>
      </x:c>
      <x:c r="I173" s="20" t="b">
        <x:v>0</x:v>
      </x:c>
      <x:c r="J173" s="16" t="str">
        <x:v>2000 π.Χ.–400 μ.Χ.</x:v>
      </x:c>
      <x:c r="K173" s="16" t="str">
        <x:v>2000 BCE–400 CE</x:v>
      </x:c>
      <x:c r="L173"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73" s="16" t="str">
        <x:v>The final year is an approximate boundary for the principal period of ancient cult activity; a detailed timeline should separate the individual phases.</x:v>
      </x:c>
      <x:c r="N173" s="14" t="str">
        <x:v>src-pleiades-589817</x:v>
      </x:c>
      <x:c r="O173" s="14" t="str">
        <x:v>reviewed</x:v>
      </x:c>
    </x:row>
    <x:row r="174" ht="38" customHeight="1">
      <x:c r="A174" s="14" t="str">
        <x:v>chronology-sanctuary-crete-iuktas-peak-sanctuary-primary</x:v>
      </x:c>
      <x:c r="B174" s="14" t="str">
        <x:v>sanctuary-crete-iuktas-peak-sanctuary</x:v>
      </x:c>
      <x:c r="C174" s="21" t="n">
        <x:v>-2000</x:v>
      </x:c>
      <x:c r="D174" s="21" t="n">
        <x:v>-1100</x:v>
      </x:c>
      <x:c r="E174" s="14" t="str">
        <x:v>approximate</x:v>
      </x:c>
      <x:c r="F174" s="14" t="str">
        <x:v>approximate</x:v>
      </x:c>
      <x:c r="G174" s="14" t="str">
        <x:v>approximate</x:v>
      </x:c>
      <x:c r="H174" s="14" t="str">
        <x:v>cult_activity_window</x:v>
      </x:c>
      <x:c r="I174" s="20" t="b">
        <x:v>0</x:v>
      </x:c>
      <x:c r="J174" s="16" t="str">
        <x:v>2000 π.Χ.–1100 π.Χ.</x:v>
      </x:c>
      <x:c r="K174" s="16" t="str">
        <x:v>2000 BCE–1100 BCE</x:v>
      </x:c>
      <x:c r="L174" s="16"/>
      <x:c r="M174" s="16"/>
      <x:c r="N174" s="14" t="str">
        <x:v>src-pleiades-559217802</x:v>
      </x:c>
      <x:c r="O174" s="14" t="str">
        <x:v>reviewed</x:v>
      </x:c>
    </x:row>
    <x:row r="175" ht="38" customHeight="1">
      <x:c r="A175" s="14" t="str">
        <x:v>chronology-sanctuary-croton-hera-lacinia-sanctuary-primary</x:v>
      </x:c>
      <x:c r="B175" s="14" t="str">
        <x:v>sanctuary-croton-hera-lacinia-sanctuary</x:v>
      </x:c>
      <x:c r="C175" s="21" t="n">
        <x:v>-700</x:v>
      </x:c>
      <x:c r="D175" s="21" t="n">
        <x:v>300</x:v>
      </x:c>
      <x:c r="E175" s="14" t="str">
        <x:v>approximate</x:v>
      </x:c>
      <x:c r="F175" s="14" t="str">
        <x:v>approximate</x:v>
      </x:c>
      <x:c r="G175" s="14" t="str">
        <x:v>approximate</x:v>
      </x:c>
      <x:c r="H175" s="14" t="str">
        <x:v>cult_activity_window</x:v>
      </x:c>
      <x:c r="I175" s="20" t="b">
        <x:v>0</x:v>
      </x:c>
      <x:c r="J175" s="16" t="str">
        <x:v>700 π.Χ.–300 μ.Χ.</x:v>
      </x:c>
      <x:c r="K175" s="16" t="str">
        <x:v>700 BCE–300 CE</x:v>
      </x:c>
      <x:c r="L175"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75" s="16" t="str">
        <x:v>The final year is an approximate boundary for the principal period of ancient cult activity; a detailed timeline should separate the individual phases.</x:v>
      </x:c>
      <x:c r="N175" s="14" t="str">
        <x:v>src-pleiades-452332</x:v>
      </x:c>
      <x:c r="O175" s="14" t="str">
        <x:v>reviewed</x:v>
      </x:c>
    </x:row>
    <x:row r="176" ht="38" customHeight="1">
      <x:c r="A176" s="14" t="str">
        <x:v>chronology-sanctuary-cyrene-apollo-sanctuary-primary</x:v>
      </x:c>
      <x:c r="B176" s="14" t="str">
        <x:v>sanctuary-cyrene-apollo-sanctuary</x:v>
      </x:c>
      <x:c r="C176" s="21" t="n">
        <x:v>-700</x:v>
      </x:c>
      <x:c r="D176" s="21" t="n">
        <x:v>200</x:v>
      </x:c>
      <x:c r="E176" s="14" t="str">
        <x:v>approximate</x:v>
      </x:c>
      <x:c r="F176" s="14" t="str">
        <x:v>approximate</x:v>
      </x:c>
      <x:c r="G176" s="14" t="str">
        <x:v>approximate</x:v>
      </x:c>
      <x:c r="H176" s="14" t="str">
        <x:v>cult_activity_window</x:v>
      </x:c>
      <x:c r="I176" s="20" t="b">
        <x:v>0</x:v>
      </x:c>
      <x:c r="J176" s="16" t="str">
        <x:v>700 π.Χ.–200 μ.Χ.</x:v>
      </x:c>
      <x:c r="K176" s="16" t="str">
        <x:v>700 BCE–200 CE</x:v>
      </x:c>
      <x:c r="L176" s="16"/>
      <x:c r="M176" s="16"/>
      <x:c r="N176" s="14" t="str">
        <x:v>src-pleiades-464482220</x:v>
      </x:c>
      <x:c r="O176" s="14" t="str">
        <x:v>reviewed</x:v>
      </x:c>
    </x:row>
    <x:row r="177" ht="38" customHeight="1">
      <x:c r="A177" s="14" t="str">
        <x:v>chronology-sanctuary-cyrene-zeus-sanctuary-primary</x:v>
      </x:c>
      <x:c r="B177" s="14" t="str">
        <x:v>sanctuary-cyrene-zeus-sanctuary</x:v>
      </x:c>
      <x:c r="C177" s="21" t="n">
        <x:v>-500</x:v>
      </x:c>
      <x:c r="D177" s="21" t="n">
        <x:v>365</x:v>
      </x:c>
      <x:c r="E177" s="14" t="str">
        <x:v>approximate</x:v>
      </x:c>
      <x:c r="F177" s="14" t="str">
        <x:v>approximate</x:v>
      </x:c>
      <x:c r="G177" s="14" t="str">
        <x:v>approximate</x:v>
      </x:c>
      <x:c r="H177" s="14" t="str">
        <x:v>cult_activity_window</x:v>
      </x:c>
      <x:c r="I177" s="20" t="b">
        <x:v>0</x:v>
      </x:c>
      <x:c r="J177" s="16" t="str">
        <x:v>500 π.Χ.–365 μ.Χ.</x:v>
      </x:c>
      <x:c r="K177" s="16" t="str">
        <x:v>500 BCE–365 CE</x:v>
      </x:c>
      <x:c r="L177" s="16"/>
      <x:c r="M177" s="16"/>
      <x:c r="N177" s="14" t="str">
        <x:v>src-pleiades-103565779</x:v>
      </x:c>
      <x:c r="O177" s="14" t="str">
        <x:v>reviewed</x:v>
      </x:c>
    </x:row>
    <x:row r="178" ht="38" customHeight="1">
      <x:c r="A178" s="14" t="str">
        <x:v>chronology-sanctuary-delos-apollo-sanctuary-primary</x:v>
      </x:c>
      <x:c r="B178" s="14" t="str">
        <x:v>sanctuary-delos-apollo-sanctuary</x:v>
      </x:c>
      <x:c r="C178" s="21" t="n">
        <x:v>-900</x:v>
      </x:c>
      <x:c r="D178" s="21" t="n">
        <x:v>400</x:v>
      </x:c>
      <x:c r="E178" s="14" t="str">
        <x:v>approximate</x:v>
      </x:c>
      <x:c r="F178" s="14" t="str">
        <x:v>approximate</x:v>
      </x:c>
      <x:c r="G178" s="14" t="str">
        <x:v>approximate</x:v>
      </x:c>
      <x:c r="H178" s="14" t="str">
        <x:v>cult_activity_window</x:v>
      </x:c>
      <x:c r="I178" s="20" t="b">
        <x:v>0</x:v>
      </x:c>
      <x:c r="J178" s="16" t="str">
        <x:v>900 π.Χ.–400 μ.Χ.</x:v>
      </x:c>
      <x:c r="K178" s="16" t="str">
        <x:v>900 BCE–400 CE</x:v>
      </x:c>
      <x:c r="L178"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78" s="16" t="str">
        <x:v>The final year is an approximate boundary for the principal period of ancient cult activity; a detailed timeline should separate the individual phases.</x:v>
      </x:c>
      <x:c r="N178" s="14" t="str">
        <x:v>src-pleiades-599506</x:v>
      </x:c>
      <x:c r="O178" s="14" t="str">
        <x:v>reviewed</x:v>
      </x:c>
    </x:row>
    <x:row r="179" ht="38" customHeight="1">
      <x:c r="A179" s="14" t="str">
        <x:v>chronology-sanctuary-delphi-apollo-sanctuary-primary</x:v>
      </x:c>
      <x:c r="B179" s="14" t="str">
        <x:v>sanctuary-delphi-apollo-sanctuary</x:v>
      </x:c>
      <x:c r="C179" s="21" t="n">
        <x:v>-800</x:v>
      </x:c>
      <x:c r="D179" s="21" t="n">
        <x:v>390</x:v>
      </x:c>
      <x:c r="E179" s="14" t="str">
        <x:v>approximate</x:v>
      </x:c>
      <x:c r="F179" s="14" t="str">
        <x:v>approximate</x:v>
      </x:c>
      <x:c r="G179" s="14" t="str">
        <x:v>approximate</x:v>
      </x:c>
      <x:c r="H179" s="14" t="str">
        <x:v>cult_activity_window</x:v>
      </x:c>
      <x:c r="I179" s="20" t="b">
        <x:v>0</x:v>
      </x:c>
      <x:c r="J179" s="16" t="str">
        <x:v>800 π.Χ.–390 μ.Χ.</x:v>
      </x:c>
      <x:c r="K179" s="16" t="str">
        <x:v>800 BCE–390 CE</x:v>
      </x:c>
      <x:c r="L179" s="16"/>
      <x:c r="M179" s="16"/>
      <x:c r="N179" s="14" t="str">
        <x:v>src-pleiades-540726</x:v>
      </x:c>
      <x:c r="O179" s="14" t="str">
        <x:v>reviewed</x:v>
      </x:c>
    </x:row>
    <x:row r="180" ht="38" customHeight="1">
      <x:c r="A180" s="14" t="str">
        <x:v>chronology-sanctuary-delphi-athena-pronaia-sanctuary-primary</x:v>
      </x:c>
      <x:c r="B180" s="14" t="str">
        <x:v>sanctuary-delphi-athena-pronaia-sanctuary</x:v>
      </x:c>
      <x:c r="C180" s="21" t="n">
        <x:v>-700</x:v>
      </x:c>
      <x:c r="D180" s="21" t="n">
        <x:v>390</x:v>
      </x:c>
      <x:c r="E180" s="14" t="str">
        <x:v>approximate</x:v>
      </x:c>
      <x:c r="F180" s="14" t="str">
        <x:v>approximate</x:v>
      </x:c>
      <x:c r="G180" s="14" t="str">
        <x:v>approximate</x:v>
      </x:c>
      <x:c r="H180" s="14" t="str">
        <x:v>cult_activity_window</x:v>
      </x:c>
      <x:c r="I180" s="20" t="b">
        <x:v>0</x:v>
      </x:c>
      <x:c r="J180" s="16" t="str">
        <x:v>700 π.Χ.–390 μ.Χ.</x:v>
      </x:c>
      <x:c r="K180" s="16" t="str">
        <x:v>700 BCE–390 CE</x:v>
      </x:c>
      <x:c r="L180" s="16"/>
      <x:c r="M180" s="16"/>
      <x:c r="N180" s="14" t="str">
        <x:v>src-pleiades-513711610</x:v>
      </x:c>
      <x:c r="O180" s="14" t="str">
        <x:v>reviewed</x:v>
      </x:c>
    </x:row>
    <x:row r="181" ht="38" customHeight="1">
      <x:c r="A181" s="14" t="str">
        <x:v>chronology-sanctuary-despotiko-apollo-sanctuary-primary</x:v>
      </x:c>
      <x:c r="B181" s="14" t="str">
        <x:v>sanctuary-despotiko-apollo-sanctuary</x:v>
      </x:c>
      <x:c r="C181" s="21" t="n">
        <x:v>-750</x:v>
      </x:c>
      <x:c r="D181" s="21" t="n">
        <x:v>200</x:v>
      </x:c>
      <x:c r="E181" s="14" t="str">
        <x:v>approximate</x:v>
      </x:c>
      <x:c r="F181" s="14" t="str">
        <x:v>approximate</x:v>
      </x:c>
      <x:c r="G181" s="14" t="str">
        <x:v>approximate</x:v>
      </x:c>
      <x:c r="H181" s="14" t="str">
        <x:v>cult_activity_window</x:v>
      </x:c>
      <x:c r="I181" s="20" t="b">
        <x:v>0</x:v>
      </x:c>
      <x:c r="J181" s="16" t="str">
        <x:v>750 π.Χ.–200 μ.Χ.</x:v>
      </x:c>
      <x:c r="K181" s="16" t="str">
        <x:v>750 BCE–200 CE</x:v>
      </x:c>
      <x:c r="L181" s="16"/>
      <x:c r="M181" s="16"/>
      <x:c r="N181" s="14" t="str">
        <x:v>src-pleiades-854812387</x:v>
      </x:c>
      <x:c r="O181" s="14" t="str">
        <x:v>reviewed</x:v>
      </x:c>
    </x:row>
    <x:row r="182" ht="38" customHeight="1">
      <x:c r="A182" s="14" t="str">
        <x:v>chronology-sanctuary-didyma-apollo-oracle-primary</x:v>
      </x:c>
      <x:c r="B182" s="14" t="str">
        <x:v>sanctuary-didyma-apollo-oracle</x:v>
      </x:c>
      <x:c r="C182" s="21" t="n">
        <x:v>-800</x:v>
      </x:c>
      <x:c r="D182" s="21" t="n">
        <x:v>400</x:v>
      </x:c>
      <x:c r="E182" s="14" t="str">
        <x:v>approximate</x:v>
      </x:c>
      <x:c r="F182" s="14" t="str">
        <x:v>approximate</x:v>
      </x:c>
      <x:c r="G182" s="14" t="str">
        <x:v>approximate</x:v>
      </x:c>
      <x:c r="H182" s="14" t="str">
        <x:v>cult_activity_window</x:v>
      </x:c>
      <x:c r="I182" s="20" t="b">
        <x:v>0</x:v>
      </x:c>
      <x:c r="J182" s="16" t="str">
        <x:v>800 π.Χ.–400 μ.Χ.</x:v>
      </x:c>
      <x:c r="K182" s="16" t="str">
        <x:v>800 BCE–400 CE</x:v>
      </x:c>
      <x:c r="L182"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82" s="16" t="str">
        <x:v>The final year is an approximate boundary for the principal period of ancient cult activity; a detailed timeline should separate the individual phases.</x:v>
      </x:c>
      <x:c r="N182" s="14" t="str">
        <x:v>src-pleiades-599593</x:v>
      </x:c>
      <x:c r="O182" s="14" t="str">
        <x:v>reviewed</x:v>
      </x:c>
    </x:row>
    <x:row r="183" ht="38" customHeight="1">
      <x:c r="A183" s="14" t="str">
        <x:v>chronology-sanctuary-dodona-zeus-oracle-primary</x:v>
      </x:c>
      <x:c r="B183" s="14" t="str">
        <x:v>sanctuary-dodona-zeus-oracle</x:v>
      </x:c>
      <x:c r="C183" s="21" t="n">
        <x:v>-1200</x:v>
      </x:c>
      <x:c r="D183" s="21" t="n">
        <x:v>392</x:v>
      </x:c>
      <x:c r="E183" s="14" t="str">
        <x:v>approximate</x:v>
      </x:c>
      <x:c r="F183" s="14" t="str">
        <x:v>approximate</x:v>
      </x:c>
      <x:c r="G183" s="14" t="str">
        <x:v>approximate</x:v>
      </x:c>
      <x:c r="H183" s="14" t="str">
        <x:v>cult_activity_window</x:v>
      </x:c>
      <x:c r="I183" s="20" t="b">
        <x:v>0</x:v>
      </x:c>
      <x:c r="J183" s="16" t="str">
        <x:v>1200 π.Χ.–392 μ.Χ.</x:v>
      </x:c>
      <x:c r="K183" s="16" t="str">
        <x:v>1200 BCE–392 CE</x:v>
      </x:c>
      <x:c r="L183" s="16"/>
      <x:c r="M183" s="16"/>
      <x:c r="N183" s="14" t="str">
        <x:v>src-pleiades-530843</x:v>
      </x:c>
      <x:c r="O183" s="14" t="str">
        <x:v>reviewed</x:v>
      </x:c>
    </x:row>
    <x:row r="184" ht="38" customHeight="1">
      <x:c r="A184" s="14" t="str">
        <x:v>chronology-sanctuary-eleusis-demeter-sanctuary-primary</x:v>
      </x:c>
      <x:c r="B184" s="14" t="str">
        <x:v>sanctuary-eleusis-demeter-sanctuary</x:v>
      </x:c>
      <x:c r="C184" s="21" t="n">
        <x:v>-1400</x:v>
      </x:c>
      <x:c r="D184" s="21" t="n">
        <x:v>392</x:v>
      </x:c>
      <x:c r="E184" s="14" t="str">
        <x:v>approximate</x:v>
      </x:c>
      <x:c r="F184" s="14" t="str">
        <x:v>approximate</x:v>
      </x:c>
      <x:c r="G184" s="14" t="str">
        <x:v>approximate</x:v>
      </x:c>
      <x:c r="H184" s="14" t="str">
        <x:v>cult_activity_window</x:v>
      </x:c>
      <x:c r="I184" s="20" t="b">
        <x:v>0</x:v>
      </x:c>
      <x:c r="J184" s="16" t="str">
        <x:v>1400 π.Χ.–392 μ.Χ.</x:v>
      </x:c>
      <x:c r="K184" s="16" t="str">
        <x:v>1400 BCE–392 CE</x:v>
      </x:c>
      <x:c r="L184" s="16"/>
      <x:c r="M184" s="16"/>
      <x:c r="N184" s="14" t="str">
        <x:v>src-pleiades-579910</x:v>
      </x:c>
      <x:c r="O184" s="14" t="str">
        <x:v>reviewed</x:v>
      </x:c>
    </x:row>
    <x:row r="185" ht="38" customHeight="1">
      <x:c r="A185" s="14" t="str">
        <x:v>chronology-sanctuary-ephesus-artemis-sanctuary-primary</x:v>
      </x:c>
      <x:c r="B185" s="14" t="str">
        <x:v>sanctuary-ephesus-artemis-sanctuary</x:v>
      </x:c>
      <x:c r="C185" s="21" t="n">
        <x:v>-800</x:v>
      </x:c>
      <x:c r="D185" s="21" t="n">
        <x:v>401</x:v>
      </x:c>
      <x:c r="E185" s="14" t="str">
        <x:v>approximate</x:v>
      </x:c>
      <x:c r="F185" s="14" t="str">
        <x:v>approximate</x:v>
      </x:c>
      <x:c r="G185" s="14" t="str">
        <x:v>approximate</x:v>
      </x:c>
      <x:c r="H185" s="14" t="str">
        <x:v>cult_activity_window</x:v>
      </x:c>
      <x:c r="I185" s="20" t="b">
        <x:v>0</x:v>
      </x:c>
      <x:c r="J185" s="16" t="str">
        <x:v>800 π.Χ.–401 μ.Χ.</x:v>
      </x:c>
      <x:c r="K185" s="16" t="str">
        <x:v>800 BCE–401 CE</x:v>
      </x:c>
      <x:c r="L185" s="16"/>
      <x:c r="M185" s="16"/>
      <x:c r="N185" s="14" t="str">
        <x:v>src-pleiades-873985034</x:v>
      </x:c>
      <x:c r="O185" s="14" t="str">
        <x:v>reviewed</x:v>
      </x:c>
    </x:row>
    <x:row r="186" ht="38" customHeight="1">
      <x:c r="A186" s="14" t="str">
        <x:v>chronology-sanctuary-epidauros-asklepios-sanctuary-primary</x:v>
      </x:c>
      <x:c r="B186" s="14" t="str">
        <x:v>sanctuary-epidauros-asklepios-sanctuary</x:v>
      </x:c>
      <x:c r="C186" s="21" t="n">
        <x:v>-600</x:v>
      </x:c>
      <x:c r="D186" s="21" t="n">
        <x:v>400</x:v>
      </x:c>
      <x:c r="E186" s="14" t="str">
        <x:v>approximate</x:v>
      </x:c>
      <x:c r="F186" s="14" t="str">
        <x:v>approximate</x:v>
      </x:c>
      <x:c r="G186" s="14" t="str">
        <x:v>approximate</x:v>
      </x:c>
      <x:c r="H186" s="14" t="str">
        <x:v>cult_activity_window</x:v>
      </x:c>
      <x:c r="I186" s="20" t="b">
        <x:v>0</x:v>
      </x:c>
      <x:c r="J186" s="16" t="str">
        <x:v>600 π.Χ.–400 μ.Χ.</x:v>
      </x:c>
      <x:c r="K186" s="16" t="str">
        <x:v>600 BCE–400 CE</x:v>
      </x:c>
      <x:c r="L186"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86" s="16" t="str">
        <x:v>The final year is an approximate boundary for the principal period of ancient cult activity; a detailed timeline should separate the individual phases.</x:v>
      </x:c>
      <x:c r="N186" s="14" t="str">
        <x:v>src-pleiades-570127</x:v>
      </x:c>
      <x:c r="O186" s="14" t="str">
        <x:v>reviewed</x:v>
      </x:c>
    </x:row>
    <x:row r="187" ht="38" customHeight="1">
      <x:c r="A187" s="14" t="str">
        <x:v>chronology-sanctuary-foce-del-sele-heraion-primary</x:v>
      </x:c>
      <x:c r="B187" s="14" t="str">
        <x:v>sanctuary-foce-del-sele-heraion</x:v>
      </x:c>
      <x:c r="C187" s="21" t="n">
        <x:v>-600</x:v>
      </x:c>
      <x:c r="D187" s="21" t="n">
        <x:v>200</x:v>
      </x:c>
      <x:c r="E187" s="14" t="str">
        <x:v>approximate</x:v>
      </x:c>
      <x:c r="F187" s="14" t="str">
        <x:v>approximate</x:v>
      </x:c>
      <x:c r="G187" s="14" t="str">
        <x:v>approximate</x:v>
      </x:c>
      <x:c r="H187" s="14" t="str">
        <x:v>cult_activity_window</x:v>
      </x:c>
      <x:c r="I187" s="20" t="b">
        <x:v>0</x:v>
      </x:c>
      <x:c r="J187" s="16" t="str">
        <x:v>600 π.Χ.–200 μ.Χ.</x:v>
      </x:c>
      <x:c r="K187" s="16" t="str">
        <x:v>600 BCE–200 CE</x:v>
      </x:c>
      <x:c r="L187" s="16"/>
      <x:c r="M187" s="16"/>
      <x:c r="N187" s="14" t="str">
        <x:v>src-pleiades-442610</x:v>
      </x:c>
      <x:c r="O187" s="14" t="str">
        <x:v>reviewed</x:v>
      </x:c>
    </x:row>
    <x:row r="188" ht="38" customHeight="1">
      <x:c r="A188" s="14" t="str">
        <x:v>chronology-sanctuary-golgoi-aphrodite-sanctuary-primary</x:v>
      </x:c>
      <x:c r="B188" s="14" t="str">
        <x:v>sanctuary-golgoi-aphrodite-sanctuary</x:v>
      </x:c>
      <x:c r="C188" s="21" t="n">
        <x:v>-700</x:v>
      </x:c>
      <x:c r="D188" s="21" t="n">
        <x:v>300</x:v>
      </x:c>
      <x:c r="E188" s="14" t="str">
        <x:v>approximate</x:v>
      </x:c>
      <x:c r="F188" s="14" t="str">
        <x:v>approximate</x:v>
      </x:c>
      <x:c r="G188" s="14" t="str">
        <x:v>approximate</x:v>
      </x:c>
      <x:c r="H188" s="14" t="str">
        <x:v>cult_activity_window</x:v>
      </x:c>
      <x:c r="I188" s="20" t="b">
        <x:v>0</x:v>
      </x:c>
      <x:c r="J188" s="16" t="str">
        <x:v>700 π.Χ.–300 μ.Χ.</x:v>
      </x:c>
      <x:c r="K188" s="16" t="str">
        <x:v>700 BCE–300 CE</x:v>
      </x:c>
      <x:c r="L188"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88" s="16" t="str">
        <x:v>The final year is an approximate boundary for the principal period of ancient cult activity; a detailed timeline should separate the individual phases.</x:v>
      </x:c>
      <x:c r="N188" s="14" t="str">
        <x:v>src-pleiades-707470</x:v>
      </x:c>
      <x:c r="O188" s="14" t="str">
        <x:v>reviewed</x:v>
      </x:c>
    </x:row>
    <x:row r="189" ht="38" customHeight="1">
      <x:c r="A189" s="14" t="str">
        <x:v>chronology-sanctuary-gyroulas-demeter-sanctuary-primary</x:v>
      </x:c>
      <x:c r="B189" s="14" t="str">
        <x:v>sanctuary-gyroulas-demeter-sanctuary</x:v>
      </x:c>
      <x:c r="C189" s="21" t="n">
        <x:v>-800</x:v>
      </x:c>
      <x:c r="D189" s="21" t="n">
        <x:v>-300</x:v>
      </x:c>
      <x:c r="E189" s="14" t="str">
        <x:v>approximate</x:v>
      </x:c>
      <x:c r="F189" s="14" t="str">
        <x:v>approximate</x:v>
      </x:c>
      <x:c r="G189" s="14" t="str">
        <x:v>approximate</x:v>
      </x:c>
      <x:c r="H189" s="14" t="str">
        <x:v>cult_activity_window</x:v>
      </x:c>
      <x:c r="I189" s="20" t="b">
        <x:v>0</x:v>
      </x:c>
      <x:c r="J189" s="16" t="str">
        <x:v>800 π.Χ.–300 π.Χ.</x:v>
      </x:c>
      <x:c r="K189" s="16" t="str">
        <x:v>800 BCE–300 BCE</x:v>
      </x:c>
      <x:c r="L189" s="16"/>
      <x:c r="M189" s="16"/>
      <x:c r="N189" s="14" t="str">
        <x:v>src-pleiades-599631</x:v>
      </x:c>
      <x:c r="O189" s="14" t="str">
        <x:v>reviewed</x:v>
      </x:c>
    </x:row>
    <x:row r="190" ht="38" customHeight="1">
      <x:c r="A190" s="14" t="str">
        <x:v>chronology-sanctuary-hierapolis-ploutonion-primary</x:v>
      </x:c>
      <x:c r="B190" s="14" t="str">
        <x:v>sanctuary-hierapolis-ploutonion</x:v>
      </x:c>
      <x:c r="C190" s="21" t="n">
        <x:v>-200</x:v>
      </x:c>
      <x:c r="D190" s="21" t="n">
        <x:v>400</x:v>
      </x:c>
      <x:c r="E190" s="14" t="str">
        <x:v>approximate</x:v>
      </x:c>
      <x:c r="F190" s="14" t="str">
        <x:v>approximate</x:v>
      </x:c>
      <x:c r="G190" s="14" t="str">
        <x:v>approximate</x:v>
      </x:c>
      <x:c r="H190" s="14" t="str">
        <x:v>cult_activity_window</x:v>
      </x:c>
      <x:c r="I190" s="20" t="b">
        <x:v>0</x:v>
      </x:c>
      <x:c r="J190" s="16" t="str">
        <x:v>200 π.Χ.–400 μ.Χ.</x:v>
      </x:c>
      <x:c r="K190" s="16" t="str">
        <x:v>200 BCE–400 CE</x:v>
      </x:c>
      <x:c r="L190"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0" s="16" t="str">
        <x:v>The final year is an approximate boundary for the principal period of ancient cult activity; a detailed timeline should separate the individual phases.</x:v>
      </x:c>
      <x:c r="N190" s="14" t="str">
        <x:v>src-pleiades-232079424</x:v>
      </x:c>
      <x:c r="O190" s="14" t="str">
        <x:v>reviewed</x:v>
      </x:c>
    </x:row>
    <x:row r="191" ht="38" customHeight="1">
      <x:c r="A191" s="14" t="str">
        <x:v>chronology-sanctuary-histria-sacred-zone-primary</x:v>
      </x:c>
      <x:c r="B191" s="14" t="str">
        <x:v>sanctuary-histria-sacred-zone</x:v>
      </x:c>
      <x:c r="C191" s="21" t="n">
        <x:v>-600</x:v>
      </x:c>
      <x:c r="D191" s="21" t="n">
        <x:v>300</x:v>
      </x:c>
      <x:c r="E191" s="14" t="str">
        <x:v>approximate</x:v>
      </x:c>
      <x:c r="F191" s="14" t="str">
        <x:v>approximate</x:v>
      </x:c>
      <x:c r="G191" s="14" t="str">
        <x:v>approximate</x:v>
      </x:c>
      <x:c r="H191" s="14" t="str">
        <x:v>cult_activity_window</x:v>
      </x:c>
      <x:c r="I191" s="20" t="b">
        <x:v>0</x:v>
      </x:c>
      <x:c r="J191" s="16" t="str">
        <x:v>600 π.Χ.–300 μ.Χ.</x:v>
      </x:c>
      <x:c r="K191" s="16" t="str">
        <x:v>600 BCE–300 CE</x:v>
      </x:c>
      <x:c r="L191"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1" s="16" t="str">
        <x:v>The final year is an approximate boundary for the principal period of ancient cult activity; a detailed timeline should separate the individual phases.</x:v>
      </x:c>
      <x:c r="N191" s="14" t="str">
        <x:v>src-pleiades-216839</x:v>
      </x:c>
      <x:c r="O191" s="14" t="str">
        <x:v>reviewed</x:v>
      </x:c>
    </x:row>
    <x:row r="192" ht="38" customHeight="1">
      <x:c r="A192" s="14" t="str">
        <x:v>chronology-sanctuary-hyria-dionysos-sanctuary-primary</x:v>
      </x:c>
      <x:c r="B192" s="14" t="str">
        <x:v>sanctuary-hyria-dionysos-sanctuary</x:v>
      </x:c>
      <x:c r="C192" s="21" t="n">
        <x:v>-800</x:v>
      </x:c>
      <x:c r="D192" s="21" t="n">
        <x:v>400</x:v>
      </x:c>
      <x:c r="E192" s="14" t="str">
        <x:v>approximate</x:v>
      </x:c>
      <x:c r="F192" s="14" t="str">
        <x:v>approximate</x:v>
      </x:c>
      <x:c r="G192" s="14" t="str">
        <x:v>approximate</x:v>
      </x:c>
      <x:c r="H192" s="14" t="str">
        <x:v>cult_activity_window</x:v>
      </x:c>
      <x:c r="I192" s="20" t="b">
        <x:v>0</x:v>
      </x:c>
      <x:c r="J192" s="16" t="str">
        <x:v>800 π.Χ.–400 μ.Χ.</x:v>
      </x:c>
      <x:c r="K192" s="16" t="str">
        <x:v>800 BCE–400 CE</x:v>
      </x:c>
      <x:c r="L192"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2" s="16" t="str">
        <x:v>The final year is an approximate boundary for the principal period of ancient cult activity; a detailed timeline should separate the individual phases.</x:v>
      </x:c>
      <x:c r="N192" s="14" t="str">
        <x:v>src-pleiades-599661</x:v>
      </x:c>
      <x:c r="O192" s="14" t="str">
        <x:v>reviewed</x:v>
      </x:c>
    </x:row>
    <x:row r="193" ht="38" customHeight="1">
      <x:c r="A193" s="14" t="str">
        <x:v>chronology-sanctuary-isthmia-poseidon-sanctuary-primary</x:v>
      </x:c>
      <x:c r="B193" s="14" t="str">
        <x:v>sanctuary-isthmia-poseidon-sanctuary</x:v>
      </x:c>
      <x:c r="C193" s="21" t="n">
        <x:v>-700</x:v>
      </x:c>
      <x:c r="D193" s="21" t="n">
        <x:v>390</x:v>
      </x:c>
      <x:c r="E193" s="14" t="str">
        <x:v>approximate</x:v>
      </x:c>
      <x:c r="F193" s="14" t="str">
        <x:v>approximate</x:v>
      </x:c>
      <x:c r="G193" s="14" t="str">
        <x:v>approximate</x:v>
      </x:c>
      <x:c r="H193" s="14" t="str">
        <x:v>cult_activity_window</x:v>
      </x:c>
      <x:c r="I193" s="20" t="b">
        <x:v>0</x:v>
      </x:c>
      <x:c r="J193" s="16" t="str">
        <x:v>700 π.Χ.–390 μ.Χ.</x:v>
      </x:c>
      <x:c r="K193" s="16" t="str">
        <x:v>700 BCE–390 CE</x:v>
      </x:c>
      <x:c r="L193" s="16"/>
      <x:c r="M193" s="16"/>
      <x:c r="N193" s="14" t="str">
        <x:v>src-pleiades-570316</x:v>
      </x:c>
      <x:c r="O193" s="14" t="str">
        <x:v>reviewed</x:v>
      </x:c>
    </x:row>
    <x:row r="194" ht="38" customHeight="1">
      <x:c r="A194" s="14" t="str">
        <x:v>chronology-sanctuary-kalapodi-artemis-apollo-sanctuary-primary</x:v>
      </x:c>
      <x:c r="B194" s="14" t="str">
        <x:v>sanctuary-kalapodi-artemis-apollo-sanctuary</x:v>
      </x:c>
      <x:c r="C194" s="21" t="n">
        <x:v>-1400</x:v>
      </x:c>
      <x:c r="D194" s="21" t="n">
        <x:v>400</x:v>
      </x:c>
      <x:c r="E194" s="14" t="str">
        <x:v>approximate</x:v>
      </x:c>
      <x:c r="F194" s="14" t="str">
        <x:v>approximate</x:v>
      </x:c>
      <x:c r="G194" s="14" t="str">
        <x:v>approximate</x:v>
      </x:c>
      <x:c r="H194" s="14" t="str">
        <x:v>cult_activity_window</x:v>
      </x:c>
      <x:c r="I194" s="20" t="b">
        <x:v>0</x:v>
      </x:c>
      <x:c r="J194" s="16" t="str">
        <x:v>1400 π.Χ.–400 μ.Χ.</x:v>
      </x:c>
      <x:c r="K194" s="16" t="str">
        <x:v>1400 BCE–400 CE</x:v>
      </x:c>
      <x:c r="L194"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4" s="16" t="str">
        <x:v>The final year is an approximate boundary for the principal period of ancient cult activity; a detailed timeline should separate the individual phases.</x:v>
      </x:c>
      <x:c r="N194" s="14" t="str">
        <x:v>src-pleiades-955675680</x:v>
      </x:c>
      <x:c r="O194" s="14" t="str">
        <x:v>reviewed</x:v>
      </x:c>
    </x:row>
    <x:row r="195" ht="38" customHeight="1">
      <x:c r="A195" s="14" t="str">
        <x:v>chronology-sanctuary-kos-asklepieion-primary</x:v>
      </x:c>
      <x:c r="B195" s="14" t="str">
        <x:v>sanctuary-kos-asklepieion</x:v>
      </x:c>
      <x:c r="C195" s="21" t="n">
        <x:v>-300</x:v>
      </x:c>
      <x:c r="D195" s="21" t="n">
        <x:v>400</x:v>
      </x:c>
      <x:c r="E195" s="14" t="str">
        <x:v>approximate</x:v>
      </x:c>
      <x:c r="F195" s="14" t="str">
        <x:v>approximate</x:v>
      </x:c>
      <x:c r="G195" s="14" t="str">
        <x:v>approximate</x:v>
      </x:c>
      <x:c r="H195" s="14" t="str">
        <x:v>cult_activity_window</x:v>
      </x:c>
      <x:c r="I195" s="20" t="b">
        <x:v>0</x:v>
      </x:c>
      <x:c r="J195" s="16" t="str">
        <x:v>300 π.Χ.–400 μ.Χ.</x:v>
      </x:c>
      <x:c r="K195" s="16" t="str">
        <x:v>300 BCE–400 CE</x:v>
      </x:c>
      <x:c r="L195"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5" s="16" t="str">
        <x:v>The final year is an approximate boundary for the principal period of ancient cult activity; a detailed timeline should separate the individual phases.</x:v>
      </x:c>
      <x:c r="N195" s="14" t="str">
        <x:v>src-pleiades-599528</x:v>
      </x:c>
      <x:c r="O195" s="14" t="str">
        <x:v>reviewed</x:v>
      </x:c>
    </x:row>
    <x:row r="196" ht="38" customHeight="1">
      <x:c r="A196" s="14" t="str">
        <x:v>chronology-sanctuary-kourion-apollo-hylates-sanctuary-primary</x:v>
      </x:c>
      <x:c r="B196" s="14" t="str">
        <x:v>sanctuary-kourion-apollo-hylates-sanctuary</x:v>
      </x:c>
      <x:c r="C196" s="21" t="n">
        <x:v>-800</x:v>
      </x:c>
      <x:c r="D196" s="21" t="n">
        <x:v>365</x:v>
      </x:c>
      <x:c r="E196" s="14" t="str">
        <x:v>approximate</x:v>
      </x:c>
      <x:c r="F196" s="14" t="str">
        <x:v>approximate</x:v>
      </x:c>
      <x:c r="G196" s="14" t="str">
        <x:v>approximate</x:v>
      </x:c>
      <x:c r="H196" s="14" t="str">
        <x:v>cult_activity_window</x:v>
      </x:c>
      <x:c r="I196" s="20" t="b">
        <x:v>0</x:v>
      </x:c>
      <x:c r="J196" s="16" t="str">
        <x:v>800 π.Χ.–365 μ.Χ.</x:v>
      </x:c>
      <x:c r="K196" s="16" t="str">
        <x:v>800 BCE–365 CE</x:v>
      </x:c>
      <x:c r="L196" s="16"/>
      <x:c r="M196" s="16"/>
      <x:c r="N196" s="14" t="str">
        <x:v>src-pleiades-707476</x:v>
      </x:c>
      <x:c r="O196" s="14" t="str">
        <x:v>reviewed</x:v>
      </x:c>
    </x:row>
    <x:row r="197" ht="38" customHeight="1">
      <x:c r="A197" s="14" t="str">
        <x:v>chronology-sanctuary-labraunda-zeus-sanctuary-primary</x:v>
      </x:c>
      <x:c r="B197" s="14" t="str">
        <x:v>sanctuary-labraunda-zeus-sanctuary</x:v>
      </x:c>
      <x:c r="C197" s="21" t="n">
        <x:v>-700</x:v>
      </x:c>
      <x:c r="D197" s="21" t="n">
        <x:v>400</x:v>
      </x:c>
      <x:c r="E197" s="14" t="str">
        <x:v>approximate</x:v>
      </x:c>
      <x:c r="F197" s="14" t="str">
        <x:v>approximate</x:v>
      </x:c>
      <x:c r="G197" s="14" t="str">
        <x:v>approximate</x:v>
      </x:c>
      <x:c r="H197" s="14" t="str">
        <x:v>cult_activity_window</x:v>
      </x:c>
      <x:c r="I197" s="20" t="b">
        <x:v>0</x:v>
      </x:c>
      <x:c r="J197" s="16" t="str">
        <x:v>700 π.Χ.–400 μ.Χ.</x:v>
      </x:c>
      <x:c r="K197" s="16" t="str">
        <x:v>700 BCE–400 CE</x:v>
      </x:c>
      <x:c r="L197"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7" s="16" t="str">
        <x:v>The final year is an approximate boundary for the principal period of ancient cult activity; a detailed timeline should separate the individual phases.</x:v>
      </x:c>
      <x:c r="N197" s="14" t="str">
        <x:v>src-pleiades-599745</x:v>
      </x:c>
      <x:c r="O197" s="14" t="str">
        <x:v>reviewed</x:v>
      </x:c>
    </x:row>
    <x:row r="198" ht="38" customHeight="1">
      <x:c r="A198" s="14" t="str">
        <x:v>chronology-sanctuary-lagina-hekate-sanctuary-primary</x:v>
      </x:c>
      <x:c r="B198" s="14" t="str">
        <x:v>sanctuary-lagina-hekate-sanctuary</x:v>
      </x:c>
      <x:c r="C198" s="21" t="n">
        <x:v>-300</x:v>
      </x:c>
      <x:c r="D198" s="21" t="n">
        <x:v>400</x:v>
      </x:c>
      <x:c r="E198" s="14" t="str">
        <x:v>approximate</x:v>
      </x:c>
      <x:c r="F198" s="14" t="str">
        <x:v>approximate</x:v>
      </x:c>
      <x:c r="G198" s="14" t="str">
        <x:v>approximate</x:v>
      </x:c>
      <x:c r="H198" s="14" t="str">
        <x:v>cult_activity_window</x:v>
      </x:c>
      <x:c r="I198" s="20" t="b">
        <x:v>0</x:v>
      </x:c>
      <x:c r="J198" s="16" t="str">
        <x:v>300 π.Χ.–400 μ.Χ.</x:v>
      </x:c>
      <x:c r="K198" s="16" t="str">
        <x:v>300 BCE–400 CE</x:v>
      </x:c>
      <x:c r="L198"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8" s="16" t="str">
        <x:v>The final year is an approximate boundary for the principal period of ancient cult activity; a detailed timeline should separate the individual phases.</x:v>
      </x:c>
      <x:c r="N198" s="14" t="str">
        <x:v>src-pleiades-376215160</x:v>
      </x:c>
      <x:c r="O198" s="14" t="str">
        <x:v>reviewed</x:v>
      </x:c>
    </x:row>
    <x:row r="199" ht="38" customHeight="1">
      <x:c r="A199" s="14" t="str">
        <x:v>chronology-sanctuary-lemnos-kabeirion-primary</x:v>
      </x:c>
      <x:c r="B199" s="14" t="str">
        <x:v>sanctuary-lemnos-kabeirion</x:v>
      </x:c>
      <x:c r="C199" s="21" t="n">
        <x:v>-700</x:v>
      </x:c>
      <x:c r="D199" s="21" t="n">
        <x:v>400</x:v>
      </x:c>
      <x:c r="E199" s="14" t="str">
        <x:v>approximate</x:v>
      </x:c>
      <x:c r="F199" s="14" t="str">
        <x:v>approximate</x:v>
      </x:c>
      <x:c r="G199" s="14" t="str">
        <x:v>approximate</x:v>
      </x:c>
      <x:c r="H199" s="14" t="str">
        <x:v>cult_activity_window</x:v>
      </x:c>
      <x:c r="I199" s="20" t="b">
        <x:v>0</x:v>
      </x:c>
      <x:c r="J199" s="16" t="str">
        <x:v>700 π.Χ.–400 μ.Χ.</x:v>
      </x:c>
      <x:c r="K199" s="16" t="str">
        <x:v>700 BCE–400 CE</x:v>
      </x:c>
      <x:c r="L199"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199" s="16" t="str">
        <x:v>The final year is an approximate boundary for the principal period of ancient cult activity; a detailed timeline should separate the individual phases.</x:v>
      </x:c>
      <x:c r="N199" s="14" t="str">
        <x:v>src-pleiades-550604</x:v>
      </x:c>
      <x:c r="O199" s="14" t="str">
        <x:v>reviewed</x:v>
      </x:c>
    </x:row>
    <x:row r="200" ht="38" customHeight="1">
      <x:c r="A200" s="14" t="str">
        <x:v>chronology-sanctuary-letoon-lycian-sanctuary-primary</x:v>
      </x:c>
      <x:c r="B200" s="14" t="str">
        <x:v>sanctuary-letoon-lycian-sanctuary</x:v>
      </x:c>
      <x:c r="C200" s="21" t="n">
        <x:v>-700</x:v>
      </x:c>
      <x:c r="D200" s="21" t="n">
        <x:v>400</x:v>
      </x:c>
      <x:c r="E200" s="14" t="str">
        <x:v>approximate</x:v>
      </x:c>
      <x:c r="F200" s="14" t="str">
        <x:v>approximate</x:v>
      </x:c>
      <x:c r="G200" s="14" t="str">
        <x:v>approximate</x:v>
      </x:c>
      <x:c r="H200" s="14" t="str">
        <x:v>cult_activity_window</x:v>
      </x:c>
      <x:c r="I200" s="20" t="b">
        <x:v>0</x:v>
      </x:c>
      <x:c r="J200" s="16" t="str">
        <x:v>700 π.Χ.–400 μ.Χ.</x:v>
      </x:c>
      <x:c r="K200" s="16" t="str">
        <x:v>700 BCE–400 CE</x:v>
      </x:c>
      <x:c r="L200"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00" s="16" t="str">
        <x:v>The final year is an approximate boundary for the principal period of ancient cult activity; a detailed timeline should separate the individual phases.</x:v>
      </x:c>
      <x:c r="N200" s="14" t="str">
        <x:v>src-pleiades-638958</x:v>
      </x:c>
      <x:c r="O200" s="14" t="str">
        <x:v>reviewed</x:v>
      </x:c>
    </x:row>
    <x:row r="201" ht="38" customHeight="1">
      <x:c r="A201" s="14" t="str">
        <x:v>chronology-sanctuary-lindos-athena-sanctuary-primary</x:v>
      </x:c>
      <x:c r="B201" s="14" t="str">
        <x:v>sanctuary-lindos-athena-sanctuary</x:v>
      </x:c>
      <x:c r="C201" s="21" t="n">
        <x:v>-900</x:v>
      </x:c>
      <x:c r="D201" s="21" t="n">
        <x:v>400</x:v>
      </x:c>
      <x:c r="E201" s="14" t="str">
        <x:v>approximate</x:v>
      </x:c>
      <x:c r="F201" s="14" t="str">
        <x:v>approximate</x:v>
      </x:c>
      <x:c r="G201" s="14" t="str">
        <x:v>approximate</x:v>
      </x:c>
      <x:c r="H201" s="14" t="str">
        <x:v>cult_activity_window</x:v>
      </x:c>
      <x:c r="I201" s="20" t="b">
        <x:v>0</x:v>
      </x:c>
      <x:c r="J201" s="16" t="str">
        <x:v>900 π.Χ.–400 μ.Χ.</x:v>
      </x:c>
      <x:c r="K201" s="16" t="str">
        <x:v>900 BCE–400 CE</x:v>
      </x:c>
      <x:c r="L201"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01" s="16" t="str">
        <x:v>The final year is an approximate boundary for the principal period of ancient cult activity; a detailed timeline should separate the individual phases.</x:v>
      </x:c>
      <x:c r="N201" s="14" t="str">
        <x:v>src-pleiades-414067217</x:v>
      </x:c>
      <x:c r="O201" s="14" t="str">
        <x:v>reviewed</x:v>
      </x:c>
    </x:row>
    <x:row r="202" ht="38" customHeight="1">
      <x:c r="A202" s="14" t="str">
        <x:v>chronology-sanctuary-locri-mannella-persephone-sanctuary-primary</x:v>
      </x:c>
      <x:c r="B202" s="14" t="str">
        <x:v>sanctuary-locri-mannella-persephone-sanctuary</x:v>
      </x:c>
      <x:c r="C202" s="21" t="n">
        <x:v>-650</x:v>
      </x:c>
      <x:c r="D202" s="21" t="n">
        <x:v>-200</x:v>
      </x:c>
      <x:c r="E202" s="14" t="str">
        <x:v>approximate</x:v>
      </x:c>
      <x:c r="F202" s="14" t="str">
        <x:v>approximate</x:v>
      </x:c>
      <x:c r="G202" s="14" t="str">
        <x:v>approximate</x:v>
      </x:c>
      <x:c r="H202" s="14" t="str">
        <x:v>cult_activity_window</x:v>
      </x:c>
      <x:c r="I202" s="20" t="b">
        <x:v>0</x:v>
      </x:c>
      <x:c r="J202" s="16" t="str">
        <x:v>650 π.Χ.–200 π.Χ.</x:v>
      </x:c>
      <x:c r="K202" s="16" t="str">
        <x:v>650 BCE–200 BCE</x:v>
      </x:c>
      <x:c r="L202" s="16"/>
      <x:c r="M202" s="16"/>
      <x:c r="N202" s="14" t="str">
        <x:v>src-museoarcheologicoreggiocalabria-a34e7a2bfa16</x:v>
      </x:c>
      <x:c r="O202" s="14" t="str">
        <x:v>reviewed</x:v>
      </x:c>
    </x:row>
    <x:row r="203" ht="38" customHeight="1">
      <x:c r="A203" s="14" t="str">
        <x:v>chronology-sanctuary-magnesia-artemis-leukophryene-primary</x:v>
      </x:c>
      <x:c r="B203" s="14" t="str">
        <x:v>sanctuary-magnesia-artemis-leukophryene</x:v>
      </x:c>
      <x:c r="C203" s="21" t="n">
        <x:v>-700</x:v>
      </x:c>
      <x:c r="D203" s="21" t="n">
        <x:v>400</x:v>
      </x:c>
      <x:c r="E203" s="14" t="str">
        <x:v>approximate</x:v>
      </x:c>
      <x:c r="F203" s="14" t="str">
        <x:v>approximate</x:v>
      </x:c>
      <x:c r="G203" s="14" t="str">
        <x:v>approximate</x:v>
      </x:c>
      <x:c r="H203" s="14" t="str">
        <x:v>cult_activity_window</x:v>
      </x:c>
      <x:c r="I203" s="20" t="b">
        <x:v>0</x:v>
      </x:c>
      <x:c r="J203" s="16" t="str">
        <x:v>700 π.Χ.–400 μ.Χ.</x:v>
      </x:c>
      <x:c r="K203" s="16" t="str">
        <x:v>700 BCE–400 CE</x:v>
      </x:c>
      <x:c r="L203"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03" s="16" t="str">
        <x:v>The final year is an approximate boundary for the principal period of ancient cult activity; a detailed timeline should separate the individual phases.</x:v>
      </x:c>
      <x:c r="N203" s="14" t="str">
        <x:v>src-pleiades-599778</x:v>
      </x:c>
      <x:c r="O203" s="14" t="str">
        <x:v>reviewed</x:v>
      </x:c>
    </x:row>
    <x:row r="204" ht="38" customHeight="1">
      <x:c r="A204" s="14" t="str">
        <x:v>chronology-sanctuary-menelaion-sparta-primary</x:v>
      </x:c>
      <x:c r="B204" s="14" t="str">
        <x:v>sanctuary-menelaion-sparta</x:v>
      </x:c>
      <x:c r="C204" s="21" t="n">
        <x:v>-700</x:v>
      </x:c>
      <x:c r="D204" s="21" t="n">
        <x:v>200</x:v>
      </x:c>
      <x:c r="E204" s="14" t="str">
        <x:v>approximate</x:v>
      </x:c>
      <x:c r="F204" s="14" t="str">
        <x:v>approximate</x:v>
      </x:c>
      <x:c r="G204" s="14" t="str">
        <x:v>approximate</x:v>
      </x:c>
      <x:c r="H204" s="14" t="str">
        <x:v>cult_activity_window</x:v>
      </x:c>
      <x:c r="I204" s="20" t="b">
        <x:v>0</x:v>
      </x:c>
      <x:c r="J204" s="16" t="str">
        <x:v>700 π.Χ.–200 μ.Χ.</x:v>
      </x:c>
      <x:c r="K204" s="16" t="str">
        <x:v>700 BCE–200 CE</x:v>
      </x:c>
      <x:c r="L204" s="16"/>
      <x:c r="M204" s="16"/>
      <x:c r="N204" s="14" t="str">
        <x:v>src-pleiades-570477</x:v>
      </x:c>
      <x:c r="O204" s="14" t="str">
        <x:v>reviewed</x:v>
      </x:c>
    </x:row>
    <x:row r="205" ht="38" customHeight="1">
      <x:c r="A205" s="14" t="str">
        <x:v>chronology-sanctuary-metapontum-tavole-palatine-heraion-primary</x:v>
      </x:c>
      <x:c r="B205" s="14" t="str">
        <x:v>sanctuary-metapontum-tavole-palatine-heraion</x:v>
      </x:c>
      <x:c r="C205" s="21" t="n">
        <x:v>-600</x:v>
      </x:c>
      <x:c r="D205" s="21" t="n">
        <x:v>200</x:v>
      </x:c>
      <x:c r="E205" s="14" t="str">
        <x:v>approximate</x:v>
      </x:c>
      <x:c r="F205" s="14" t="str">
        <x:v>approximate</x:v>
      </x:c>
      <x:c r="G205" s="14" t="str">
        <x:v>approximate</x:v>
      </x:c>
      <x:c r="H205" s="14" t="str">
        <x:v>cult_activity_window</x:v>
      </x:c>
      <x:c r="I205" s="20" t="b">
        <x:v>0</x:v>
      </x:c>
      <x:c r="J205" s="16" t="str">
        <x:v>600 π.Χ.–200 μ.Χ.</x:v>
      </x:c>
      <x:c r="K205" s="16" t="str">
        <x:v>600 BCE–200 CE</x:v>
      </x:c>
      <x:c r="L205" s="16"/>
      <x:c r="M205" s="16"/>
      <x:c r="N205" s="14" t="str">
        <x:v>src-pleiades-442611</x:v>
      </x:c>
      <x:c r="O205" s="14" t="str">
        <x:v>reviewed</x:v>
      </x:c>
    </x:row>
    <x:row r="206" ht="38" customHeight="1">
      <x:c r="A206" s="14" t="str">
        <x:v>chronology-sanctuary-mount-lykaion-zeus-sanctuary-primary</x:v>
      </x:c>
      <x:c r="B206" s="14" t="str">
        <x:v>sanctuary-mount-lykaion-zeus-sanctuary</x:v>
      </x:c>
      <x:c r="C206" s="21" t="n">
        <x:v>-1600</x:v>
      </x:c>
      <x:c r="D206" s="21" t="n">
        <x:v>300</x:v>
      </x:c>
      <x:c r="E206" s="14" t="str">
        <x:v>approximate</x:v>
      </x:c>
      <x:c r="F206" s="14" t="str">
        <x:v>approximate</x:v>
      </x:c>
      <x:c r="G206" s="14" t="str">
        <x:v>approximate</x:v>
      </x:c>
      <x:c r="H206" s="14" t="str">
        <x:v>cult_activity_window</x:v>
      </x:c>
      <x:c r="I206" s="20" t="b">
        <x:v>0</x:v>
      </x:c>
      <x:c r="J206" s="16" t="str">
        <x:v>1600 π.Χ.–300 μ.Χ.</x:v>
      </x:c>
      <x:c r="K206" s="16" t="str">
        <x:v>1600 BCE–300 CE</x:v>
      </x:c>
      <x:c r="L206"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06" s="16" t="str">
        <x:v>The final year is an approximate boundary for the principal period of ancient cult activity; a detailed timeline should separate the individual phases.</x:v>
      </x:c>
      <x:c r="N206" s="14" t="str">
        <x:v>src-pleiades-570764</x:v>
      </x:c>
      <x:c r="O206" s="14" t="str">
        <x:v>reviewed</x:v>
      </x:c>
    </x:row>
    <x:row r="207" ht="38" customHeight="1">
      <x:c r="A207" s="14" t="str">
        <x:v>chronology-sanctuary-naukratis-hellenion-primary</x:v>
      </x:c>
      <x:c r="B207" s="14" t="str">
        <x:v>sanctuary-naukratis-hellenion</x:v>
      </x:c>
      <x:c r="C207" s="21" t="n">
        <x:v>-570</x:v>
      </x:c>
      <x:c r="D207" s="21" t="n">
        <x:v>100</x:v>
      </x:c>
      <x:c r="E207" s="14" t="str">
        <x:v>approximate</x:v>
      </x:c>
      <x:c r="F207" s="14" t="str">
        <x:v>approximate</x:v>
      </x:c>
      <x:c r="G207" s="14" t="str">
        <x:v>approximate</x:v>
      </x:c>
      <x:c r="H207" s="14" t="str">
        <x:v>cult_activity_window</x:v>
      </x:c>
      <x:c r="I207" s="20" t="b">
        <x:v>0</x:v>
      </x:c>
      <x:c r="J207" s="16" t="str">
        <x:v>570 π.Χ.–100 μ.Χ.</x:v>
      </x:c>
      <x:c r="K207" s="16" t="str">
        <x:v>570 BCE–100 CE</x:v>
      </x:c>
      <x:c r="L207" s="16"/>
      <x:c r="M207" s="16"/>
      <x:c r="N207" s="14" t="str">
        <x:v>src-britishmuseum-4626abd5cbdd</x:v>
      </x:c>
      <x:c r="O207" s="14" t="str">
        <x:v>reviewed</x:v>
      </x:c>
    </x:row>
    <x:row r="208" ht="38" customHeight="1">
      <x:c r="A208" s="14" t="str">
        <x:v>chronology-sanctuary-nemea-zeus-sanctuary-primary</x:v>
      </x:c>
      <x:c r="B208" s="14" t="str">
        <x:v>sanctuary-nemea-zeus-sanctuary</x:v>
      </x:c>
      <x:c r="C208" s="21" t="n">
        <x:v>-600</x:v>
      </x:c>
      <x:c r="D208" s="21" t="n">
        <x:v>300</x:v>
      </x:c>
      <x:c r="E208" s="14" t="str">
        <x:v>approximate</x:v>
      </x:c>
      <x:c r="F208" s="14" t="str">
        <x:v>approximate</x:v>
      </x:c>
      <x:c r="G208" s="14" t="str">
        <x:v>approximate</x:v>
      </x:c>
      <x:c r="H208" s="14" t="str">
        <x:v>cult_activity_window</x:v>
      </x:c>
      <x:c r="I208" s="20" t="b">
        <x:v>0</x:v>
      </x:c>
      <x:c r="J208" s="16" t="str">
        <x:v>600 π.Χ.–300 μ.Χ.</x:v>
      </x:c>
      <x:c r="K208" s="16" t="str">
        <x:v>600 BCE–300 CE</x:v>
      </x:c>
      <x:c r="L208"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08" s="16" t="str">
        <x:v>The final year is an approximate boundary for the principal period of ancient cult activity; a detailed timeline should separate the individual phases.</x:v>
      </x:c>
      <x:c r="N208" s="14" t="str">
        <x:v>src-pleiades-570504</x:v>
      </x:c>
      <x:c r="O208" s="14" t="str">
        <x:v>reviewed</x:v>
      </x:c>
    </x:row>
    <x:row r="209" ht="38" customHeight="1">
      <x:c r="A209" s="14" t="str">
        <x:v>chronology-sanctuary-olbia-apollo-delphinios-sanctuary-primary</x:v>
      </x:c>
      <x:c r="B209" s="14" t="str">
        <x:v>sanctuary-olbia-apollo-delphinios-sanctuary</x:v>
      </x:c>
      <x:c r="C209" s="21" t="n">
        <x:v>-550</x:v>
      </x:c>
      <x:c r="D209" s="21" t="n">
        <x:v>-55</x:v>
      </x:c>
      <x:c r="E209" s="14" t="str">
        <x:v>approximate</x:v>
      </x:c>
      <x:c r="F209" s="14" t="str">
        <x:v>approximate</x:v>
      </x:c>
      <x:c r="G209" s="14" t="str">
        <x:v>approximate</x:v>
      </x:c>
      <x:c r="H209" s="14" t="str">
        <x:v>cult_activity_window</x:v>
      </x:c>
      <x:c r="I209" s="20" t="b">
        <x:v>0</x:v>
      </x:c>
      <x:c r="J209" s="16" t="str">
        <x:v>550 π.Χ.–55 π.Χ.</x:v>
      </x:c>
      <x:c r="K209" s="16" t="str">
        <x:v>550 BCE–55 BCE</x:v>
      </x:c>
      <x:c r="L209" s="16"/>
      <x:c r="M209" s="16"/>
      <x:c r="N209" s="14" t="str">
        <x:v>src-penn-a97aa05ea214</x:v>
      </x:c>
      <x:c r="O209" s="14" t="str">
        <x:v>reviewed</x:v>
      </x:c>
    </x:row>
    <x:row r="210" ht="38" customHeight="1">
      <x:c r="A210" s="14" t="str">
        <x:v>chronology-sanctuary-olympia-zeus-sanctuary-primary</x:v>
      </x:c>
      <x:c r="B210" s="14" t="str">
        <x:v>sanctuary-olympia-zeus-sanctuary</x:v>
      </x:c>
      <x:c r="C210" s="21" t="n">
        <x:v>-1000</x:v>
      </x:c>
      <x:c r="D210" s="21" t="n">
        <x:v>393</x:v>
      </x:c>
      <x:c r="E210" s="14" t="str">
        <x:v>approximate</x:v>
      </x:c>
      <x:c r="F210" s="14" t="str">
        <x:v>approximate</x:v>
      </x:c>
      <x:c r="G210" s="14" t="str">
        <x:v>approximate</x:v>
      </x:c>
      <x:c r="H210" s="14" t="str">
        <x:v>cult_activity_window</x:v>
      </x:c>
      <x:c r="I210" s="20" t="b">
        <x:v>0</x:v>
      </x:c>
      <x:c r="J210" s="16" t="str">
        <x:v>1000 π.Χ.–393 μ.Χ.</x:v>
      </x:c>
      <x:c r="K210" s="16" t="str">
        <x:v>1000 BCE–393 CE</x:v>
      </x:c>
      <x:c r="L210" s="16"/>
      <x:c r="M210" s="16"/>
      <x:c r="N210" s="14" t="str">
        <x:v>src-pleiades-570531</x:v>
      </x:c>
      <x:c r="O210" s="14" t="str">
        <x:v>reviewed</x:v>
      </x:c>
    </x:row>
    <x:row r="211" ht="38" customHeight="1">
      <x:c r="A211" s="14" t="str">
        <x:v>chronology-sanctuary-oropos-amphiareion-primary</x:v>
      </x:c>
      <x:c r="B211" s="14" t="str">
        <x:v>sanctuary-oropos-amphiareion</x:v>
      </x:c>
      <x:c r="C211" s="21" t="n">
        <x:v>-500</x:v>
      </x:c>
      <x:c r="D211" s="21" t="n">
        <x:v>400</x:v>
      </x:c>
      <x:c r="E211" s="14" t="str">
        <x:v>approximate</x:v>
      </x:c>
      <x:c r="F211" s="14" t="str">
        <x:v>approximate</x:v>
      </x:c>
      <x:c r="G211" s="14" t="str">
        <x:v>approximate</x:v>
      </x:c>
      <x:c r="H211" s="14" t="str">
        <x:v>cult_activity_window</x:v>
      </x:c>
      <x:c r="I211" s="20" t="b">
        <x:v>0</x:v>
      </x:c>
      <x:c r="J211" s="16" t="str">
        <x:v>500 π.Χ.–400 μ.Χ.</x:v>
      </x:c>
      <x:c r="K211" s="16" t="str">
        <x:v>500 BCE–400 CE</x:v>
      </x:c>
      <x:c r="L211"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1" s="16" t="str">
        <x:v>The final year is an approximate boundary for the principal period of ancient cult activity; a detailed timeline should separate the individual phases.</x:v>
      </x:c>
      <x:c r="N211" s="14" t="str">
        <x:v>src-pleiades-540628</x:v>
      </x:c>
      <x:c r="O211" s="14" t="str">
        <x:v>reviewed</x:v>
      </x:c>
    </x:row>
    <x:row r="212" ht="38" customHeight="1">
      <x:c r="A212" s="14" t="str">
        <x:v>chronology-sanctuary-palaepaphos-aphrodite-sanctuary-primary</x:v>
      </x:c>
      <x:c r="B212" s="14" t="str">
        <x:v>sanctuary-palaepaphos-aphrodite-sanctuary</x:v>
      </x:c>
      <x:c r="C212" s="21" t="n">
        <x:v>-1200</x:v>
      </x:c>
      <x:c r="D212" s="21" t="n">
        <x:v>391</x:v>
      </x:c>
      <x:c r="E212" s="14" t="str">
        <x:v>approximate</x:v>
      </x:c>
      <x:c r="F212" s="14" t="str">
        <x:v>approximate</x:v>
      </x:c>
      <x:c r="G212" s="14" t="str">
        <x:v>approximate</x:v>
      </x:c>
      <x:c r="H212" s="14" t="str">
        <x:v>cult_activity_window</x:v>
      </x:c>
      <x:c r="I212" s="20" t="b">
        <x:v>0</x:v>
      </x:c>
      <x:c r="J212" s="16" t="str">
        <x:v>1200 π.Χ.–391 μ.Χ.</x:v>
      </x:c>
      <x:c r="K212" s="16" t="str">
        <x:v>1200 BCE–391 CE</x:v>
      </x:c>
      <x:c r="L212" s="16"/>
      <x:c r="M212" s="16"/>
      <x:c r="N212" s="14" t="str">
        <x:v>src-pleiades-828989863</x:v>
      </x:c>
      <x:c r="O212" s="14" t="str">
        <x:v>reviewed</x:v>
      </x:c>
    </x:row>
    <x:row r="213" ht="38" customHeight="1">
      <x:c r="A213" s="14" t="str">
        <x:v>chronology-sanctuary-panionion-poseidon-sanctuary-primary</x:v>
      </x:c>
      <x:c r="B213" s="14" t="str">
        <x:v>sanctuary-panionion-poseidon-sanctuary</x:v>
      </x:c>
      <x:c r="C213" s="21" t="n">
        <x:v>-700</x:v>
      </x:c>
      <x:c r="D213" s="21" t="n">
        <x:v>300</x:v>
      </x:c>
      <x:c r="E213" s="14" t="str">
        <x:v>approximate</x:v>
      </x:c>
      <x:c r="F213" s="14" t="str">
        <x:v>approximate</x:v>
      </x:c>
      <x:c r="G213" s="14" t="str">
        <x:v>approximate</x:v>
      </x:c>
      <x:c r="H213" s="14" t="str">
        <x:v>cult_activity_window</x:v>
      </x:c>
      <x:c r="I213" s="20" t="b">
        <x:v>0</x:v>
      </x:c>
      <x:c r="J213" s="16" t="str">
        <x:v>700 π.Χ.–300 μ.Χ.</x:v>
      </x:c>
      <x:c r="K213" s="16" t="str">
        <x:v>700 BCE–300 CE</x:v>
      </x:c>
      <x:c r="L213"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3" s="16" t="str">
        <x:v>The final year is an approximate boundary for the principal period of ancient cult activity; a detailed timeline should separate the individual phases.</x:v>
      </x:c>
      <x:c r="N213" s="14" t="str">
        <x:v>src-pleiades-599855</x:v>
      </x:c>
      <x:c r="O213" s="14" t="str">
        <x:v>reviewed</x:v>
      </x:c>
    </x:row>
    <x:row r="214" ht="38" customHeight="1">
      <x:c r="A214" s="14" t="str">
        <x:v>chronology-sanctuary-pantikapaion-apollo-ietros-sanctuary-primary</x:v>
      </x:c>
      <x:c r="B214" s="14" t="str">
        <x:v>sanctuary-pantikapaion-apollo-ietros-sanctuary</x:v>
      </x:c>
      <x:c r="C214" s="21" t="n">
        <x:v>-550</x:v>
      </x:c>
      <x:c r="D214" s="21" t="n">
        <x:v>300</x:v>
      </x:c>
      <x:c r="E214" s="14" t="str">
        <x:v>approximate</x:v>
      </x:c>
      <x:c r="F214" s="14" t="str">
        <x:v>approximate</x:v>
      </x:c>
      <x:c r="G214" s="14" t="str">
        <x:v>approximate</x:v>
      </x:c>
      <x:c r="H214" s="14" t="str">
        <x:v>cult_activity_window</x:v>
      </x:c>
      <x:c r="I214" s="20" t="b">
        <x:v>0</x:v>
      </x:c>
      <x:c r="J214" s="16" t="str">
        <x:v>550 π.Χ.–300 μ.Χ.</x:v>
      </x:c>
      <x:c r="K214" s="16" t="str">
        <x:v>550 BCE–300 CE</x:v>
      </x:c>
      <x:c r="L214"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4" s="16" t="str">
        <x:v>The final year is an approximate boundary for the principal period of ancient cult activity; a detailed timeline should separate the individual phases.</x:v>
      </x:c>
      <x:c r="N214" s="14" t="str">
        <x:v>src-pleiades-854719</x:v>
      </x:c>
      <x:c r="O214" s="14" t="str">
        <x:v>reviewed</x:v>
      </x:c>
    </x:row>
    <x:row r="215" ht="38" customHeight="1">
      <x:c r="A215" s="14" t="str">
        <x:v>chronology-sanctuary-perachora-heraion-primary</x:v>
      </x:c>
      <x:c r="B215" s="14" t="str">
        <x:v>sanctuary-perachora-heraion</x:v>
      </x:c>
      <x:c r="C215" s="21" t="n">
        <x:v>-800</x:v>
      </x:c>
      <x:c r="D215" s="21" t="n">
        <x:v>-146</x:v>
      </x:c>
      <x:c r="E215" s="14" t="str">
        <x:v>approximate</x:v>
      </x:c>
      <x:c r="F215" s="14" t="str">
        <x:v>approximate</x:v>
      </x:c>
      <x:c r="G215" s="14" t="str">
        <x:v>approximate</x:v>
      </x:c>
      <x:c r="H215" s="14" t="str">
        <x:v>cult_activity_window</x:v>
      </x:c>
      <x:c r="I215" s="20" t="b">
        <x:v>0</x:v>
      </x:c>
      <x:c r="J215" s="16" t="str">
        <x:v>800 π.Χ.–146 π.Χ.</x:v>
      </x:c>
      <x:c r="K215" s="16" t="str">
        <x:v>800 BCE–146 BCE</x:v>
      </x:c>
      <x:c r="L215" s="16"/>
      <x:c r="M215" s="16"/>
      <x:c r="N215" s="14" t="str">
        <x:v>src-pleiades-570288</x:v>
      </x:c>
      <x:c r="O215" s="14" t="str">
        <x:v>reviewed</x:v>
      </x:c>
    </x:row>
    <x:row r="216" ht="38" customHeight="1">
      <x:c r="A216" s="14" t="str">
        <x:v>chronology-sanctuary-pergamon-asklepieion-primary</x:v>
      </x:c>
      <x:c r="B216" s="14" t="str">
        <x:v>sanctuary-pergamon-asklepieion</x:v>
      </x:c>
      <x:c r="C216" s="21" t="n">
        <x:v>-400</x:v>
      </x:c>
      <x:c r="D216" s="21" t="n">
        <x:v>400</x:v>
      </x:c>
      <x:c r="E216" s="14" t="str">
        <x:v>approximate</x:v>
      </x:c>
      <x:c r="F216" s="14" t="str">
        <x:v>approximate</x:v>
      </x:c>
      <x:c r="G216" s="14" t="str">
        <x:v>approximate</x:v>
      </x:c>
      <x:c r="H216" s="14" t="str">
        <x:v>cult_activity_window</x:v>
      </x:c>
      <x:c r="I216" s="20" t="b">
        <x:v>0</x:v>
      </x:c>
      <x:c r="J216" s="16" t="str">
        <x:v>400 π.Χ.–400 μ.Χ.</x:v>
      </x:c>
      <x:c r="K216" s="16" t="str">
        <x:v>400 BCE–400 CE</x:v>
      </x:c>
      <x:c r="L216"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6" s="16" t="str">
        <x:v>The final year is an approximate boundary for the principal period of ancient cult activity; a detailed timeline should separate the individual phases.</x:v>
      </x:c>
      <x:c r="N216" s="14" t="str">
        <x:v>src-pleiades-550459</x:v>
      </x:c>
      <x:c r="O216" s="14" t="str">
        <x:v>reviewed</x:v>
      </x:c>
    </x:row>
    <x:row r="217" ht="38" customHeight="1">
      <x:c r="A217" s="14" t="str">
        <x:v>chronology-sanctuary-priene-athena-polias-sanctuary-primary</x:v>
      </x:c>
      <x:c r="B217" s="14" t="str">
        <x:v>sanctuary-priene-athena-polias-sanctuary</x:v>
      </x:c>
      <x:c r="C217" s="21" t="n">
        <x:v>-350</x:v>
      </x:c>
      <x:c r="D217" s="21" t="n">
        <x:v>400</x:v>
      </x:c>
      <x:c r="E217" s="14" t="str">
        <x:v>approximate</x:v>
      </x:c>
      <x:c r="F217" s="14" t="str">
        <x:v>approximate</x:v>
      </x:c>
      <x:c r="G217" s="14" t="str">
        <x:v>approximate</x:v>
      </x:c>
      <x:c r="H217" s="14" t="str">
        <x:v>cult_activity_window</x:v>
      </x:c>
      <x:c r="I217" s="20" t="b">
        <x:v>0</x:v>
      </x:c>
      <x:c r="J217" s="16" t="str">
        <x:v>350 π.Χ.–400 μ.Χ.</x:v>
      </x:c>
      <x:c r="K217" s="16" t="str">
        <x:v>350 BCE–400 CE</x:v>
      </x:c>
      <x:c r="L217"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7" s="16" t="str">
        <x:v>The final year is an approximate boundary for the principal period of ancient cult activity; a detailed timeline should separate the individual phases.</x:v>
      </x:c>
      <x:c r="N217" s="14" t="str">
        <x:v>src-pleiades-298577312</x:v>
      </x:c>
      <x:c r="O217" s="14" t="str">
        <x:v>reviewed</x:v>
      </x:c>
    </x:row>
    <x:row r="218" ht="38" customHeight="1">
      <x:c r="A218" s="14" t="str">
        <x:v>chronology-sanctuary-rhodes-zeus-atabyrios-sanctuary-primary</x:v>
      </x:c>
      <x:c r="B218" s="14" t="str">
        <x:v>sanctuary-rhodes-zeus-atabyrios-sanctuary</x:v>
      </x:c>
      <x:c r="C218" s="21" t="n">
        <x:v>-700</x:v>
      </x:c>
      <x:c r="D218" s="21" t="n">
        <x:v>400</x:v>
      </x:c>
      <x:c r="E218" s="14" t="str">
        <x:v>approximate</x:v>
      </x:c>
      <x:c r="F218" s="14" t="str">
        <x:v>approximate</x:v>
      </x:c>
      <x:c r="G218" s="14" t="str">
        <x:v>approximate</x:v>
      </x:c>
      <x:c r="H218" s="14" t="str">
        <x:v>cult_activity_window</x:v>
      </x:c>
      <x:c r="I218" s="20" t="b">
        <x:v>0</x:v>
      </x:c>
      <x:c r="J218" s="16" t="str">
        <x:v>700 π.Χ.–400 μ.Χ.</x:v>
      </x:c>
      <x:c r="K218" s="16" t="str">
        <x:v>700 BCE–400 CE</x:v>
      </x:c>
      <x:c r="L218"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8" s="16" t="str">
        <x:v>The final year is an approximate boundary for the principal period of ancient cult activity; a detailed timeline should separate the individual phases.</x:v>
      </x:c>
      <x:c r="N218" s="14" t="str">
        <x:v>src-pleiades-590099</x:v>
      </x:c>
      <x:c r="O218" s="14" t="str">
        <x:v>reviewed</x:v>
      </x:c>
    </x:row>
    <x:row r="219" ht="38" customHeight="1">
      <x:c r="A219" s="14" t="str">
        <x:v>chronology-sanctuary-samos-heraion-primary</x:v>
      </x:c>
      <x:c r="B219" s="14" t="str">
        <x:v>sanctuary-samos-heraion</x:v>
      </x:c>
      <x:c r="C219" s="21" t="n">
        <x:v>-1000</x:v>
      </x:c>
      <x:c r="D219" s="21" t="n">
        <x:v>400</x:v>
      </x:c>
      <x:c r="E219" s="14" t="str">
        <x:v>approximate</x:v>
      </x:c>
      <x:c r="F219" s="14" t="str">
        <x:v>approximate</x:v>
      </x:c>
      <x:c r="G219" s="14" t="str">
        <x:v>approximate</x:v>
      </x:c>
      <x:c r="H219" s="14" t="str">
        <x:v>cult_activity_window</x:v>
      </x:c>
      <x:c r="I219" s="20" t="b">
        <x:v>0</x:v>
      </x:c>
      <x:c r="J219" s="16" t="str">
        <x:v>1000 π.Χ.–400 μ.Χ.</x:v>
      </x:c>
      <x:c r="K219" s="16" t="str">
        <x:v>1000 BCE–400 CE</x:v>
      </x:c>
      <x:c r="L219"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19" s="16" t="str">
        <x:v>The final year is an approximate boundary for the principal period of ancient cult activity; a detailed timeline should separate the individual phases.</x:v>
      </x:c>
      <x:c r="N219" s="14" t="str">
        <x:v>src-pleiades-599641</x:v>
      </x:c>
      <x:c r="O219" s="14" t="str">
        <x:v>reviewed</x:v>
      </x:c>
    </x:row>
    <x:row r="220" ht="38" customHeight="1">
      <x:c r="A220" s="14" t="str">
        <x:v>chronology-sanctuary-samothrace-great-gods-sanctuary-primary</x:v>
      </x:c>
      <x:c r="B220" s="14" t="str">
        <x:v>sanctuary-samothrace-great-gods-sanctuary</x:v>
      </x:c>
      <x:c r="C220" s="21" t="n">
        <x:v>-700</x:v>
      </x:c>
      <x:c r="D220" s="21" t="n">
        <x:v>400</x:v>
      </x:c>
      <x:c r="E220" s="14" t="str">
        <x:v>approximate</x:v>
      </x:c>
      <x:c r="F220" s="14" t="str">
        <x:v>approximate</x:v>
      </x:c>
      <x:c r="G220" s="14" t="str">
        <x:v>approximate</x:v>
      </x:c>
      <x:c r="H220" s="14" t="str">
        <x:v>cult_activity_window</x:v>
      </x:c>
      <x:c r="I220" s="20" t="b">
        <x:v>0</x:v>
      </x:c>
      <x:c r="J220" s="16" t="str">
        <x:v>700 π.Χ.–400 μ.Χ.</x:v>
      </x:c>
      <x:c r="K220" s="16" t="str">
        <x:v>700 BCE–400 CE</x:v>
      </x:c>
      <x:c r="L220"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0" s="16" t="str">
        <x:v>The final year is an approximate boundary for the principal period of ancient cult activity; a detailed timeline should separate the individual phases.</x:v>
      </x:c>
      <x:c r="N220" s="14" t="str">
        <x:v>src-pleiades-501511</x:v>
      </x:c>
      <x:c r="O220" s="14" t="str">
        <x:v>reviewed</x:v>
      </x:c>
    </x:row>
    <x:row r="221" ht="38" customHeight="1">
      <x:c r="A221" s="14" t="str">
        <x:v>chronology-sanctuary-sardis-artemis-sanctuary-primary</x:v>
      </x:c>
      <x:c r="B221" s="14" t="str">
        <x:v>sanctuary-sardis-artemis-sanctuary</x:v>
      </x:c>
      <x:c r="C221" s="21" t="n">
        <x:v>-550</x:v>
      </x:c>
      <x:c r="D221" s="21" t="n">
        <x:v>400</x:v>
      </x:c>
      <x:c r="E221" s="14" t="str">
        <x:v>approximate</x:v>
      </x:c>
      <x:c r="F221" s="14" t="str">
        <x:v>approximate</x:v>
      </x:c>
      <x:c r="G221" s="14" t="str">
        <x:v>approximate</x:v>
      </x:c>
      <x:c r="H221" s="14" t="str">
        <x:v>cult_activity_window</x:v>
      </x:c>
      <x:c r="I221" s="20" t="b">
        <x:v>0</x:v>
      </x:c>
      <x:c r="J221" s="16" t="str">
        <x:v>550 π.Χ.–400 μ.Χ.</x:v>
      </x:c>
      <x:c r="K221" s="16" t="str">
        <x:v>550 BCE–400 CE</x:v>
      </x:c>
      <x:c r="L221"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1" s="16" t="str">
        <x:v>The final year is an approximate boundary for the principal period of ancient cult activity; a detailed timeline should separate the individual phases.</x:v>
      </x:c>
      <x:c r="N221" s="14" t="str">
        <x:v>src-pleiades-66376536</x:v>
      </x:c>
      <x:c r="O221" s="14" t="str">
        <x:v>reviewed</x:v>
      </x:c>
    </x:row>
    <x:row r="222" ht="38" customHeight="1">
      <x:c r="A222" s="14" t="str">
        <x:v>chronology-sanctuary-segesta-doric-temple-sanctuary-primary</x:v>
      </x:c>
      <x:c r="B222" s="14" t="str">
        <x:v>sanctuary-segesta-doric-temple-sanctuary</x:v>
      </x:c>
      <x:c r="C222" s="21" t="n">
        <x:v>-430</x:v>
      </x:c>
      <x:c r="D222" s="21" t="n">
        <x:v>-300</x:v>
      </x:c>
      <x:c r="E222" s="14" t="str">
        <x:v>approximate</x:v>
      </x:c>
      <x:c r="F222" s="14" t="str">
        <x:v>approximate</x:v>
      </x:c>
      <x:c r="G222" s="14" t="str">
        <x:v>approximate</x:v>
      </x:c>
      <x:c r="H222" s="14" t="str">
        <x:v>cult_activity_window</x:v>
      </x:c>
      <x:c r="I222" s="20" t="b">
        <x:v>0</x:v>
      </x:c>
      <x:c r="J222" s="16" t="str">
        <x:v>430 π.Χ.–300 π.Χ.</x:v>
      </x:c>
      <x:c r="K222" s="16" t="str">
        <x:v>430 BCE–300 BCE</x:v>
      </x:c>
      <x:c r="L222" s="16"/>
      <x:c r="M222" s="16"/>
      <x:c r="N222" s="14" t="str">
        <x:v>src-pleiades-963441586</x:v>
      </x:c>
      <x:c r="O222" s="14" t="str">
        <x:v>reviewed</x:v>
      </x:c>
    </x:row>
    <x:row r="223" ht="38" customHeight="1">
      <x:c r="A223" s="14" t="str">
        <x:v>chronology-sanctuary-selinous-demeter-malophoros-sanctuary-primary</x:v>
      </x:c>
      <x:c r="B223" s="14" t="str">
        <x:v>sanctuary-selinous-demeter-malophoros-sanctuary</x:v>
      </x:c>
      <x:c r="C223" s="21" t="n">
        <x:v>-650</x:v>
      </x:c>
      <x:c r="D223" s="21" t="n">
        <x:v>-250</x:v>
      </x:c>
      <x:c r="E223" s="14" t="str">
        <x:v>approximate</x:v>
      </x:c>
      <x:c r="F223" s="14" t="str">
        <x:v>approximate</x:v>
      </x:c>
      <x:c r="G223" s="14" t="str">
        <x:v>approximate</x:v>
      </x:c>
      <x:c r="H223" s="14" t="str">
        <x:v>cult_activity_window</x:v>
      </x:c>
      <x:c r="I223" s="20" t="b">
        <x:v>0</x:v>
      </x:c>
      <x:c r="J223" s="16" t="str">
        <x:v>650 π.Χ.–250 π.Χ.</x:v>
      </x:c>
      <x:c r="K223" s="16" t="str">
        <x:v>650 BCE–250 BCE</x:v>
      </x:c>
      <x:c r="L223" s="16"/>
      <x:c r="M223" s="16"/>
      <x:c r="N223" s="14" t="str">
        <x:v>src-pleiades-502577471</x:v>
      </x:c>
      <x:c r="O223" s="14" t="str">
        <x:v>reviewed</x:v>
      </x:c>
    </x:row>
    <x:row r="224" ht="38" customHeight="1">
      <x:c r="A224" s="14" t="str">
        <x:v>chronology-sanctuary-siwa-amun-zeus-oracle-primary</x:v>
      </x:c>
      <x:c r="B224" s="14" t="str">
        <x:v>sanctuary-siwa-amun-zeus-oracle</x:v>
      </x:c>
      <x:c r="C224" s="21" t="n">
        <x:v>-650</x:v>
      </x:c>
      <x:c r="D224" s="21" t="n">
        <x:v>400</x:v>
      </x:c>
      <x:c r="E224" s="14" t="str">
        <x:v>approximate</x:v>
      </x:c>
      <x:c r="F224" s="14" t="str">
        <x:v>approximate</x:v>
      </x:c>
      <x:c r="G224" s="14" t="str">
        <x:v>approximate</x:v>
      </x:c>
      <x:c r="H224" s="14" t="str">
        <x:v>cult_activity_window</x:v>
      </x:c>
      <x:c r="I224" s="20" t="b">
        <x:v>0</x:v>
      </x:c>
      <x:c r="J224" s="16" t="str">
        <x:v>650 π.Χ.–400 μ.Χ.</x:v>
      </x:c>
      <x:c r="K224" s="16" t="str">
        <x:v>650 BCE–400 CE</x:v>
      </x:c>
      <x:c r="L224"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4" s="16" t="str">
        <x:v>The final year is an approximate boundary for the principal period of ancient cult activity; a detailed timeline should separate the individual phases.</x:v>
      </x:c>
      <x:c r="N224" s="14" t="str">
        <x:v>src-pleiades-716520</x:v>
      </x:c>
      <x:c r="O224" s="14" t="str">
        <x:v>reviewed</x:v>
      </x:c>
    </x:row>
    <x:row r="225" ht="38" customHeight="1">
      <x:c r="A225" s="14" t="str">
        <x:v>chronology-sanctuary-smintheion-apollo-sanctuary-primary</x:v>
      </x:c>
      <x:c r="B225" s="14" t="str">
        <x:v>sanctuary-smintheion-apollo-sanctuary</x:v>
      </x:c>
      <x:c r="C225" s="21" t="n">
        <x:v>-700</x:v>
      </x:c>
      <x:c r="D225" s="21" t="n">
        <x:v>400</x:v>
      </x:c>
      <x:c r="E225" s="14" t="str">
        <x:v>approximate</x:v>
      </x:c>
      <x:c r="F225" s="14" t="str">
        <x:v>approximate</x:v>
      </x:c>
      <x:c r="G225" s="14" t="str">
        <x:v>approximate</x:v>
      </x:c>
      <x:c r="H225" s="14" t="str">
        <x:v>cult_activity_window</x:v>
      </x:c>
      <x:c r="I225" s="20" t="b">
        <x:v>0</x:v>
      </x:c>
      <x:c r="J225" s="16" t="str">
        <x:v>700 π.Χ.–400 μ.Χ.</x:v>
      </x:c>
      <x:c r="K225" s="16" t="str">
        <x:v>700 BCE–400 CE</x:v>
      </x:c>
      <x:c r="L225"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5" s="16" t="str">
        <x:v>The final year is an approximate boundary for the principal period of ancient cult activity; a detailed timeline should separate the individual phases.</x:v>
      </x:c>
      <x:c r="N225" s="14" t="str">
        <x:v>src-pleiades-550892</x:v>
      </x:c>
      <x:c r="O225" s="14" t="str">
        <x:v>reviewed</x:v>
      </x:c>
    </x:row>
    <x:row r="226" ht="38" customHeight="1">
      <x:c r="A226" s="14" t="str">
        <x:v>chronology-sanctuary-sounion-poseidon-sanctuary-primary</x:v>
      </x:c>
      <x:c r="B226" s="14" t="str">
        <x:v>sanctuary-sounion-poseidon-sanctuary</x:v>
      </x:c>
      <x:c r="C226" s="21" t="n">
        <x:v>-700</x:v>
      </x:c>
      <x:c r="D226" s="21" t="n">
        <x:v>300</x:v>
      </x:c>
      <x:c r="E226" s="14" t="str">
        <x:v>approximate</x:v>
      </x:c>
      <x:c r="F226" s="14" t="str">
        <x:v>approximate</x:v>
      </x:c>
      <x:c r="G226" s="14" t="str">
        <x:v>approximate</x:v>
      </x:c>
      <x:c r="H226" s="14" t="str">
        <x:v>cult_activity_window</x:v>
      </x:c>
      <x:c r="I226" s="20" t="b">
        <x:v>0</x:v>
      </x:c>
      <x:c r="J226" s="16" t="str">
        <x:v>700 π.Χ.–300 μ.Χ.</x:v>
      </x:c>
      <x:c r="K226" s="16" t="str">
        <x:v>700 BCE–300 CE</x:v>
      </x:c>
      <x:c r="L226"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6" s="16" t="str">
        <x:v>The final year is an approximate boundary for the principal period of ancient cult activity; a detailed timeline should separate the individual phases.</x:v>
      </x:c>
      <x:c r="N226" s="14" t="str">
        <x:v>src-pleiades-580086</x:v>
      </x:c>
      <x:c r="O226" s="14" t="str">
        <x:v>reviewed</x:v>
      </x:c>
    </x:row>
    <x:row r="227" ht="38" customHeight="1">
      <x:c r="A227" s="14" t="str">
        <x:v>chronology-sanctuary-syracuse-apollo-sanctuary-primary</x:v>
      </x:c>
      <x:c r="B227" s="14" t="str">
        <x:v>sanctuary-syracuse-apollo-sanctuary</x:v>
      </x:c>
      <x:c r="C227" s="21" t="n">
        <x:v>-600</x:v>
      </x:c>
      <x:c r="D227" s="21" t="n">
        <x:v>400</x:v>
      </x:c>
      <x:c r="E227" s="14" t="str">
        <x:v>approximate</x:v>
      </x:c>
      <x:c r="F227" s="14" t="str">
        <x:v>approximate</x:v>
      </x:c>
      <x:c r="G227" s="14" t="str">
        <x:v>approximate</x:v>
      </x:c>
      <x:c r="H227" s="14" t="str">
        <x:v>cult_activity_window</x:v>
      </x:c>
      <x:c r="I227" s="20" t="b">
        <x:v>0</x:v>
      </x:c>
      <x:c r="J227" s="16" t="str">
        <x:v>600 π.Χ.–400 μ.Χ.</x:v>
      </x:c>
      <x:c r="K227" s="16" t="str">
        <x:v>600 BCE–400 CE</x:v>
      </x:c>
      <x:c r="L227"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7" s="16" t="str">
        <x:v>The final year is an approximate boundary for the principal period of ancient cult activity; a detailed timeline should separate the individual phases.</x:v>
      </x:c>
      <x:c r="N227" s="14" t="str">
        <x:v>src-pleiades-418729933</x:v>
      </x:c>
      <x:c r="O227" s="14" t="str">
        <x:v>reviewed</x:v>
      </x:c>
    </x:row>
    <x:row r="228" ht="38" customHeight="1">
      <x:c r="A228" s="14" t="str">
        <x:v>chronology-sanctuary-tegea-athena-alea-sanctuary-primary</x:v>
      </x:c>
      <x:c r="B228" s="14" t="str">
        <x:v>sanctuary-tegea-athena-alea-sanctuary</x:v>
      </x:c>
      <x:c r="C228" s="21" t="n">
        <x:v>-700</x:v>
      </x:c>
      <x:c r="D228" s="21" t="n">
        <x:v>400</x:v>
      </x:c>
      <x:c r="E228" s="14" t="str">
        <x:v>approximate</x:v>
      </x:c>
      <x:c r="F228" s="14" t="str">
        <x:v>approximate</x:v>
      </x:c>
      <x:c r="G228" s="14" t="str">
        <x:v>approximate</x:v>
      </x:c>
      <x:c r="H228" s="14" t="str">
        <x:v>cult_activity_window</x:v>
      </x:c>
      <x:c r="I228" s="20" t="b">
        <x:v>0</x:v>
      </x:c>
      <x:c r="J228" s="16" t="str">
        <x:v>700 π.Χ.–400 μ.Χ.</x:v>
      </x:c>
      <x:c r="K228" s="16" t="str">
        <x:v>700 BCE–400 CE</x:v>
      </x:c>
      <x:c r="L228"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28" s="16" t="str">
        <x:v>The final year is an approximate boundary for the principal period of ancient cult activity; a detailed timeline should separate the individual phases.</x:v>
      </x:c>
      <x:c r="N228" s="14" t="str">
        <x:v>src-pleiades-372843530</x:v>
      </x:c>
      <x:c r="O228" s="14" t="str">
        <x:v>reviewed</x:v>
      </x:c>
    </x:row>
    <x:row r="229" ht="38" customHeight="1">
      <x:c r="A229" s="14" t="str">
        <x:v>chronology-sanctuary-thermon-apollo-sanctuary-primary</x:v>
      </x:c>
      <x:c r="B229" s="14" t="str">
        <x:v>sanctuary-thermon-apollo-sanctuary</x:v>
      </x:c>
      <x:c r="C229" s="21" t="n">
        <x:v>-630</x:v>
      </x:c>
      <x:c r="D229" s="21" t="n">
        <x:v>-100</x:v>
      </x:c>
      <x:c r="E229" s="14" t="str">
        <x:v>approximate</x:v>
      </x:c>
      <x:c r="F229" s="14" t="str">
        <x:v>approximate</x:v>
      </x:c>
      <x:c r="G229" s="14" t="str">
        <x:v>approximate</x:v>
      </x:c>
      <x:c r="H229" s="14" t="str">
        <x:v>cult_activity_window</x:v>
      </x:c>
      <x:c r="I229" s="20" t="b">
        <x:v>0</x:v>
      </x:c>
      <x:c r="J229" s="16" t="str">
        <x:v>630 π.Χ.–100 π.Χ.</x:v>
      </x:c>
      <x:c r="K229" s="16" t="str">
        <x:v>630 BCE–100 BCE</x:v>
      </x:c>
      <x:c r="L229" s="16"/>
      <x:c r="M229" s="16"/>
      <x:c r="N229" s="14" t="str">
        <x:v>src-pleiades-728329645</x:v>
      </x:c>
      <x:c r="O229" s="14" t="str">
        <x:v>reviewed</x:v>
      </x:c>
    </x:row>
    <x:row r="230" ht="38" customHeight="1">
      <x:c r="A230" s="14" t="str">
        <x:v>chronology-sanctuary-tinos-poseidon-amphitrite-sanctuary-primary</x:v>
      </x:c>
      <x:c r="B230" s="14" t="str">
        <x:v>sanctuary-tinos-poseidon-amphitrite-sanctuary</x:v>
      </x:c>
      <x:c r="C230" s="21" t="n">
        <x:v>-350</x:v>
      </x:c>
      <x:c r="D230" s="21" t="n">
        <x:v>300</x:v>
      </x:c>
      <x:c r="E230" s="14" t="str">
        <x:v>approximate</x:v>
      </x:c>
      <x:c r="F230" s="14" t="str">
        <x:v>approximate</x:v>
      </x:c>
      <x:c r="G230" s="14" t="str">
        <x:v>approximate</x:v>
      </x:c>
      <x:c r="H230" s="14" t="str">
        <x:v>cult_activity_window</x:v>
      </x:c>
      <x:c r="I230" s="20" t="b">
        <x:v>0</x:v>
      </x:c>
      <x:c r="J230" s="16" t="str">
        <x:v>350 π.Χ.–300 μ.Χ.</x:v>
      </x:c>
      <x:c r="K230" s="16" t="str">
        <x:v>350 BCE–300 CE</x:v>
      </x:c>
      <x:c r="L230" s="16" t="str">
        <x:v>Το τελικό έτος είναι προσεγγιστικό όριο της κύριας αρχαίας λατρευτικής χρήσης και χρειάζεται ανάλυση σε επιμέρους φάσεις για λεπτομερή χρονογραμμή.</x:v>
      </x:c>
      <x:c r="M230" s="16" t="str">
        <x:v>The final year is an approximate boundary for the principal period of ancient cult activity; a detailed timeline should separate the individual phases.</x:v>
      </x:c>
      <x:c r="N230" s="14" t="str">
        <x:v>src-pleiades-590006</x:v>
      </x:c>
      <x:c r="O230" s="14" t="str">
        <x:v>reviewed</x:v>
      </x:c>
    </x:row>
  </x:sheetData>
  <x:mergeCells>
    <x:mergeCell ref="A1:O1"/>
    <x:mergeCell ref="A2:O2"/>
  </x:mergeCells>
  <x:pageMargins left="0.7" right="0.7" top="0.75" bottom="0.75" header="0.3" footer="0.3"/>
  <x:tableParts count="1">
    <x:tablePart xmlns:r="http://schemas.openxmlformats.org/officeDocument/2006/relationships" r:id="Rb5e019840cee43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6" hidden="0" customWidth="1"/>
    <x:col min="2" max="2" width="18" hidden="0" customWidth="1"/>
    <x:col min="3" max="3" width="30" hidden="0" customWidth="1"/>
    <x:col min="4" max="4" width="30" hidden="0" customWidth="1"/>
    <x:col min="5" max="5" width="18" hidden="0" customWidth="1"/>
    <x:col min="6" max="6" width="24" hidden="0" customWidth="1"/>
    <x:col min="7" max="7" width="18" hidden="0" customWidth="1"/>
  </x:cols>
  <x:sheetData>
    <x:row r="1" ht="34" customHeight="1">
      <x:c r="A1" s="3" t="str">
        <x:v>Authorities / Καθιερωμένες οντότητες</x:v>
      </x:c>
      <x:c r="B1" s="3"/>
      <x:c r="C1" s="3"/>
      <x:c r="D1" s="3"/>
      <x:c r="E1" s="3"/>
      <x:c r="F1" s="3"/>
      <x:c r="G1" s="3"/>
    </x:row>
    <x:row r="2" ht="28" customHeight="1">
      <x:c r="A2" s="8" t="str">
        <x:v>Controlled external targets for regions, cults, dynasties, settlements and polities not represented as canonical atlas entities.</x:v>
      </x:c>
      <x:c r="B2" s="8"/>
      <x:c r="C2" s="8"/>
      <x:c r="D2" s="8"/>
      <x:c r="E2" s="8"/>
      <x:c r="F2" s="8"/>
      <x:c r="G2" s="8"/>
    </x:row>
    <x:row r="4" ht="30" customHeight="1">
      <x:c r="A4" s="13" t="str">
        <x:v>authority_id</x:v>
      </x:c>
      <x:c r="B4" s="13" t="str">
        <x:v>authority_type</x:v>
      </x:c>
      <x:c r="C4" s="13" t="str">
        <x:v>preferred_label_el</x:v>
      </x:c>
      <x:c r="D4" s="13" t="str">
        <x:v>preferred_label_en</x:v>
      </x:c>
      <x:c r="E4" s="13" t="str">
        <x:v>uri</x:v>
      </x:c>
      <x:c r="F4" s="13" t="str">
        <x:v>source_id</x:v>
      </x:c>
      <x:c r="G4" s="13" t="str">
        <x:v>review_state</x:v>
      </x:c>
    </x:row>
    <x:row r="5" ht="30" customHeight="1">
      <x:c r="A5" s="14" t="str">
        <x:v>deity_or_cult-agnoste-archaia-aphierose</x:v>
      </x:c>
      <x:c r="B5" s="14" t="str">
        <x:v>deity_or_cult</x:v>
      </x:c>
      <x:c r="C5" s="16" t="str">
        <x:v>Άγνωστη αρχαία αφιέρωση</x:v>
      </x:c>
      <x:c r="D5" s="16" t="str">
        <x:v>Unknown ancient dedication</x:v>
      </x:c>
      <x:c r="E5" s="14"/>
      <x:c r="F5" s="14" t="str">
        <x:v>src-pleiades-943504072</x:v>
      </x:c>
      <x:c r="G5" s="14" t="str">
        <x:v>reviewed</x:v>
      </x:c>
    </x:row>
    <x:row r="6" ht="30" customHeight="1">
      <x:c r="A6" s="14" t="str">
        <x:v>deity_or_cult-agnoste-theoteta</x:v>
      </x:c>
      <x:c r="B6" s="14" t="str">
        <x:v>deity_or_cult</x:v>
      </x:c>
      <x:c r="C6" s="16" t="str">
        <x:v>Άγνωστη θεότητα</x:v>
      </x:c>
      <x:c r="D6" s="16" t="str">
        <x:v>Unknown deity</x:v>
      </x:c>
      <x:c r="E6" s="14"/>
      <x:c r="F6" s="14" t="str">
        <x:v>src-pleiades-963441586</x:v>
      </x:c>
      <x:c r="G6" s="14" t="str">
        <x:v>reviewed</x:v>
      </x:c>
    </x:row>
    <x:row r="7" ht="30" customHeight="1">
      <x:c r="A7" s="14" t="str">
        <x:v>deity_or_cult-ammon-zeys-ammon</x:v>
      </x:c>
      <x:c r="B7" s="14" t="str">
        <x:v>deity_or_cult</x:v>
      </x:c>
      <x:c r="C7" s="16" t="str">
        <x:v>Άμμων/Ζευς Άμμων</x:v>
      </x:c>
      <x:c r="D7" s="16" t="str">
        <x:v>Ammon/Zeus Ammon</x:v>
      </x:c>
      <x:c r="E7" s="14"/>
      <x:c r="F7" s="14" t="str">
        <x:v>src-pleiades-716520</x:v>
      </x:c>
      <x:c r="G7" s="14" t="str">
        <x:v>reviewed</x:v>
      </x:c>
    </x:row>
    <x:row r="8" ht="30" customHeight="1">
      <x:c r="A8" s="14" t="str">
        <x:v>deity_or_cult-amphiaraos-kai-ygeia</x:v>
      </x:c>
      <x:c r="B8" s="14" t="str">
        <x:v>deity_or_cult</x:v>
      </x:c>
      <x:c r="C8" s="16" t="str">
        <x:v>Αμφιάραος και Υγεία</x:v>
      </x:c>
      <x:c r="D8" s="16" t="str">
        <x:v>Amphiaraos and Hygieia</x:v>
      </x:c>
      <x:c r="E8" s="14"/>
      <x:c r="F8" s="14" t="str">
        <x:v>src-pleiades-540628</x:v>
      </x:c>
      <x:c r="G8" s="14" t="str">
        <x:v>reviewed</x:v>
      </x:c>
    </x:row>
    <x:row r="9" ht="30" customHeight="1">
      <x:c r="A9" s="14" t="str">
        <x:v>deity_or_cult-aphaia</x:v>
      </x:c>
      <x:c r="B9" s="14" t="str">
        <x:v>deity_or_cult</x:v>
      </x:c>
      <x:c r="C9" s="16" t="str">
        <x:v>Αφαία</x:v>
      </x:c>
      <x:c r="D9" s="16" t="str">
        <x:v>Aphaia</x:v>
      </x:c>
      <x:c r="E9" s="14"/>
      <x:c r="F9" s="14" t="str">
        <x:v>src-pleiades-579872</x:v>
      </x:c>
      <x:c r="G9" s="14" t="str">
        <x:v>reviewed</x:v>
      </x:c>
    </x:row>
    <x:row r="10" ht="30" customHeight="1">
      <x:c r="A10" s="14" t="str">
        <x:v>deity_or_cult-aphrodite-aphrodisias</x:v>
      </x:c>
      <x:c r="B10" s="14" t="str">
        <x:v>deity_or_cult</x:v>
      </x:c>
      <x:c r="C10" s="16" t="str">
        <x:v>Αφροδίτη Αφροδισιάς</x:v>
      </x:c>
      <x:c r="D10" s="16" t="str">
        <x:v>Aphrodite of Aphrodisias</x:v>
      </x:c>
      <x:c r="E10" s="14"/>
      <x:c r="F10" s="14" t="str">
        <x:v>src-aphrodisias-excavations-68b8b8553e48</x:v>
      </x:c>
      <x:c r="G10" s="14" t="str">
        <x:v>reviewed</x:v>
      </x:c>
    </x:row>
    <x:row r="11" ht="30" customHeight="1">
      <x:c r="A11" s="14" t="str">
        <x:v>deity_or_cult-aphrodite-golgia</x:v>
      </x:c>
      <x:c r="B11" s="14" t="str">
        <x:v>deity_or_cult</x:v>
      </x:c>
      <x:c r="C11" s="16" t="str">
        <x:v>Αφροδίτη Γολγία</x:v>
      </x:c>
      <x:c r="D11" s="16" t="str">
        <x:v>Aphrodite Golgia</x:v>
      </x:c>
      <x:c r="E11" s="14"/>
      <x:c r="F11" s="14" t="str">
        <x:v>src-pleiades-707470</x:v>
      </x:c>
      <x:c r="G11" s="14" t="str">
        <x:v>reviewed</x:v>
      </x:c>
    </x:row>
    <x:row r="12" ht="30" customHeight="1">
      <x:c r="A12" s="14" t="str">
        <x:v>deity_or_cult-aphrodite-paphia</x:v>
      </x:c>
      <x:c r="B12" s="14" t="str">
        <x:v>deity_or_cult</x:v>
      </x:c>
      <x:c r="C12" s="16" t="str">
        <x:v>Αφροδίτη Παφία</x:v>
      </x:c>
      <x:c r="D12" s="16" t="str">
        <x:v>Aphrodite Paphia</x:v>
      </x:c>
      <x:c r="E12" s="14"/>
      <x:c r="F12" s="14" t="str">
        <x:v>src-pleiades-828989863</x:v>
      </x:c>
      <x:c r="G12" s="14" t="str">
        <x:v>reviewed</x:v>
      </x:c>
    </x:row>
    <x:row r="13" ht="30" customHeight="1">
      <x:c r="A13" s="14" t="str">
        <x:v>deity_or_cult-apollon</x:v>
      </x:c>
      <x:c r="B13" s="14" t="str">
        <x:v>deity_or_cult</x:v>
      </x:c>
      <x:c r="C13" s="16" t="str">
        <x:v>Απόλλων</x:v>
      </x:c>
      <x:c r="D13" s="16" t="str">
        <x:v>Apollo</x:v>
      </x:c>
      <x:c r="E13" s="14"/>
      <x:c r="F13" s="14" t="str">
        <x:v>src-pleiades-418729933</x:v>
      </x:c>
      <x:c r="G13" s="14" t="str">
        <x:v>reviewed</x:v>
      </x:c>
    </x:row>
    <x:row r="14" ht="30" customHeight="1">
      <x:c r="A14" s="14" t="str">
        <x:v>deity_or_cult-apollon-amyklaios-kai-yakinthos</x:v>
      </x:c>
      <x:c r="B14" s="14" t="str">
        <x:v>deity_or_cult</x:v>
      </x:c>
      <x:c r="C14" s="16" t="str">
        <x:v>Απόλλων Αμυκλαίος και Υάκινθος</x:v>
      </x:c>
      <x:c r="D14" s="16" t="str">
        <x:v>Apollo Amyklaios and Hyakinthos</x:v>
      </x:c>
      <x:c r="E14" s="14"/>
      <x:c r="F14" s="14" t="str">
        <x:v>src-pleiades-73644851</x:v>
      </x:c>
      <x:c r="G14" s="14" t="str">
        <x:v>reviewed</x:v>
      </x:c>
    </x:row>
    <x:row r="15" ht="30" customHeight="1">
      <x:c r="A15" s="14" t="str">
        <x:v>deity_or_cult-apollon-artemis-kai-leto</x:v>
      </x:c>
      <x:c r="B15" s="14" t="str">
        <x:v>deity_or_cult</x:v>
      </x:c>
      <x:c r="C15" s="16" t="str">
        <x:v>Απόλλων, Άρτεμις και Λητώ</x:v>
      </x:c>
      <x:c r="D15" s="16" t="str">
        <x:v>Apollo, Artemis and Leto</x:v>
      </x:c>
      <x:c r="E15" s="14"/>
      <x:c r="F15" s="14" t="str">
        <x:v>src-pleiades-599506</x:v>
      </x:c>
      <x:c r="G15" s="14" t="str">
        <x:v>reviewed</x:v>
      </x:c>
    </x:row>
    <x:row r="16" ht="30" customHeight="1">
      <x:c r="A16" s="14" t="str">
        <x:v>deity_or_cult-apollon-delphinios-zeys-kai-athena</x:v>
      </x:c>
      <x:c r="B16" s="14" t="str">
        <x:v>deity_or_cult</x:v>
      </x:c>
      <x:c r="C16" s="16" t="str">
        <x:v>Απόλλων Δελφίνιος, Ζευς και Αθηνά</x:v>
      </x:c>
      <x:c r="D16" s="16" t="str">
        <x:v>Apollo Delphinios, Zeus and Athena</x:v>
      </x:c>
      <x:c r="E16" s="14"/>
      <x:c r="F16" s="14" t="str">
        <x:v>src-penn-a97aa05ea214</x:v>
      </x:c>
      <x:c r="G16" s="14" t="str">
        <x:v>reviewed</x:v>
      </x:c>
    </x:row>
    <x:row r="17" ht="30" customHeight="1">
      <x:c r="A17" s="14" t="str">
        <x:v>deity_or_cult-apollon-didymaios</x:v>
      </x:c>
      <x:c r="B17" s="14" t="str">
        <x:v>deity_or_cult</x:v>
      </x:c>
      <x:c r="C17" s="16" t="str">
        <x:v>Απόλλων Διδυμαίος</x:v>
      </x:c>
      <x:c r="D17" s="16" t="str">
        <x:v>Apollo Didymaios</x:v>
      </x:c>
      <x:c r="E17" s="14"/>
      <x:c r="F17" s="14" t="str">
        <x:v>src-pleiades-599593</x:v>
      </x:c>
      <x:c r="G17" s="14" t="str">
        <x:v>reviewed</x:v>
      </x:c>
    </x:row>
    <x:row r="18" ht="30" customHeight="1">
      <x:c r="A18" s="14" t="str">
        <x:v>deity_or_cult-apollon-epikoyrios</x:v>
      </x:c>
      <x:c r="B18" s="14" t="str">
        <x:v>deity_or_cult</x:v>
      </x:c>
      <x:c r="C18" s="16" t="str">
        <x:v>Απόλλων Επικούριος</x:v>
      </x:c>
      <x:c r="D18" s="16" t="str">
        <x:v>Apollo Epicurius</x:v>
      </x:c>
      <x:c r="E18" s="14"/>
      <x:c r="F18" s="14" t="str">
        <x:v>src-pleiades-570148</x:v>
      </x:c>
      <x:c r="G18" s="14" t="str">
        <x:v>reviewed</x:v>
      </x:c>
    </x:row>
    <x:row r="19" ht="30" customHeight="1">
      <x:c r="A19" s="14" t="str">
        <x:v>deity_or_cult-apollon-ietros</x:v>
      </x:c>
      <x:c r="B19" s="14" t="str">
        <x:v>deity_or_cult</x:v>
      </x:c>
      <x:c r="C19" s="16" t="str">
        <x:v>Απόλλων Ιητρός</x:v>
      </x:c>
      <x:c r="D19" s="16" t="str">
        <x:v>Apollo Iatros</x:v>
      </x:c>
      <x:c r="E19" s="14"/>
      <x:c r="F19" s="14" t="str">
        <x:v>src-pleiades-216706</x:v>
      </x:c>
      <x:c r="G19" s="14" t="str">
        <x:v>reviewed</x:v>
      </x:c>
    </x:row>
    <x:row r="20" ht="30" customHeight="1">
      <x:c r="A20" s="14" t="str">
        <x:v>deity_or_cult-apollon-ietros-zeys-kai-aphrodite</x:v>
      </x:c>
      <x:c r="B20" s="14" t="str">
        <x:v>deity_or_cult</x:v>
      </x:c>
      <x:c r="C20" s="16" t="str">
        <x:v>Απόλλων Ιητρός, Ζευς και Αφροδίτη</x:v>
      </x:c>
      <x:c r="D20" s="16" t="str">
        <x:v>Apollo Ietros, Zeus and Aphrodite</x:v>
      </x:c>
      <x:c r="E20" s="14"/>
      <x:c r="F20" s="14" t="str">
        <x:v>src-pleiades-216839</x:v>
      </x:c>
      <x:c r="G20" s="14" t="str">
        <x:v>reviewed</x:v>
      </x:c>
    </x:row>
    <x:row r="21" ht="30" customHeight="1">
      <x:c r="A21" s="14" t="str">
        <x:v>deity_or_cult-apollon-kai-artemis</x:v>
      </x:c>
      <x:c r="B21" s="14" t="str">
        <x:v>deity_or_cult</x:v>
      </x:c>
      <x:c r="C21" s="16" t="str">
        <x:v>Απόλλων και Άρτεμις</x:v>
      </x:c>
      <x:c r="D21" s="16" t="str">
        <x:v>Apollo and Artemis</x:v>
      </x:c>
      <x:c r="E21" s="14"/>
      <x:c r="F21" s="14" t="str">
        <x:v>src-pleiades-854812387</x:v>
      </x:c>
      <x:c r="G21" s="14" t="str">
        <x:v>reviewed</x:v>
      </x:c>
    </x:row>
    <x:row r="22" ht="30" customHeight="1">
      <x:c r="A22" s="14" t="str">
        <x:v>deity_or_cult-apollon-karneios-artemis-kai-kyrene</x:v>
      </x:c>
      <x:c r="B22" s="14" t="str">
        <x:v>deity_or_cult</x:v>
      </x:c>
      <x:c r="C22" s="16" t="str">
        <x:v>Απόλλων Καρνείος, Άρτεμις και Κυρήνη</x:v>
      </x:c>
      <x:c r="D22" s="16" t="str">
        <x:v>Apollo Karneios, Artemis and Cyrene</x:v>
      </x:c>
      <x:c r="E22" s="14"/>
      <x:c r="F22" s="14" t="str">
        <x:v>src-pleiades-464482220</x:v>
      </x:c>
      <x:c r="G22" s="14" t="str">
        <x:v>reviewed</x:v>
      </x:c>
    </x:row>
    <x:row r="23" ht="30" customHeight="1">
      <x:c r="A23" s="14" t="str">
        <x:v>deity_or_cult-apollon-klarios</x:v>
      </x:c>
      <x:c r="B23" s="14" t="str">
        <x:v>deity_or_cult</x:v>
      </x:c>
      <x:c r="C23" s="16" t="str">
        <x:v>Απόλλων Κλάριος</x:v>
      </x:c>
      <x:c r="D23" s="16" t="str">
        <x:v>Apollo Klarios</x:v>
      </x:c>
      <x:c r="E23" s="14"/>
      <x:c r="F23" s="14" t="str">
        <x:v>src-pleiades-599719</x:v>
      </x:c>
      <x:c r="G23" s="14" t="str">
        <x:v>reviewed</x:v>
      </x:c>
    </x:row>
    <x:row r="24" ht="30" customHeight="1">
      <x:c r="A24" s="14" t="str">
        <x:v>deity_or_cult-apollon-pythios</x:v>
      </x:c>
      <x:c r="B24" s="14" t="str">
        <x:v>deity_or_cult</x:v>
      </x:c>
      <x:c r="C24" s="16" t="str">
        <x:v>Απόλλων Πύθιος</x:v>
      </x:c>
      <x:c r="D24" s="16" t="str">
        <x:v>Apollo Pythios</x:v>
      </x:c>
      <x:c r="E24" s="14"/>
      <x:c r="F24" s="14" t="str">
        <x:v>src-pleiades-540726</x:v>
      </x:c>
      <x:c r="G24" s="14" t="str">
        <x:v>reviewed</x:v>
      </x:c>
    </x:row>
    <x:row r="25" ht="30" customHeight="1">
      <x:c r="A25" s="14" t="str">
        <x:v>deity_or_cult-apollon-smintheys</x:v>
      </x:c>
      <x:c r="B25" s="14" t="str">
        <x:v>deity_or_cult</x:v>
      </x:c>
      <x:c r="C25" s="16" t="str">
        <x:v>Απόλλων Σμινθεύς</x:v>
      </x:c>
      <x:c r="D25" s="16" t="str">
        <x:v>Apollo Smintheus</x:v>
      </x:c>
      <x:c r="E25" s="14"/>
      <x:c r="F25" s="14" t="str">
        <x:v>src-pleiades-550892</x:v>
      </x:c>
      <x:c r="G25" s="14" t="str">
        <x:v>reviewed</x:v>
      </x:c>
    </x:row>
    <x:row r="26" ht="30" customHeight="1">
      <x:c r="A26" s="14" t="str">
        <x:v>deity_or_cult-apollon-thermios</x:v>
      </x:c>
      <x:c r="B26" s="14" t="str">
        <x:v>deity_or_cult</x:v>
      </x:c>
      <x:c r="C26" s="16" t="str">
        <x:v>Απόλλων Θέρμιος</x:v>
      </x:c>
      <x:c r="D26" s="16" t="str">
        <x:v>Apollon Thermios</x:v>
      </x:c>
      <x:c r="E26" s="14"/>
      <x:c r="F26" s="14" t="str">
        <x:v>src-pleiades-728329645</x:v>
      </x:c>
      <x:c r="G26" s="14" t="str">
        <x:v>reviewed</x:v>
      </x:c>
    </x:row>
    <x:row r="27" ht="30" customHeight="1">
      <x:c r="A27" s="14" t="str">
        <x:v>deity_or_cult-apollon-ylates</x:v>
      </x:c>
      <x:c r="B27" s="14" t="str">
        <x:v>deity_or_cult</x:v>
      </x:c>
      <x:c r="C27" s="16" t="str">
        <x:v>Απόλλων Υλάτης</x:v>
      </x:c>
      <x:c r="D27" s="16" t="str">
        <x:v>Apollo Hylates</x:v>
      </x:c>
      <x:c r="E27" s="14"/>
      <x:c r="F27" s="14" t="str">
        <x:v>src-pleiades-707476</x:v>
      </x:c>
      <x:c r="G27" s="14" t="str">
        <x:v>reviewed</x:v>
      </x:c>
    </x:row>
    <x:row r="28" ht="30" customHeight="1">
      <x:c r="A28" s="14" t="str">
        <x:v>deity_or_cult-artemis-brayronia-kai-iphigeneia</x:v>
      </x:c>
      <x:c r="B28" s="14" t="str">
        <x:v>deity_or_cult</x:v>
      </x:c>
      <x:c r="C28" s="16" t="str">
        <x:v>Άρτεμις Βραυρωνία και Ιφιγένεια</x:v>
      </x:c>
      <x:c r="D28" s="16" t="str">
        <x:v>Artemis Brauronia and Iphigenia</x:v>
      </x:c>
      <x:c r="E28" s="14"/>
      <x:c r="F28" s="14" t="str">
        <x:v>src-pleiades-579879</x:v>
      </x:c>
      <x:c r="G28" s="14" t="str">
        <x:v>reviewed</x:v>
      </x:c>
    </x:row>
    <x:row r="29" ht="30" customHeight="1">
      <x:c r="A29" s="14" t="str">
        <x:v>deity_or_cult-artemis-elaphebolos-kai-apollon-abaios</x:v>
      </x:c>
      <x:c r="B29" s="14" t="str">
        <x:v>deity_or_cult</x:v>
      </x:c>
      <x:c r="C29" s="16" t="str">
        <x:v>Άρτεμις Ελαφηβόλος και Απόλλων Αβαίος</x:v>
      </x:c>
      <x:c r="D29" s="16" t="str">
        <x:v>Artemis Elaphebolos and Apollo Abaios</x:v>
      </x:c>
      <x:c r="E29" s="14"/>
      <x:c r="F29" s="14" t="str">
        <x:v>src-pleiades-955675680</x:v>
      </x:c>
      <x:c r="G29" s="14" t="str">
        <x:v>reviewed</x:v>
      </x:c>
    </x:row>
    <x:row r="30" ht="30" customHeight="1">
      <x:c r="A30" s="14" t="str">
        <x:v>deity_or_cult-artemis-ephesia</x:v>
      </x:c>
      <x:c r="B30" s="14" t="str">
        <x:v>deity_or_cult</x:v>
      </x:c>
      <x:c r="C30" s="16" t="str">
        <x:v>Άρτεμις Εφεσία</x:v>
      </x:c>
      <x:c r="D30" s="16" t="str">
        <x:v>Artemis Ephesia</x:v>
      </x:c>
      <x:c r="E30" s="14"/>
      <x:c r="F30" s="14" t="str">
        <x:v>src-pleiades-873985034</x:v>
      </x:c>
      <x:c r="G30" s="14" t="str">
        <x:v>reviewed</x:v>
      </x:c>
    </x:row>
    <x:row r="31" ht="30" customHeight="1">
      <x:c r="A31" s="14" t="str">
        <x:v>deity_or_cult-artemis-kai-aytokratorike-latreia</x:v>
      </x:c>
      <x:c r="B31" s="14" t="str">
        <x:v>deity_or_cult</x:v>
      </x:c>
      <x:c r="C31" s="16" t="str">
        <x:v>Άρτεμις και αυτοκρατορική λατρεία</x:v>
      </x:c>
      <x:c r="D31" s="16" t="str">
        <x:v>Artemis and Imperial Cult</x:v>
      </x:c>
      <x:c r="E31" s="14"/>
      <x:c r="F31" s="14" t="str">
        <x:v>src-pleiades-66376536</x:v>
      </x:c>
      <x:c r="G31" s="14" t="str">
        <x:v>reviewed</x:v>
      </x:c>
    </x:row>
    <x:row r="32" ht="30" customHeight="1">
      <x:c r="A32" s="14" t="str">
        <x:v>deity_or_cult-artemis-leykophryene</x:v>
      </x:c>
      <x:c r="B32" s="14" t="str">
        <x:v>deity_or_cult</x:v>
      </x:c>
      <x:c r="C32" s="16" t="str">
        <x:v>Άρτεμις Λευκοφρυηνή</x:v>
      </x:c>
      <x:c r="D32" s="16" t="str">
        <x:v>Artemis Leucophryene</x:v>
      </x:c>
      <x:c r="E32" s="14"/>
      <x:c r="F32" s="14" t="str">
        <x:v>src-pleiades-599778</x:v>
      </x:c>
      <x:c r="G32" s="14" t="str">
        <x:v>reviewed</x:v>
      </x:c>
    </x:row>
    <x:row r="33" ht="30" customHeight="1">
      <x:c r="A33" s="14" t="str">
        <x:v>deity_or_cult-asklepios-kai-telesphoros</x:v>
      </x:c>
      <x:c r="B33" s="14" t="str">
        <x:v>deity_or_cult</x:v>
      </x:c>
      <x:c r="C33" s="16" t="str">
        <x:v>Ασκληπιός και Τελεσφόρος</x:v>
      </x:c>
      <x:c r="D33" s="16" t="str">
        <x:v>Asclepius and Telesphorus</x:v>
      </x:c>
      <x:c r="E33" s="14"/>
      <x:c r="F33" s="14" t="str">
        <x:v>src-pleiades-550459</x:v>
      </x:c>
      <x:c r="G33" s="14" t="str">
        <x:v>reviewed</x:v>
      </x:c>
    </x:row>
    <x:row r="34" ht="30" customHeight="1">
      <x:c r="A34" s="14" t="str">
        <x:v>deity_or_cult-asklepios-ygeia-kai-apollon</x:v>
      </x:c>
      <x:c r="B34" s="14" t="str">
        <x:v>deity_or_cult</x:v>
      </x:c>
      <x:c r="C34" s="16" t="str">
        <x:v>Ασκληπιός, Υγεία και Απόλλων</x:v>
      </x:c>
      <x:c r="D34" s="16" t="str">
        <x:v>Asclepius, Hygeia and Apollo</x:v>
      </x:c>
      <x:c r="E34" s="14"/>
      <x:c r="F34" s="14" t="str">
        <x:v>src-pleiades-599528</x:v>
      </x:c>
      <x:c r="G34" s="14" t="str">
        <x:v>reviewed</x:v>
      </x:c>
    </x:row>
    <x:row r="35" ht="30" customHeight="1">
      <x:c r="A35" s="14" t="str">
        <x:v>deity_or_cult-asklepios-ygeia-kai-apollon-maleatas</x:v>
      </x:c>
      <x:c r="B35" s="14" t="str">
        <x:v>deity_or_cult</x:v>
      </x:c>
      <x:c r="C35" s="16" t="str">
        <x:v>Ασκληπιός, Υγεία και Απόλλων Μαλεάτας</x:v>
      </x:c>
      <x:c r="D35" s="16" t="str">
        <x:v>Asclepius, Hygieia and Apollo Maleatas</x:v>
      </x:c>
      <x:c r="E35" s="14"/>
      <x:c r="F35" s="14" t="str">
        <x:v>src-pleiades-570127</x:v>
      </x:c>
      <x:c r="G35" s="14" t="str">
        <x:v>reviewed</x:v>
      </x:c>
    </x:row>
    <x:row r="36" ht="30" customHeight="1">
      <x:c r="A36" s="14" t="str">
        <x:v>deity_or_cult-athena-alea</x:v>
      </x:c>
      <x:c r="B36" s="14" t="str">
        <x:v>deity_or_cult</x:v>
      </x:c>
      <x:c r="C36" s="16" t="str">
        <x:v>Αθηνά Αλέα</x:v>
      </x:c>
      <x:c r="D36" s="16" t="str">
        <x:v>Athena Alea</x:v>
      </x:c>
      <x:c r="E36" s="14"/>
      <x:c r="F36" s="14" t="str">
        <x:v>src-pleiades-372843530</x:v>
      </x:c>
      <x:c r="G36" s="14" t="str">
        <x:v>reviewed</x:v>
      </x:c>
    </x:row>
    <x:row r="37" ht="30" customHeight="1">
      <x:c r="A37" s="14" t="str">
        <x:v>deity_or_cult-athena-lindia</x:v>
      </x:c>
      <x:c r="B37" s="14" t="str">
        <x:v>deity_or_cult</x:v>
      </x:c>
      <x:c r="C37" s="16" t="str">
        <x:v>Αθηνά Λινδία</x:v>
      </x:c>
      <x:c r="D37" s="16" t="str">
        <x:v>Athena Lindia</x:v>
      </x:c>
      <x:c r="E37" s="14"/>
      <x:c r="F37" s="14" t="str">
        <x:v>src-pleiades-414067217</x:v>
      </x:c>
      <x:c r="G37" s="14" t="str">
        <x:v>reviewed</x:v>
      </x:c>
    </x:row>
    <x:row r="38" ht="30" customHeight="1">
      <x:c r="A38" s="14" t="str">
        <x:v>deity_or_cult-athena-polias</x:v>
      </x:c>
      <x:c r="B38" s="14" t="str">
        <x:v>deity_or_cult</x:v>
      </x:c>
      <x:c r="C38" s="16" t="str">
        <x:v>Αθηνά Πολιάς</x:v>
      </x:c>
      <x:c r="D38" s="16" t="str">
        <x:v>Athena Polias</x:v>
      </x:c>
      <x:c r="E38" s="14"/>
      <x:c r="F38" s="14" t="str">
        <x:v>src-pleiades-298577312</x:v>
      </x:c>
      <x:c r="G38" s="14" t="str">
        <x:v>reviewed</x:v>
      </x:c>
    </x:row>
    <x:row r="39" ht="30" customHeight="1">
      <x:c r="A39" s="14" t="str">
        <x:v>deity_or_cult-athena-polias-athena-parthenos-kai-erechtheas</x:v>
      </x:c>
      <x:c r="B39" s="14" t="str">
        <x:v>deity_or_cult</x:v>
      </x:c>
      <x:c r="C39" s="16" t="str">
        <x:v>Αθηνά Πολιάς, Αθηνά Παρθένος και Ερεχθέας</x:v>
      </x:c>
      <x:c r="D39" s="16" t="str">
        <x:v>Athena Polias, Athena Parthenos and Erechtheus</x:v>
      </x:c>
      <x:c r="E39" s="14"/>
      <x:c r="F39" s="14" t="str">
        <x:v>src-pleiades-638356144</x:v>
      </x:c>
      <x:c r="G39" s="14" t="str">
        <x:v>reviewed</x:v>
      </x:c>
    </x:row>
    <x:row r="40" ht="30" customHeight="1">
      <x:c r="A40" s="14" t="str">
        <x:v>deity_or_cult-athena-pronaia</x:v>
      </x:c>
      <x:c r="B40" s="14" t="str">
        <x:v>deity_or_cult</x:v>
      </x:c>
      <x:c r="C40" s="16" t="str">
        <x:v>Αθηνά Προναία</x:v>
      </x:c>
      <x:c r="D40" s="16" t="str">
        <x:v>Athena Pronaia</x:v>
      </x:c>
      <x:c r="E40" s="14"/>
      <x:c r="F40" s="14" t="str">
        <x:v>src-pleiades-513711610</x:v>
      </x:c>
      <x:c r="G40" s="14" t="str">
        <x:v>reviewed</x:v>
      </x:c>
    </x:row>
    <x:row r="41" ht="30" customHeight="1">
      <x:c r="A41" s="14" t="str">
        <x:v>deity_or_cult-demetra-kai-apollon</x:v>
      </x:c>
      <x:c r="B41" s="14" t="str">
        <x:v>deity_or_cult</x:v>
      </x:c>
      <x:c r="C41" s="16" t="str">
        <x:v>Δήμητρα και Απόλλων</x:v>
      </x:c>
      <x:c r="D41" s="16" t="str">
        <x:v>Demeter and Apollo</x:v>
      </x:c>
      <x:c r="E41" s="14"/>
      <x:c r="F41" s="14" t="str">
        <x:v>src-pleiades-599631</x:v>
      </x:c>
      <x:c r="G41" s="14" t="str">
        <x:v>reviewed</x:v>
      </x:c>
    </x:row>
    <x:row r="42" ht="30" customHeight="1">
      <x:c r="A42" s="14" t="str">
        <x:v>deity_or_cult-demetra-kai-kore-persephone</x:v>
      </x:c>
      <x:c r="B42" s="14" t="str">
        <x:v>deity_or_cult</x:v>
      </x:c>
      <x:c r="C42" s="16" t="str">
        <x:v>Δήμητρα και Κόρη/Περσεφόνη</x:v>
      </x:c>
      <x:c r="D42" s="16" t="str">
        <x:v>Demeter and Kore/Persephone</x:v>
      </x:c>
      <x:c r="E42" s="14"/>
      <x:c r="F42" s="14" t="str">
        <x:v>src-pleiades-579910</x:v>
      </x:c>
      <x:c r="G42" s="14" t="str">
        <x:v>reviewed</x:v>
      </x:c>
    </x:row>
    <x:row r="43" ht="30" customHeight="1">
      <x:c r="A43" s="14" t="str">
        <x:v>deity_or_cult-demetra-malophoros</x:v>
      </x:c>
      <x:c r="B43" s="14" t="str">
        <x:v>deity_or_cult</x:v>
      </x:c>
      <x:c r="C43" s="16" t="str">
        <x:v>Δήμητρα Μαλοφόρος</x:v>
      </x:c>
      <x:c r="D43" s="16" t="str">
        <x:v>Demeter Malophoros</x:v>
      </x:c>
      <x:c r="E43" s="14"/>
      <x:c r="F43" s="14" t="str">
        <x:v>src-pleiades-502577471</x:v>
      </x:c>
      <x:c r="G43" s="14" t="str">
        <x:v>reviewed</x:v>
      </x:c>
    </x:row>
    <x:row r="44" ht="30" customHeight="1">
      <x:c r="A44" s="14" t="str">
        <x:v>deity_or_cult-dias-naios-kai-dione</x:v>
      </x:c>
      <x:c r="B44" s="14" t="str">
        <x:v>deity_or_cult</x:v>
      </x:c>
      <x:c r="C44" s="16" t="str">
        <x:v>Δίας Νάιος και Διώνη</x:v>
      </x:c>
      <x:c r="D44" s="16" t="str">
        <x:v>Zeus Naios and Dione</x:v>
      </x:c>
      <x:c r="E44" s="14"/>
      <x:c r="F44" s="14" t="str">
        <x:v>src-pleiades-530843</x:v>
      </x:c>
      <x:c r="G44" s="14" t="str">
        <x:v>reviewed</x:v>
      </x:c>
    </x:row>
    <x:row r="45" ht="30" customHeight="1">
      <x:c r="A45" s="14" t="str">
        <x:v>deity_or_cult-dias-olympios-kai-era</x:v>
      </x:c>
      <x:c r="B45" s="14" t="str">
        <x:v>deity_or_cult</x:v>
      </x:c>
      <x:c r="C45" s="16" t="str">
        <x:v>Δίας Ολύμπιος και Ήρα</x:v>
      </x:c>
      <x:c r="D45" s="16" t="str">
        <x:v>Olympian Zeus and Hera</x:v>
      </x:c>
      <x:c r="E45" s="14"/>
      <x:c r="F45" s="14" t="str">
        <x:v>src-pleiades-570531</x:v>
      </x:c>
      <x:c r="G45" s="14" t="str">
        <x:v>reviewed</x:v>
      </x:c>
    </x:row>
    <x:row r="46" ht="30" customHeight="1">
      <x:c r="A46" s="14" t="str">
        <x:v>deity_or_cult-dionysos</x:v>
      </x:c>
      <x:c r="B46" s="14" t="str">
        <x:v>deity_or_cult</x:v>
      </x:c>
      <x:c r="C46" s="16" t="str">
        <x:v>Διόνυσος</x:v>
      </x:c>
      <x:c r="D46" s="16" t="str">
        <x:v>Dionysus</x:v>
      </x:c>
      <x:c r="E46" s="14"/>
      <x:c r="F46" s="14" t="str">
        <x:v>src-pleiades-599661</x:v>
      </x:c>
      <x:c r="G46" s="14" t="str">
        <x:v>reviewed</x:v>
      </x:c>
    </x:row>
    <x:row r="47" ht="30" customHeight="1">
      <x:c r="A47" s="14" t="str">
        <x:v>deity_or_cult-ekate</x:v>
      </x:c>
      <x:c r="B47" s="14" t="str">
        <x:v>deity_or_cult</x:v>
      </x:c>
      <x:c r="C47" s="16" t="str">
        <x:v>Εκάτη</x:v>
      </x:c>
      <x:c r="D47" s="16" t="str">
        <x:v>Hecate</x:v>
      </x:c>
      <x:c r="E47" s="14"/>
      <x:c r="F47" s="14" t="str">
        <x:v>src-pleiades-376215160</x:v>
      </x:c>
      <x:c r="G47" s="14" t="str">
        <x:v>reviewed</x:v>
      </x:c>
    </x:row>
    <x:row r="48" ht="30" customHeight="1">
      <x:c r="A48" s="14" t="str">
        <x:v>deity_or_cult-elene-kai-menelaos</x:v>
      </x:c>
      <x:c r="B48" s="14" t="str">
        <x:v>deity_or_cult</x:v>
      </x:c>
      <x:c r="C48" s="16" t="str">
        <x:v>Ελένη και Μενέλαος</x:v>
      </x:c>
      <x:c r="D48" s="16" t="str">
        <x:v>Helen and Menelaus</x:v>
      </x:c>
      <x:c r="E48" s="14"/>
      <x:c r="F48" s="14" t="str">
        <x:v>src-pleiades-570477</x:v>
      </x:c>
      <x:c r="G48" s="14" t="str">
        <x:v>reviewed</x:v>
      </x:c>
    </x:row>
    <x:row r="49" ht="30" customHeight="1">
      <x:c r="A49" s="14" t="str">
        <x:v>deity_or_cult-era</x:v>
      </x:c>
      <x:c r="B49" s="14" t="str">
        <x:v>deity_or_cult</x:v>
      </x:c>
      <x:c r="C49" s="16" t="str">
        <x:v>Ήρα</x:v>
      </x:c>
      <x:c r="D49" s="16" t="str">
        <x:v>Hera</x:v>
      </x:c>
      <x:c r="E49" s="14"/>
      <x:c r="F49" s="14" t="str">
        <x:v>src-pleiades-442611</x:v>
      </x:c>
      <x:c r="G49" s="14" t="str">
        <x:v>reviewed</x:v>
      </x:c>
    </x:row>
    <x:row r="50" ht="30" customHeight="1">
      <x:c r="A50" s="14" t="str">
        <x:v>deity_or_cult-era-akraia-kai-era-limenia</x:v>
      </x:c>
      <x:c r="B50" s="14" t="str">
        <x:v>deity_or_cult</x:v>
      </x:c>
      <x:c r="C50" s="16" t="str">
        <x:v>Ήρα Ακραία και Ήρα Λιμενία</x:v>
      </x:c>
      <x:c r="D50" s="16" t="str">
        <x:v>Hera Akraia and Hera Limenia</x:v>
      </x:c>
      <x:c r="E50" s="14"/>
      <x:c r="F50" s="14" t="str">
        <x:v>src-pleiades-570288</x:v>
      </x:c>
      <x:c r="G50" s="14" t="str">
        <x:v>reviewed</x:v>
      </x:c>
    </x:row>
    <x:row r="51" ht="30" customHeight="1">
      <x:c r="A51" s="14" t="str">
        <x:v>deity_or_cult-era-argeia</x:v>
      </x:c>
      <x:c r="B51" s="14" t="str">
        <x:v>deity_or_cult</x:v>
      </x:c>
      <x:c r="C51" s="16" t="str">
        <x:v>Ήρα Αργεία</x:v>
      </x:c>
      <x:c r="D51" s="16" t="str">
        <x:v>Argive Hera</x:v>
      </x:c>
      <x:c r="E51" s="14"/>
      <x:c r="F51" s="14" t="str">
        <x:v>src-pleiades-570289</x:v>
      </x:c>
      <x:c r="G51" s="14" t="str">
        <x:v>reviewed</x:v>
      </x:c>
    </x:row>
    <x:row r="52" ht="30" customHeight="1">
      <x:c r="A52" s="14" t="str">
        <x:v>deity_or_cult-era-lakinia</x:v>
      </x:c>
      <x:c r="B52" s="14" t="str">
        <x:v>deity_or_cult</x:v>
      </x:c>
      <x:c r="C52" s="16" t="str">
        <x:v>Ήρα Λακινία</x:v>
      </x:c>
      <x:c r="D52" s="16" t="str">
        <x:v>Hera Lacinia</x:v>
      </x:c>
      <x:c r="E52" s="14"/>
      <x:c r="F52" s="14" t="str">
        <x:v>src-pleiades-452332</x:v>
      </x:c>
      <x:c r="G52" s="14" t="str">
        <x:v>reviewed</x:v>
      </x:c>
    </x:row>
    <x:row r="53" ht="30" customHeight="1">
      <x:c r="A53" s="14" t="str">
        <x:v>deity_or_cult-era-samia</x:v>
      </x:c>
      <x:c r="B53" s="14" t="str">
        <x:v>deity_or_cult</x:v>
      </x:c>
      <x:c r="C53" s="16" t="str">
        <x:v>Ήρα Σαμία</x:v>
      </x:c>
      <x:c r="D53" s="16" t="str">
        <x:v>Samian Hera</x:v>
      </x:c>
      <x:c r="E53" s="14"/>
      <x:c r="F53" s="14" t="str">
        <x:v>src-pleiades-599641</x:v>
      </x:c>
      <x:c r="G53" s="14" t="str">
        <x:v>reviewed</x:v>
      </x:c>
    </x:row>
    <x:row r="54" ht="30" customHeight="1">
      <x:c r="A54" s="14" t="str">
        <x:v>deity_or_cult-kabeiroi-kai-ephaistos</x:v>
      </x:c>
      <x:c r="B54" s="14" t="str">
        <x:v>deity_or_cult</x:v>
      </x:c>
      <x:c r="C54" s="16" t="str">
        <x:v>Κάβειροι και Ήφαιστος</x:v>
      </x:c>
      <x:c r="D54" s="16" t="str">
        <x:v>Kabeiroi and Hephaistos</x:v>
      </x:c>
      <x:c r="E54" s="14"/>
      <x:c r="F54" s="14" t="str">
        <x:v>src-pleiades-550604</x:v>
      </x:c>
      <x:c r="G54" s="14" t="str">
        <x:v>reviewed</x:v>
      </x:c>
    </x:row>
    <x:row r="55" ht="30" customHeight="1">
      <x:c r="A55" s="14" t="str">
        <x:v>deity_or_cult-koino-iero-ton-ellenikon-poleon</x:v>
      </x:c>
      <x:c r="B55" s="14" t="str">
        <x:v>deity_or_cult</x:v>
      </x:c>
      <x:c r="C55" s="16" t="str">
        <x:v>Κοινό ιερό των ελληνικών πόλεων</x:v>
      </x:c>
      <x:c r="D55" s="16" t="str">
        <x:v>Common sanctuary of Greek cities</x:v>
      </x:c>
      <x:c r="E55" s="14"/>
      <x:c r="F55" s="14" t="str">
        <x:v>src-britishmuseum-4626abd5cbdd</x:v>
      </x:c>
      <x:c r="G55" s="14" t="str">
        <x:v>reviewed</x:v>
      </x:c>
    </x:row>
    <x:row r="56" ht="30" customHeight="1">
      <x:c r="A56" s="14" t="str">
        <x:v>deity_or_cult-leto-apollon-kai-artemis</x:v>
      </x:c>
      <x:c r="B56" s="14" t="str">
        <x:v>deity_or_cult</x:v>
      </x:c>
      <x:c r="C56" s="16" t="str">
        <x:v>Λητώ, Απόλλων και Άρτεμις</x:v>
      </x:c>
      <x:c r="D56" s="16" t="str">
        <x:v>Leto, Apollo and Artemis</x:v>
      </x:c>
      <x:c r="E56" s="14"/>
      <x:c r="F56" s="14" t="str">
        <x:v>src-pleiades-638958</x:v>
      </x:c>
      <x:c r="G56" s="14" t="str">
        <x:v>reviewed</x:v>
      </x:c>
    </x:row>
    <x:row r="57" ht="30" customHeight="1">
      <x:c r="A57" s="14" t="str">
        <x:v>deity_or_cult-megaloi-theoi-kabeiroi</x:v>
      </x:c>
      <x:c r="B57" s="14" t="str">
        <x:v>deity_or_cult</x:v>
      </x:c>
      <x:c r="C57" s="16" t="str">
        <x:v>Μεγάλοι Θεοί/Κάβειροι</x:v>
      </x:c>
      <x:c r="D57" s="16" t="str">
        <x:v>Great Gods/Kabeiroi</x:v>
      </x:c>
      <x:c r="E57" s="14"/>
      <x:c r="F57" s="14" t="str">
        <x:v>src-pleiades-501511</x:v>
      </x:c>
      <x:c r="G57" s="14" t="str">
        <x:v>reviewed</x:v>
      </x:c>
    </x:row>
    <x:row r="58" ht="30" customHeight="1">
      <x:c r="A58" s="14" t="str">
        <x:v>deity_or_cult-minoike-theoteta-koryphes</x:v>
      </x:c>
      <x:c r="B58" s="14" t="str">
        <x:v>deity_or_cult</x:v>
      </x:c>
      <x:c r="C58" s="16" t="str">
        <x:v>Μινωική θεότητα κορυφής</x:v>
      </x:c>
      <x:c r="D58" s="16" t="str">
        <x:v>Minoan peak deity</x:v>
      </x:c>
      <x:c r="E58" s="14"/>
      <x:c r="F58" s="14" t="str">
        <x:v>src-pleiades-559217802</x:v>
      </x:c>
      <x:c r="G58" s="14" t="str">
        <x:v>reviewed</x:v>
      </x:c>
    </x:row>
    <x:row r="59" ht="30" customHeight="1">
      <x:c r="A59" s="14" t="str">
        <x:v>deity_or_cult-parthenos</x:v>
      </x:c>
      <x:c r="B59" s="14" t="str">
        <x:v>deity_or_cult</x:v>
      </x:c>
      <x:c r="C59" s="16" t="str">
        <x:v>Παρθένος</x:v>
      </x:c>
      <x:c r="D59" s="16" t="str">
        <x:v>Parthenos</x:v>
      </x:c>
      <x:c r="E59" s="14"/>
      <x:c r="F59" s="14" t="str">
        <x:v>src-whc-329a28f5c851</x:v>
      </x:c>
      <x:c r="G59" s="14" t="str">
        <x:v>reviewed</x:v>
      </x:c>
    </x:row>
    <x:row r="60" ht="30" customHeight="1">
      <x:c r="A60" s="14" t="str">
        <x:v>deity_or_cult-persephone-kai-ades</x:v>
      </x:c>
      <x:c r="B60" s="14" t="str">
        <x:v>deity_or_cult</x:v>
      </x:c>
      <x:c r="C60" s="16" t="str">
        <x:v>Περσεφόνη και Άδης</x:v>
      </x:c>
      <x:c r="D60" s="16" t="str">
        <x:v>Persephone and Hades</x:v>
      </x:c>
      <x:c r="E60" s="14"/>
      <x:c r="F60" s="14" t="str">
        <x:v>src-museoarcheologicoreggiocalabria-a34e7a2bfa16</x:v>
      </x:c>
      <x:c r="G60" s="14" t="str">
        <x:v>reviewed</x:v>
      </x:c>
    </x:row>
    <x:row r="61" ht="30" customHeight="1">
      <x:c r="A61" s="14" t="str">
        <x:v>deity_or_cult-ployton-kai-kore</x:v>
      </x:c>
      <x:c r="B61" s="14" t="str">
        <x:v>deity_or_cult</x:v>
      </x:c>
      <x:c r="C61" s="16" t="str">
        <x:v>Πλούτων και Κόρη</x:v>
      </x:c>
      <x:c r="D61" s="16" t="str">
        <x:v>Plouton and Kore</x:v>
      </x:c>
      <x:c r="E61" s="14"/>
      <x:c r="F61" s="14" t="str">
        <x:v>src-pleiades-232079424</x:v>
      </x:c>
      <x:c r="G61" s="14" t="str">
        <x:v>reviewed</x:v>
      </x:c>
    </x:row>
    <x:row r="62" ht="30" customHeight="1">
      <x:c r="A62" s="14" t="str">
        <x:v>deity_or_cult-poseidon-elikonios</x:v>
      </x:c>
      <x:c r="B62" s="14" t="str">
        <x:v>deity_or_cult</x:v>
      </x:c>
      <x:c r="C62" s="16" t="str">
        <x:v>Ποσειδών Ελικώνιος</x:v>
      </x:c>
      <x:c r="D62" s="16" t="str">
        <x:v>Poseidon Helikonius</x:v>
      </x:c>
      <x:c r="E62" s="14"/>
      <x:c r="F62" s="14" t="str">
        <x:v>src-pleiades-599855</x:v>
      </x:c>
      <x:c r="G62" s="14" t="str">
        <x:v>reviewed</x:v>
      </x:c>
    </x:row>
    <x:row r="63" ht="30" customHeight="1">
      <x:c r="A63" s="14" t="str">
        <x:v>deity_or_cult-poseidon-iatros-kai-amphitrite</x:v>
      </x:c>
      <x:c r="B63" s="14" t="str">
        <x:v>deity_or_cult</x:v>
      </x:c>
      <x:c r="C63" s="16" t="str">
        <x:v>Ποσειδών Ιατρός και Αμφιτρίτη</x:v>
      </x:c>
      <x:c r="D63" s="16" t="str">
        <x:v>Poseidon Iatros and Amphitrite</x:v>
      </x:c>
      <x:c r="E63" s="14"/>
      <x:c r="F63" s="14" t="str">
        <x:v>src-pleiades-590006</x:v>
      </x:c>
      <x:c r="G63" s="14" t="str">
        <x:v>reviewed</x:v>
      </x:c>
    </x:row>
    <x:row r="64" ht="30" customHeight="1">
      <x:c r="A64" s="14" t="str">
        <x:v>deity_or_cult-poseidon-kai-palaimon</x:v>
      </x:c>
      <x:c r="B64" s="14" t="str">
        <x:v>deity_or_cult</x:v>
      </x:c>
      <x:c r="C64" s="16" t="str">
        <x:v>Ποσειδών και Παλαίμων</x:v>
      </x:c>
      <x:c r="D64" s="16" t="str">
        <x:v>Poseidon and Palaimon</x:v>
      </x:c>
      <x:c r="E64" s="14"/>
      <x:c r="F64" s="14" t="str">
        <x:v>src-pleiades-570316</x:v>
      </x:c>
      <x:c r="G64" s="14" t="str">
        <x:v>reviewed</x:v>
      </x:c>
    </x:row>
    <x:row r="65" ht="30" customHeight="1">
      <x:c r="A65" s="14" t="str">
        <x:v>deity_or_cult-poseidon-soynios</x:v>
      </x:c>
      <x:c r="B65" s="14" t="str">
        <x:v>deity_or_cult</x:v>
      </x:c>
      <x:c r="C65" s="16" t="str">
        <x:v>Ποσειδών Σούνιος</x:v>
      </x:c>
      <x:c r="D65" s="16" t="str">
        <x:v>Poseidon Sounios</x:v>
      </x:c>
      <x:c r="E65" s="14"/>
      <x:c r="F65" s="14" t="str">
        <x:v>src-pleiades-580086</x:v>
      </x:c>
      <x:c r="G65" s="14" t="str">
        <x:v>reviewed</x:v>
      </x:c>
    </x:row>
    <x:row r="66" ht="30" customHeight="1">
      <x:c r="A66" s="14" t="str">
        <x:v>deity_or_cult-sarapis-isis-kai-arpokrates</x:v>
      </x:c>
      <x:c r="B66" s="14" t="str">
        <x:v>deity_or_cult</x:v>
      </x:c>
      <x:c r="C66" s="16" t="str">
        <x:v>Σάραπις, Ίσις και Αρποκράτης</x:v>
      </x:c>
      <x:c r="D66" s="16" t="str">
        <x:v>Sarapis, Isis and Harpocrates</x:v>
      </x:c>
      <x:c r="E66" s="14"/>
      <x:c r="F66" s="14" t="str">
        <x:v>src-pleiades-182618516</x:v>
      </x:c>
      <x:c r="G66" s="14" t="str">
        <x:v>reviewed</x:v>
      </x:c>
    </x:row>
    <x:row r="67" ht="30" customHeight="1">
      <x:c r="A67" s="14" t="str">
        <x:v>deity_or_cult-zeys-atabyrios</x:v>
      </x:c>
      <x:c r="B67" s="14" t="str">
        <x:v>deity_or_cult</x:v>
      </x:c>
      <x:c r="C67" s="16" t="str">
        <x:v>Ζευς Αταβύριος</x:v>
      </x:c>
      <x:c r="D67" s="16" t="str">
        <x:v>Zeus Atabyrios</x:v>
      </x:c>
      <x:c r="E67" s="14"/>
      <x:c r="F67" s="14" t="str">
        <x:v>src-pleiades-590099</x:v>
      </x:c>
      <x:c r="G67" s="14" t="str">
        <x:v>reviewed</x:v>
      </x:c>
    </x:row>
    <x:row r="68" ht="30" customHeight="1">
      <x:c r="A68" s="14" t="str">
        <x:v>deity_or_cult-zeys-idaios-kai-rea</x:v>
      </x:c>
      <x:c r="B68" s="14" t="str">
        <x:v>deity_or_cult</x:v>
      </x:c>
      <x:c r="C68" s="16" t="str">
        <x:v>Ζευς Ιδαίος και Ρέα</x:v>
      </x:c>
      <x:c r="D68" s="16" t="str">
        <x:v>Zeus Idaeus and Rhea</x:v>
      </x:c>
      <x:c r="E68" s="14"/>
      <x:c r="F68" s="14" t="str">
        <x:v>src-pleiades-589817</x:v>
      </x:c>
      <x:c r="G68" s="14" t="str">
        <x:v>reviewed</x:v>
      </x:c>
    </x:row>
    <x:row r="69" ht="30" customHeight="1">
      <x:c r="A69" s="14" t="str">
        <x:v>deity_or_cult-zeys-labrandeys</x:v>
      </x:c>
      <x:c r="B69" s="14" t="str">
        <x:v>deity_or_cult</x:v>
      </x:c>
      <x:c r="C69" s="16" t="str">
        <x:v>Ζευς Λαβρανδεύς</x:v>
      </x:c>
      <x:c r="D69" s="16" t="str">
        <x:v>Zeus Labrandeus</x:v>
      </x:c>
      <x:c r="E69" s="14"/>
      <x:c r="F69" s="14" t="str">
        <x:v>src-pleiades-599745</x:v>
      </x:c>
      <x:c r="G69" s="14" t="str">
        <x:v>reviewed</x:v>
      </x:c>
    </x:row>
    <x:row r="70" ht="30" customHeight="1">
      <x:c r="A70" s="14" t="str">
        <x:v>deity_or_cult-zeys-lykaios</x:v>
      </x:c>
      <x:c r="B70" s="14" t="str">
        <x:v>deity_or_cult</x:v>
      </x:c>
      <x:c r="C70" s="16" t="str">
        <x:v>Ζευς Λύκαιος</x:v>
      </x:c>
      <x:c r="D70" s="16" t="str">
        <x:v>Zeus Lycaeus</x:v>
      </x:c>
      <x:c r="E70" s="14"/>
      <x:c r="F70" s="14" t="str">
        <x:v>src-pleiades-570764</x:v>
      </x:c>
      <x:c r="G70" s="14" t="str">
        <x:v>reviewed</x:v>
      </x:c>
    </x:row>
    <x:row r="71" ht="30" customHeight="1">
      <x:c r="A71" s="14" t="str">
        <x:v>deity_or_cult-zeys-nemeios</x:v>
      </x:c>
      <x:c r="B71" s="14" t="str">
        <x:v>deity_or_cult</x:v>
      </x:c>
      <x:c r="C71" s="16" t="str">
        <x:v>Ζευς Νέμειος</x:v>
      </x:c>
      <x:c r="D71" s="16" t="str">
        <x:v>Nemean Zeus</x:v>
      </x:c>
      <x:c r="E71" s="14"/>
      <x:c r="F71" s="14" t="str">
        <x:v>src-pleiades-570504</x:v>
      </x:c>
      <x:c r="G71" s="14" t="str">
        <x:v>reviewed</x:v>
      </x:c>
    </x:row>
    <x:row r="72" ht="30" customHeight="1">
      <x:c r="A72" s="14" t="str">
        <x:v>deity_or_cult-zeys-olympios</x:v>
      </x:c>
      <x:c r="B72" s="14" t="str">
        <x:v>deity_or_cult</x:v>
      </x:c>
      <x:c r="C72" s="16" t="str">
        <x:v>Ζευς Ολύμπιος</x:v>
      </x:c>
      <x:c r="D72" s="16" t="str">
        <x:v>Olympian Zeus</x:v>
      </x:c>
      <x:c r="E72" s="14"/>
      <x:c r="F72" s="14" t="str">
        <x:v>src-pleiades-103565779</x:v>
      </x:c>
      <x:c r="G72" s="14" t="str">
        <x:v>reviewed</x:v>
      </x:c>
    </x:row>
    <x:row r="73" ht="30" customHeight="1">
      <x:c r="A73" s="14" t="str">
        <x:v>dynasty-agathokles-kai-oikogeneia</x:v>
      </x:c>
      <x:c r="B73" s="14" t="str">
        <x:v>dynasty</x:v>
      </x:c>
      <x:c r="C73" s="16" t="str">
        <x:v>Αγαθοκλής και οικογένεια</x:v>
      </x:c>
      <x:c r="D73" s="16" t="str">
        <x:v>Agathocles and his family</x:v>
      </x:c>
      <x:c r="E73" s="14"/>
      <x:c r="F73" s="14" t="str">
        <x:v>src-britishmuseum-073d3f0a8ae4</x:v>
      </x:c>
      <x:c r="G73" s="14" t="str">
        <x:v>reviewed</x:v>
      </x:c>
    </x:row>
    <x:row r="74" ht="30" customHeight="1">
      <x:c r="A74" s="14" t="str">
        <x:v>dynasty-agnoste-mykenaike-dioiketike-elit</x:v>
      </x:c>
      <x:c r="B74" s="14" t="str">
        <x:v>dynasty</x:v>
      </x:c>
      <x:c r="C74" s="16" t="str">
        <x:v>Άγνωστη μυκηναϊκή διοικητική ελίτ</x:v>
      </x:c>
      <x:c r="D74" s="16" t="str">
        <x:v>Unknown Mycenaean administrative elite</x:v>
      </x:c>
      <x:c r="E74" s="14"/>
      <x:c r="F74" s="14" t="str">
        <x:v>src-odysseus-9e3ae0cba911</x:v>
      </x:c>
      <x:c r="G74" s="14" t="str">
        <x:v>reviewed</x:v>
      </x:c>
    </x:row>
    <x:row r="75" ht="30" customHeight="1">
      <x:c r="A75" s="14" t="str">
        <x:v>dynasty-agnoste-oi-aiolides-anekoyn-ste-mythike-paradose</x:v>
      </x:c>
      <x:c r="B75" s="14" t="str">
        <x:v>dynasty</x:v>
      </x:c>
      <x:c r="C75" s="16" t="str">
        <x:v>Άγνωστη· οι Αιολίδες ανήκουν στη μυθική παράδοση</x:v>
      </x:c>
      <x:c r="D75" s="16" t="str">
        <x:v>Unknown; the Aeolians belong to the mythic tradition</x:v>
      </x:c>
      <x:c r="E75" s="14"/>
      <x:c r="F75" s="14" t="str">
        <x:v>src-odysseus-589898851f92</x:v>
      </x:c>
      <x:c r="G75" s="14" t="str">
        <x:v>reviewed</x:v>
      </x:c>
    </x:row>
    <x:row r="76" ht="30" customHeight="1">
      <x:c r="A76" s="14" t="str">
        <x:v>dynasty-agnoste-oi-atreides-anekoyn-ste-mythike-paradose</x:v>
      </x:c>
      <x:c r="B76" s="14" t="str">
        <x:v>dynasty</x:v>
      </x:c>
      <x:c r="C76" s="16" t="str">
        <x:v>Άγνωστη· οι Ατρείδες ανήκουν στη μυθική παράδοση</x:v>
      </x:c>
      <x:c r="D76" s="16" t="str">
        <x:v>Unknown; the Atreides belong to the mythic tradition</x:v>
      </x:c>
      <x:c r="E76" s="14"/>
      <x:c r="F76" s="14" t="str">
        <x:v>src-whc-6306f630553d</x:v>
      </x:c>
      <x:c r="G76" s="14" t="str">
        <x:v>reviewed</x:v>
      </x:c>
    </x:row>
    <x:row r="77" ht="30" customHeight="1">
      <x:c r="A77" s="14" t="str">
        <x:v>dynasty-agnoste-oi-erechtheides-anekoyn-ste-mythike-paradose</x:v>
      </x:c>
      <x:c r="B77" s="14" t="str">
        <x:v>dynasty</x:v>
      </x:c>
      <x:c r="C77" s="16" t="str">
        <x:v>Άγνωστη· οι Ερεχθείδες ανήκουν στη μυθική παράδοση</x:v>
      </x:c>
      <x:c r="D77" s="16" t="str">
        <x:v>Unknown; the Erechtheids belong to mythic tradition</x:v>
      </x:c>
      <x:c r="E77" s="14"/>
      <x:c r="F77" s="14" t="str">
        <x:v>src-whc-228f1be9c035</x:v>
      </x:c>
      <x:c r="G77" s="14" t="str">
        <x:v>reviewed</x:v>
      </x:c>
    </x:row>
    <x:row r="78" ht="30" customHeight="1">
      <x:c r="A78" s="14" t="str">
        <x:v>dynasty-agnoste-oi-labdakides-anekoyn-ste-mythike-paradose</x:v>
      </x:c>
      <x:c r="B78" s="14" t="str">
        <x:v>dynasty</x:v>
      </x:c>
      <x:c r="C78" s="16" t="str">
        <x:v>Άγνωστη· οι Λαβδακίδες ανήκουν στη μυθική παράδοση</x:v>
      </x:c>
      <x:c r="D78" s="16" t="str">
        <x:v>Unknown; the Labdacids belong to mythic tradition</x:v>
      </x:c>
      <x:c r="E78" s="14"/>
      <x:c r="F78" s="14" t="str">
        <x:v>src-mthv-715d665b63b5</x:v>
      </x:c>
      <x:c r="G78" s="14" t="str">
        <x:v>reviewed</x:v>
      </x:c>
    </x:row>
    <x:row r="79" ht="30" customHeight="1">
      <x:c r="A79" s="14" t="str">
        <x:v>dynasty-agnoste-oi-minyes-anekoyn-kyrios-ste-mythike-paradose</x:v>
      </x:c>
      <x:c r="B79" s="14" t="str">
        <x:v>dynasty</x:v>
      </x:c>
      <x:c r="C79" s="16" t="str">
        <x:v>Άγνωστη· οι Μινύες ανήκουν κυρίως στη μυθική παράδοση</x:v>
      </x:c>
      <x:c r="D79" s="16" t="str">
        <x:v>Unknown; the Minyas belong mainly to the mythic tradition</x:v>
      </x:c>
      <x:c r="E79" s="14"/>
      <x:c r="F79" s="14" t="str">
        <x:v>src-mthv-715d665b63b5</x:v>
      </x:c>
      <x:c r="G79" s="14" t="str">
        <x:v>reviewed</x:v>
      </x:c>
    </x:row>
    <x:row r="80" ht="30" customHeight="1">
      <x:c r="A80" s="14" t="str">
        <x:v>dynasty-agnoste-oi-neleides-anekoyn-ste-mythike-paradose</x:v>
      </x:c>
      <x:c r="B80" s="14" t="str">
        <x:v>dynasty</x:v>
      </x:c>
      <x:c r="C80" s="16" t="str">
        <x:v>Άγνωστη· οι Νηλείδες ανήκουν στη μυθική παράδοση</x:v>
      </x:c>
      <x:c r="D80" s="16" t="str">
        <x:v>Unknown; the Neleids belong to mythic tradition</x:v>
      </x:c>
      <x:c r="E80" s="14"/>
      <x:c r="F80" s="14" t="str">
        <x:v>src-odysseus-00e2d87ae4a8</x:v>
      </x:c>
      <x:c r="G80" s="14" t="str">
        <x:v>reviewed</x:v>
      </x:c>
    </x:row>
    <x:row r="81" ht="30" customHeight="1">
      <x:c r="A81" s="14" t="str">
        <x:v>dynasty-agnoste-oi-proitides-anekoyn-ste-mythike-paradose</x:v>
      </x:c>
      <x:c r="B81" s="14" t="str">
        <x:v>dynasty</x:v>
      </x:c>
      <x:c r="C81" s="16" t="str">
        <x:v>Άγνωστη· οι Προιτίδες ανήκουν στη μυθική παράδοση</x:v>
      </x:c>
      <x:c r="D81" s="16" t="str">
        <x:v>Unknown; the Proitides belong to the mythic tradition</x:v>
      </x:c>
      <x:c r="E81" s="14"/>
      <x:c r="F81" s="14" t="str">
        <x:v>src-whc-6306f630553d</x:v>
      </x:c>
      <x:c r="G81" s="14" t="str">
        <x:v>reviewed</x:v>
      </x:c>
    </x:row>
    <x:row r="82" ht="30" customHeight="1">
      <x:c r="A82" s="14" t="str">
        <x:v>dynasty-aiakides</x:v>
      </x:c>
      <x:c r="B82" s="14" t="str">
        <x:v>dynasty</x:v>
      </x:c>
      <x:c r="C82" s="16" t="str">
        <x:v>Αιακίδες</x:v>
      </x:c>
      <x:c r="D82" s="16" t="str">
        <x:v>Aeacids</x:v>
      </x:c>
      <x:c r="E82" s="14"/>
      <x:c r="F82" s="14" t="str">
        <x:v>src-cambridge-96106a304cc6</x:v>
      </x:c>
      <x:c r="G82" s="14" t="str">
        <x:v>reviewed</x:v>
      </x:c>
    </x:row>
    <x:row r="83" ht="30" customHeight="1">
      <x:c r="A83" s="14" t="str">
        <x:v>dynasty-antigonides</x:v>
      </x:c>
      <x:c r="B83" s="14" t="str">
        <x:v>dynasty</x:v>
      </x:c>
      <x:c r="C83" s="16" t="str">
        <x:v>Αντιγονίδες</x:v>
      </x:c>
      <x:c r="D83" s="16" t="str">
        <x:v>Antigonids</x:v>
      </x:c>
      <x:c r="E83" s="14"/>
      <x:c r="F83" s="14" t="str">
        <x:v>src-metmuseum-50fe20dc493f</x:v>
      </x:c>
      <x:c r="G83" s="14" t="str">
        <x:v>reviewed</x:v>
      </x:c>
    </x:row>
    <x:row r="84" ht="30" customHeight="1">
      <x:c r="A84" s="14" t="str">
        <x:v>dynasty-antipatrides-kassandrides</x:v>
      </x:c>
      <x:c r="B84" s="14" t="str">
        <x:v>dynasty</x:v>
      </x:c>
      <x:c r="C84" s="16" t="str">
        <x:v>Αντιπατρίδες / Κασσανδρίδες</x:v>
      </x:c>
      <x:c r="D84" s="16" t="str">
        <x:v>Antipatrids / Kassandrids</x:v>
      </x:c>
      <x:c r="E84" s="14"/>
      <x:c r="F84" s="14" t="str">
        <x:v>src-metmuseum-50fe20dc493f</x:v>
      </x:c>
      <x:c r="G84" s="14" t="str">
        <x:v>reviewed</x:v>
      </x:c>
    </x:row>
    <x:row r="85" ht="30" customHeight="1">
      <x:c r="A85" s="14" t="str">
        <x:v>dynasty-archaianaktides</x:v>
      </x:c>
      <x:c r="B85" s="14" t="str">
        <x:v>dynasty</x:v>
      </x:c>
      <x:c r="C85" s="16" t="str">
        <x:v>Αρχαιανακτίδες</x:v>
      </x:c>
      <x:c r="D85" s="16" t="str">
        <x:v>Archaeanactids</x:v>
      </x:c>
      <x:c r="E85" s="14"/>
      <x:c r="F85" s="14" t="str">
        <x:v>src-iranicaonline-4a607235e191</x:v>
      </x:c>
      <x:c r="G85" s="14" t="str">
        <x:v>reviewed</x:v>
      </x:c>
    </x:row>
    <x:row r="86" ht="30" customHeight="1">
      <x:c r="A86" s="14" t="str">
        <x:v>dynasty-argeades</x:v>
      </x:c>
      <x:c r="B86" s="14" t="str">
        <x:v>dynasty</x:v>
      </x:c>
      <x:c r="C86" s="16" t="str">
        <x:v>Αργεάδες</x:v>
      </x:c>
      <x:c r="D86" s="16" t="str">
        <x:v>Argeads</x:v>
      </x:c>
      <x:c r="E86" s="14"/>
      <x:c r="F86" s="14" t="str">
        <x:v>src-metmuseum-89019924e8c3</x:v>
      </x:c>
      <x:c r="G86" s="14" t="str">
        <x:v>reviewed</x:v>
      </x:c>
    </x:row>
    <x:row r="87" ht="30" customHeight="1">
      <x:c r="A87" s="14" t="str">
        <x:v>dynasty-argeades-temenides</x:v>
      </x:c>
      <x:c r="B87" s="14" t="str">
        <x:v>dynasty</x:v>
      </x:c>
      <x:c r="C87" s="16" t="str">
        <x:v>Αργεάδες / Τημενίδες</x:v>
      </x:c>
      <x:c r="D87" s="16" t="str">
        <x:v>Argeads / Temenids</x:v>
      </x:c>
      <x:c r="E87" s="14"/>
      <x:c r="F87" s="14" t="str">
        <x:v>src-whc-fd006971700c</x:v>
      </x:c>
      <x:c r="G87" s="14" t="str">
        <x:v>reviewed</x:v>
      </x:c>
    </x:row>
    <x:row r="88" ht="30" customHeight="1">
      <x:c r="A88" s="14" t="str">
        <x:v>dynasty-ariarathides</x:v>
      </x:c>
      <x:c r="B88" s="14" t="str">
        <x:v>dynasty</x:v>
      </x:c>
      <x:c r="C88" s="16" t="str">
        <x:v>Αριαραθίδες</x:v>
      </x:c>
      <x:c r="D88" s="16" t="str">
        <x:v>Ariarathids</x:v>
      </x:c>
      <x:c r="E88" s="14"/>
      <x:c r="F88" s="14" t="str">
        <x:v>src-iranicaonline-0624b0b64cf3</x:v>
      </x:c>
      <x:c r="G88" s="14" t="str">
        <x:v>reviewed</x:v>
      </x:c>
    </x:row>
    <x:row r="89" ht="30" customHeight="1">
      <x:c r="A89" s="14" t="str">
        <x:v>dynasty-ariobarzanides-katopin-archelaos</x:v>
      </x:c>
      <x:c r="B89" s="14" t="str">
        <x:v>dynasty</x:v>
      </x:c>
      <x:c r="C89" s="16" t="str">
        <x:v>Αριοβαρζανίδες· κατόπιν Αρχέλαος</x:v>
      </x:c>
      <x:c r="D89" s="16" t="str">
        <x:v>Ariobarzanids; later Archelaus</x:v>
      </x:c>
      <x:c r="E89" s="14"/>
      <x:c r="F89" s="14" t="str">
        <x:v>src-iranicaonline-0624b0b64cf3</x:v>
      </x:c>
      <x:c r="G89" s="14" t="str">
        <x:v>reviewed</x:v>
      </x:c>
    </x:row>
    <x:row r="90" ht="30" customHeight="1">
      <x:c r="A90" s="14" t="str">
        <x:v>dynasty-attalides</x:v>
      </x:c>
      <x:c r="B90" s="14" t="str">
        <x:v>dynasty</x:v>
      </x:c>
      <x:c r="C90" s="16" t="str">
        <x:v>Ατταλίδες</x:v>
      </x:c>
      <x:c r="D90" s="16" t="str">
        <x:v>Attalids</x:v>
      </x:c>
      <x:c r="E90" s="14"/>
      <x:c r="F90" s="14" t="str">
        <x:v>src-metmuseum-50fe20dc493f</x:v>
      </x:c>
      <x:c r="G90" s="14" t="str">
        <x:v>reviewed</x:v>
      </x:c>
    </x:row>
    <x:row r="91" ht="30" customHeight="1">
      <x:c r="A91" s="14" t="str">
        <x:v>dynasty-battiades</x:v>
      </x:c>
      <x:c r="B91" s="14" t="str">
        <x:v>dynasty</x:v>
      </x:c>
      <x:c r="C91" s="16" t="str">
        <x:v>Βαττιάδες</x:v>
      </x:c>
      <x:c r="D91" s="16" t="str">
        <x:v>Battiads</x:v>
      </x:c>
      <x:c r="E91" s="14"/>
      <x:c r="F91" s="14" t="str">
        <x:v>src-whc-52a1efeb60e3</x:v>
      </x:c>
      <x:c r="G91" s="14" t="str">
        <x:v>reviewed</x:v>
      </x:c>
    </x:row>
    <x:row r="92" ht="30" customHeight="1">
      <x:c r="A92" s="14" t="str">
        <x:v>dynasty-diodotides</x:v>
      </x:c>
      <x:c r="B92" s="14" t="str">
        <x:v>dynasty</x:v>
      </x:c>
      <x:c r="C92" s="16" t="str">
        <x:v>Διοδοτίδες</x:v>
      </x:c>
      <x:c r="D92" s="16" t="str">
        <x:v>Diodotids</x:v>
      </x:c>
      <x:c r="E92" s="14"/>
      <x:c r="F92" s="14" t="str">
        <x:v>src-metmuseum-50fe20dc493f</x:v>
      </x:c>
      <x:c r="G92" s="14" t="str">
        <x:v>reviewed</x:v>
      </x:c>
    </x:row>
    <x:row r="93" ht="30" customHeight="1">
      <x:c r="A93" s="14" t="str">
        <x:v>dynasty-dynasteia-toy-zipoite-kai-ton-nikomedon</x:v>
      </x:c>
      <x:c r="B93" s="14" t="str">
        <x:v>dynasty</x:v>
      </x:c>
      <x:c r="C93" s="16" t="str">
        <x:v>Δυναστεία του Ζιποίτη και των Νικομηδών</x:v>
      </x:c>
      <x:c r="D93" s="16" t="str">
        <x:v>Dynasty of Zipoetes and the Nicomedes</x:v>
      </x:c>
      <x:c r="E93" s="14"/>
      <x:c r="F93" s="14" t="str">
        <x:v>src-attalus-1b40f4436114</x:v>
      </x:c>
      <x:c r="G93" s="14" t="str">
        <x:v>reviewed</x:v>
      </x:c>
    </x:row>
    <x:row r="94" ht="30" customHeight="1">
      <x:c r="A94" s="14" t="str">
        <x:v>dynasty-eykratides-kai-eliokleides</x:v>
      </x:c>
      <x:c r="B94" s="14" t="str">
        <x:v>dynasty</x:v>
      </x:c>
      <x:c r="C94" s="16" t="str">
        <x:v>Ευκρατίδες και Ήλιοκλείδες</x:v>
      </x:c>
      <x:c r="D94" s="16" t="str">
        <x:v>Eucratids and Heliocleids</x:v>
      </x:c>
      <x:c r="E94" s="14"/>
      <x:c r="F94" s="14" t="str">
        <x:v>src-iranicaonline-2bb61f112fc3</x:v>
      </x:c>
      <x:c r="G94" s="14" t="str">
        <x:v>reviewed</x:v>
      </x:c>
    </x:row>
    <x:row r="95" ht="30" customHeight="1">
      <x:c r="A95" s="14" t="str">
        <x:v>dynasty-eythydemides</x:v>
      </x:c>
      <x:c r="B95" s="14" t="str">
        <x:v>dynasty</x:v>
      </x:c>
      <x:c r="C95" s="16" t="str">
        <x:v>Ευθυδημίδες</x:v>
      </x:c>
      <x:c r="D95" s="16" t="str">
        <x:v>Euthydemids</x:v>
      </x:c>
      <x:c r="E95" s="14"/>
      <x:c r="F95" s="14" t="str">
        <x:v>src-iranicaonline-d4697d4d5c1a</x:v>
      </x:c>
      <x:c r="G95" s="14" t="str">
        <x:v>reviewed</x:v>
      </x:c>
    </x:row>
    <x:row r="96" ht="30" customHeight="1">
      <x:c r="A96" s="14" t="str">
        <x:v>dynasty-eythydemides-demetrides</x:v>
      </x:c>
      <x:c r="B96" s="14" t="str">
        <x:v>dynasty</x:v>
      </x:c>
      <x:c r="C96" s="16" t="str">
        <x:v>Ευθυδημίδες / Δημητρίδες</x:v>
      </x:c>
      <x:c r="D96" s="16" t="str">
        <x:v>Euthydemids / Demetriads</x:v>
      </x:c>
      <x:c r="E96" s="14"/>
      <x:c r="F96" s="14" t="str">
        <x:v>src-iranicaonline-612dff96c99c</x:v>
      </x:c>
      <x:c r="G96" s="14" t="str">
        <x:v>reviewed</x:v>
      </x:c>
    </x:row>
    <x:row r="97" ht="30" customHeight="1">
      <x:c r="A97" s="14" t="str">
        <x:v>dynasty-ieron-b-kai-ieronides</x:v>
      </x:c>
      <x:c r="B97" s="14" t="str">
        <x:v>dynasty</x:v>
      </x:c>
      <x:c r="C97" s="16" t="str">
        <x:v>Ιέρων Β΄ και Ιερωνίδες</x:v>
      </x:c>
      <x:c r="D97" s="16" t="str">
        <x:v>Hieron II and the Hieronids</x:v>
      </x:c>
      <x:c r="E97" s="14"/>
      <x:c r="F97" s="14" t="str">
        <x:v>src-britishmuseum-d101eb623c92</x:v>
      </x:c>
      <x:c r="G97" s="14" t="str">
        <x:v>reviewed</x:v>
      </x:c>
    </x:row>
    <x:row r="98" ht="30" customHeight="1">
      <x:c r="A98" s="14" t="str">
        <x:v>dynasty-lysimachides</x:v>
      </x:c>
      <x:c r="B98" s="14" t="str">
        <x:v>dynasty</x:v>
      </x:c>
      <x:c r="C98" s="16" t="str">
        <x:v>Λυσιμαχίδες</x:v>
      </x:c>
      <x:c r="D98" s="16" t="str">
        <x:v>Lysimachids</x:v>
      </x:c>
      <x:c r="E98" s="14"/>
      <x:c r="F98" s="14" t="str">
        <x:v>src-pleiades-501458</x:v>
      </x:c>
      <x:c r="G98" s="14" t="str">
        <x:v>reviewed</x:v>
      </x:c>
    </x:row>
    <x:row r="99" ht="30" customHeight="1">
      <x:c r="A99" s="14" t="str">
        <x:v>dynasty-magas-bracheia-diadoche-demetrioy-toy-kalloy</x:v>
      </x:c>
      <x:c r="B99" s="14" t="str">
        <x:v>dynasty</x:v>
      </x:c>
      <x:c r="C99" s="16" t="str">
        <x:v>Μάγας· βραχεία διαδοχή Δημητρίου του Καλλού</x:v>
      </x:c>
      <x:c r="D99" s="16" t="str">
        <x:v>Magas; brief succession of Demetrius the Fair</x:v>
      </x:c>
      <x:c r="E99" s="14"/>
      <x:c r="F99" s="14" t="str">
        <x:v>src-persee-a9866e5e43d7</x:v>
      </x:c>
      <x:c r="G99" s="14" t="str">
        <x:v>reviewed</x:v>
      </x:c>
    </x:row>
    <x:row r="100" ht="30" customHeight="1">
      <x:c r="A100" s="14" t="str">
        <x:v>dynasty-mithridatides</x:v>
      </x:c>
      <x:c r="B100" s="14" t="str">
        <x:v>dynasty</x:v>
      </x:c>
      <x:c r="C100" s="16" t="str">
        <x:v>Μιθριδατίδες</x:v>
      </x:c>
      <x:c r="D100" s="16" t="str">
        <x:v>Mithridatids</x:v>
      </x:c>
      <x:c r="E100" s="14"/>
      <x:c r="F100" s="14" t="str">
        <x:v>src-metmuseum-50fe20dc493f</x:v>
      </x:c>
      <x:c r="G100" s="14" t="str">
        <x:v>reviewed</x:v>
      </x:c>
    </x:row>
    <x:row r="101" ht="30" customHeight="1">
      <x:c r="A101" s="14" t="str">
        <x:v>dynasty-mithridatides-toy-pontoy</x:v>
      </x:c>
      <x:c r="B101" s="14" t="str">
        <x:v>dynasty</x:v>
      </x:c>
      <x:c r="C101" s="16" t="str">
        <x:v>Μιθριδατίδες του Πόντου</x:v>
      </x:c>
      <x:c r="D101" s="16" t="str">
        <x:v>Mithridatids of Pontus</x:v>
      </x:c>
      <x:c r="E101" s="14"/>
      <x:c r="F101" s="14" t="str">
        <x:v>src-iranicaonline-4a607235e191</x:v>
      </x:c>
      <x:c r="G101" s="14" t="str">
        <x:v>reviewed</x:v>
      </x:c>
    </x:row>
    <x:row r="102" ht="30" customHeight="1">
      <x:c r="A102" s="14" t="str">
        <x:v>dynasty-oikos-toy-menandroy-kai-agathokleias</x:v>
      </x:c>
      <x:c r="B102" s="14" t="str">
        <x:v>dynasty</x:v>
      </x:c>
      <x:c r="C102" s="16" t="str">
        <x:v>Οίκος του Μενάνδρου και Αγαθοκλείας</x:v>
      </x:c>
      <x:c r="D102" s="16" t="str">
        <x:v>House of Menander and Agathokleia</x:v>
      </x:c>
      <x:c r="E102" s="14"/>
      <x:c r="F102" s="14" t="str">
        <x:v>src-iranicaonline-612dff96c99c</x:v>
      </x:c>
      <x:c r="G102" s="14" t="str">
        <x:v>reviewed</x:v>
      </x:c>
    </x:row>
    <x:row r="103" ht="30" customHeight="1">
      <x:c r="A103" s="14" t="str">
        <x:v>dynasty-orontides-erbandides</x:v>
      </x:c>
      <x:c r="B103" s="14" t="str">
        <x:v>dynasty</x:v>
      </x:c>
      <x:c r="C103" s="16" t="str">
        <x:v>Οροντίδες / Ερβανδίδες</x:v>
      </x:c>
      <x:c r="D103" s="16" t="str">
        <x:v>Orontids / Ervandids</x:v>
      </x:c>
      <x:c r="E103" s="14"/>
      <x:c r="F103" s="14" t="str">
        <x:v>src-whc-758c2c416617</x:v>
      </x:c>
      <x:c r="G103" s="14" t="str">
        <x:v>reviewed</x:v>
      </x:c>
    </x:row>
    <x:row r="104" ht="30" customHeight="1">
      <x:c r="A104" s="14" t="str">
        <x:v>dynasty-pollaples-periphereiakes-dynasteies</x:v>
      </x:c>
      <x:c r="B104" s="14" t="str">
        <x:v>dynasty</x:v>
      </x:c>
      <x:c r="C104" s="16" t="str">
        <x:v>Πολλαπλές περιφερειακές δυναστείες</x:v>
      </x:c>
      <x:c r="D104" s="16" t="str">
        <x:v>Multiple regional dynasties</x:v>
      </x:c>
      <x:c r="E104" s="14"/>
      <x:c r="F104" s="14" t="str">
        <x:v>src-iranicaonline-612dff96c99c</x:v>
      </x:c>
      <x:c r="G104" s="14" t="str">
        <x:v>reviewed</x:v>
      </x:c>
    </x:row>
    <x:row r="105" ht="30" customHeight="1">
      <x:c r="A105" s="14" t="str">
        <x:v>dynasty-ptolemaioi-lagides</x:v>
      </x:c>
      <x:c r="B105" s="14" t="str">
        <x:v>dynasty</x:v>
      </x:c>
      <x:c r="C105" s="16" t="str">
        <x:v>Πτολεμαίοι / Λαγίδες</x:v>
      </x:c>
      <x:c r="D105" s="16" t="str">
        <x:v>Ptolemies / Lagids</x:v>
      </x:c>
      <x:c r="E105" s="14"/>
      <x:c r="F105" s="14" t="str">
        <x:v>src-metmuseum-9200258a95cb</x:v>
      </x:c>
      <x:c r="G105" s="14" t="str">
        <x:v>reviewed</x:v>
      </x:c>
    </x:row>
    <x:row r="106" ht="30" customHeight="1">
      <x:c r="A106" s="14" t="str">
        <x:v>dynasty-seleykides</x:v>
      </x:c>
      <x:c r="B106" s="14" t="str">
        <x:v>dynasty</x:v>
      </x:c>
      <x:c r="C106" s="16" t="str">
        <x:v>Σελευκίδες</x:v>
      </x:c>
      <x:c r="D106" s="16" t="str">
        <x:v>Seleucids</x:v>
      </x:c>
      <x:c r="E106" s="14"/>
      <x:c r="F106" s="14" t="str">
        <x:v>src-metmuseum-31540f5687cf</x:v>
      </x:c>
      <x:c r="G106" s="14" t="str">
        <x:v>reviewed</x:v>
      </x:c>
    </x:row>
    <x:row r="107" ht="30" customHeight="1">
      <x:c r="A107" s="14" t="str">
        <x:v>dynasty-spartokides</x:v>
      </x:c>
      <x:c r="B107" s="14" t="str">
        <x:v>dynasty</x:v>
      </x:c>
      <x:c r="C107" s="16" t="str">
        <x:v>Σπαρτοκίδες</x:v>
      </x:c>
      <x:c r="D107" s="16" t="str">
        <x:v>Spartocids</x:v>
      </x:c>
      <x:c r="E107" s="14"/>
      <x:c r="F107" s="14" t="str">
        <x:v>src-encyclopediaofukraine-237e86aa1350</x:v>
      </x:c>
      <x:c r="G107" s="14" t="str">
        <x:v>reviewed</x:v>
      </x:c>
    </x:row>
    <x:row r="108" ht="30" customHeight="1">
      <x:c r="A108" s="14" t="str">
        <x:v>dynasty-teykrides-kai-istorikes-basilikes-grammes-metaxy-toys-oi-eyagorides</x:v>
      </x:c>
      <x:c r="B108" s="14" t="str">
        <x:v>dynasty</x:v>
      </x:c>
      <x:c r="C108" s="16" t="str">
        <x:v>Τευκρίδες και ιστορικές βασιλικές γραμμές, μεταξύ τους οι Ευαγορίδες</x:v>
      </x:c>
      <x:c r="D108" s="16" t="str">
        <x:v>Teucrids and historical royal lines, including the Evagorids</x:v>
      </x:c>
      <x:c r="E108" s="14"/>
      <x:c r="F108" s="14" t="str">
        <x:v>src-uni-muenster-0a0030be4d2a</x:v>
      </x:c>
      <x:c r="G108" s="14" t="str">
        <x:v>reviewed</x:v>
      </x:c>
    </x:row>
    <x:row r="109" ht="30" customHeight="1">
      <x:c r="A109" s="14" t="str">
        <x:v>dynasty-topikes-paphiakes-basilikes-genees-nikokleides-sten-ystere-phase</x:v>
      </x:c>
      <x:c r="B109" s="14" t="str">
        <x:v>dynasty</x:v>
      </x:c>
      <x:c r="C109" s="16" t="str">
        <x:v>Τοπικές παφιακές βασιλικές γενεές· Νικοκλείδες στην ύστερη φάση</x:v>
      </x:c>
      <x:c r="D109" s="16" t="str">
        <x:v>Local Paphian royal lines; the Nicocleids in the later phase</x:v>
      </x:c>
      <x:c r="E109" s="14"/>
      <x:c r="F109" s="14" t="str">
        <x:v>src-websites-d5246844b076</x:v>
      </x:c>
      <x:c r="G109" s="14" t="str">
        <x:v>reviewed</x:v>
      </x:c>
    </x:row>
    <x:row r="110" ht="30" customHeight="1">
      <x:c r="A110" s="14" t="str">
        <x:v>polity-achaimenidike-satrapeia-kappadokias</x:v>
      </x:c>
      <x:c r="B110" s="14" t="str">
        <x:v>polity</x:v>
      </x:c>
      <x:c r="C110" s="16" t="str">
        <x:v>Αχαιμενιδική σατραπεία Καππαδοκίας</x:v>
      </x:c>
      <x:c r="D110" s="16" t="str">
        <x:v>Achaemenid satrapy of Cappadocia</x:v>
      </x:c>
      <x:c r="E110" s="14"/>
      <x:c r="F110" s="14" t="str">
        <x:v>src-iranicaonline-0624b0b64cf3</x:v>
      </x:c>
      <x:c r="G110" s="14" t="str">
        <x:v>reviewed</x:v>
      </x:c>
    </x:row>
    <x:row r="111" ht="30" customHeight="1">
      <x:c r="A111" s="14" t="str">
        <x:v>polity-apoikiake-egkatastase-theraion-kai-topikes-libykes-koinotetes</x:v>
      </x:c>
      <x:c r="B111" s="14" t="str">
        <x:v>polity</x:v>
      </x:c>
      <x:c r="C111" s="16" t="str">
        <x:v>Αποικιακή εγκατάσταση Θηραίων και τοπικές λιβυκές κοινότητες</x:v>
      </x:c>
      <x:c r="D111" s="16" t="str">
        <x:v>Colonial settlement of Thira and local Libyan communities</x:v>
      </x:c>
      <x:c r="E111" s="14"/>
      <x:c r="F111" s="14" t="str">
        <x:v>src-whc-52a1efeb60e3</x:v>
      </x:c>
      <x:c r="G111" s="14" t="str">
        <x:v>reviewed</x:v>
      </x:c>
    </x:row>
    <x:row r="112" ht="30" customHeight="1">
      <x:c r="A112" s="14" t="str">
        <x:v>polity-argeades-kai-metalexandreia-antibasileia</x:v>
      </x:c>
      <x:c r="B112" s="14" t="str">
        <x:v>polity</x:v>
      </x:c>
      <x:c r="C112" s="16" t="str">
        <x:v>Αργεάδες και μεταλεξάνδρεια αντιβασιλεία</x:v>
      </x:c>
      <x:c r="D112" s="16" t="str">
        <x:v>Argeades and post-Alexandrian regency</x:v>
      </x:c>
      <x:c r="E112" s="14"/>
      <x:c r="F112" s="14" t="str">
        <x:v>src-metmuseum-50fe20dc493f</x:v>
      </x:c>
      <x:c r="G112" s="14" t="str">
        <x:v>reviewed</x:v>
      </x:c>
    </x:row>
    <x:row r="113" ht="30" customHeight="1">
      <x:c r="A113" s="14" t="str">
        <x:v>polity-aytokratoria-toy-alexandroy</x:v>
      </x:c>
      <x:c r="B113" s="14" t="str">
        <x:v>polity</x:v>
      </x:c>
      <x:c r="C113" s="16" t="str">
        <x:v>Αυτοκρατορία του Αλεξάνδρου</x:v>
      </x:c>
      <x:c r="D113" s="16" t="str">
        <x:v>Alexander's Empire</x:v>
      </x:c>
      <x:c r="E113" s="14"/>
      <x:c r="F113" s="14" t="str">
        <x:v>src-whc-fd006971700c</x:v>
      </x:c>
      <x:c r="G113" s="14" t="str">
        <x:v>reviewed</x:v>
      </x:c>
    </x:row>
    <x:row r="114" ht="30" customHeight="1">
      <x:c r="A114" s="14" t="str">
        <x:v>polity-aytokratoria-toy-alexandroy-kai-satrapeies-ton-diadochon</x:v>
      </x:c>
      <x:c r="B114" s="14" t="str">
        <x:v>polity</x:v>
      </x:c>
      <x:c r="C114" s="16" t="str">
        <x:v>Αυτοκρατορία του Αλεξάνδρου και σατραπείες των Διαδόχων</x:v>
      </x:c>
      <x:c r="D114" s="16" t="str">
        <x:v>Empire of Alexander and satrapies of the Successors</x:v>
      </x:c>
      <x:c r="E114" s="14"/>
      <x:c r="F114" s="14" t="str">
        <x:v>src-metmuseum-31540f5687cf</x:v>
      </x:c>
      <x:c r="G114" s="14" t="str">
        <x:v>reviewed</x:v>
      </x:c>
    </x:row>
    <x:row r="115" ht="30" customHeight="1">
      <x:c r="A115" s="14" t="str">
        <x:v>polity-basileio-tes-kappadokias-ton-ariarathidon</x:v>
      </x:c>
      <x:c r="B115" s="14" t="str">
        <x:v>polity</x:v>
      </x:c>
      <x:c r="C115" s="16" t="str">
        <x:v>Βασίλειο της Καππαδοκίας των Αριαραθιδών</x:v>
      </x:c>
      <x:c r="D115" s="16" t="str">
        <x:v>Kingdom of Cappadocia of the Ariarathids</x:v>
      </x:c>
      <x:c r="E115" s="14"/>
      <x:c r="F115" s="14" t="str">
        <x:v>src-iranicaonline-0624b0b64cf3</x:v>
      </x:c>
      <x:c r="G115" s="14" t="str">
        <x:v>reviewed</x:v>
      </x:c>
    </x:row>
    <x:row r="116" ht="30" customHeight="1">
      <x:c r="A116" s="14" t="str">
        <x:v>polity-basileio-tes-makedonias-ton-argeadon</x:v>
      </x:c>
      <x:c r="B116" s="14" t="str">
        <x:v>polity</x:v>
      </x:c>
      <x:c r="C116" s="16" t="str">
        <x:v>Βασίλειο της Μακεδονίας των Αργεαδών</x:v>
      </x:c>
      <x:c r="D116" s="16" t="str">
        <x:v>Kingdom of Macedonia of the Argeadians</x:v>
      </x:c>
      <x:c r="E116" s="14"/>
      <x:c r="F116" s="14" t="str">
        <x:v>src-metmuseum-89019924e8c3</x:v>
      </x:c>
      <x:c r="G116" s="14" t="str">
        <x:v>reviewed</x:v>
      </x:c>
    </x:row>
    <x:row r="117" ht="30" customHeight="1">
      <x:c r="A117" s="14" t="str">
        <x:v>polity-basileio-toy-kimmerioy-bosporoy-ton-archaianaktidon</x:v>
      </x:c>
      <x:c r="B117" s="14" t="str">
        <x:v>polity</x:v>
      </x:c>
      <x:c r="C117" s="16" t="str">
        <x:v>Βασίλειο του Κιμμερίου Βοσπόρου των Αρχαιανακτιδών</x:v>
      </x:c>
      <x:c r="D117" s="16" t="str">
        <x:v>Kingdom of the Cimmerian Bosphorus of the Archeanaktids</x:v>
      </x:c>
      <x:c r="E117" s="14"/>
      <x:c r="F117" s="14" t="str">
        <x:v>src-encyclopediaofukraine-237e86aa1350</x:v>
      </x:c>
      <x:c r="G117" s="14" t="str">
        <x:v>reviewed</x:v>
      </x:c>
    </x:row>
    <x:row r="118" ht="30" customHeight="1">
      <x:c r="A118" s="14" t="str">
        <x:v>polity-basileio-toy-kimmerioy-bosporoy-ton-spartokidon</x:v>
      </x:c>
      <x:c r="B118" s="14" t="str">
        <x:v>polity</x:v>
      </x:c>
      <x:c r="C118" s="16" t="str">
        <x:v>Βασίλειο του Κιμμερίου Βοσπόρου των Σπαρτοκιδών</x:v>
      </x:c>
      <x:c r="D118" s="16" t="str">
        <x:v>Kingdom of the Cimmerian Bosphorus of the Spartakids</x:v>
      </x:c>
      <x:c r="E118" s="14"/>
      <x:c r="F118" s="14" t="str">
        <x:v>src-iranicaonline-4a607235e191</x:v>
      </x:c>
      <x:c r="G118" s="14" t="str">
        <x:v>reviewed</x:v>
      </x:c>
    </x:row>
    <x:row r="119" ht="30" customHeight="1">
      <x:c r="A119" s="14" t="str">
        <x:v>polity-bracheia-diadoche-demetrioy-toy-kalloy-kai-epanentaxe-stoys-ptolemaioys</x:v>
      </x:c>
      <x:c r="B119" s="14" t="str">
        <x:v>polity</x:v>
      </x:c>
      <x:c r="C119" s="16" t="str">
        <x:v>Βραχεία διαδοχή Δημητρίου του Καλλού και επανένταξη στους Πτολεμαίους</x:v>
      </x:c>
      <x:c r="D119" s="16" t="str">
        <x:v>Brief succession of Demetrius the Fair and reintegration into the Ptolemaic kingdom</x:v>
      </x:c>
      <x:c r="E119" s="14"/>
      <x:c r="F119" s="14" t="str">
        <x:v>src-persee-a9866e5e43d7</x:v>
      </x:c>
      <x:c r="G119" s="14" t="str">
        <x:v>reviewed</x:v>
      </x:c>
    </x:row>
    <x:row r="120" ht="30" customHeight="1">
      <x:c r="A120" s="14" t="str">
        <x:v>polity-bracheies-basileies-demetrioy-pyrroy-kai-lysimachoy</x:v>
      </x:c>
      <x:c r="B120" s="14" t="str">
        <x:v>polity</x:v>
      </x:c>
      <x:c r="C120" s="16" t="str">
        <x:v>Βραχείες βασιλείες Δημητρίου, Πύρρου και Λυσιμάχου</x:v>
      </x:c>
      <x:c r="D120" s="16" t="str">
        <x:v>Short reigns of Demetrius, Pyrrhus and Lysimachus</x:v>
      </x:c>
      <x:c r="E120" s="14"/>
      <x:c r="F120" s="14" t="str">
        <x:v>src-metmuseum-50fe20dc493f</x:v>
      </x:c>
      <x:c r="G120" s="14" t="str">
        <x:v>reviewed</x:v>
      </x:c>
    </x:row>
    <x:row r="121" ht="30" customHeight="1">
      <x:c r="A121" s="14" t="str">
        <x:v>polity-ellenobaktriane-epektase-notia-toy-indokoys</x:v>
      </x:c>
      <x:c r="B121" s="14" t="str">
        <x:v>polity</x:v>
      </x:c>
      <x:c r="C121" s="16" t="str">
        <x:v>Ελληνοβακτριανή επέκταση νότια του Ινδοκούς</x:v>
      </x:c>
      <x:c r="D121" s="16" t="str">
        <x:v>Greco-Bactrian expansion south of the Hindu Kush</x:v>
      </x:c>
      <x:c r="E121" s="14"/>
      <x:c r="F121" s="14" t="str">
        <x:v>src-iranicaonline-612dff96c99c</x:v>
      </x:c>
      <x:c r="G121" s="14" t="str">
        <x:v>reviewed</x:v>
      </x:c>
    </x:row>
    <x:row r="122" ht="30" customHeight="1">
      <x:c r="A122" s="14" t="str">
        <x:v>polity-ellenobaktriano-basileio-ton-diodotidon</x:v>
      </x:c>
      <x:c r="B122" s="14" t="str">
        <x:v>polity</x:v>
      </x:c>
      <x:c r="C122" s="16" t="str">
        <x:v>Ελληνοβακτριανό Βασίλειο των Διοδοτιδών</x:v>
      </x:c>
      <x:c r="D122" s="16" t="str">
        <x:v>Greco-Bactrian Kingdom of the Diodotids</x:v>
      </x:c>
      <x:c r="E122" s="14"/>
      <x:c r="F122" s="14" t="str">
        <x:v>src-iranicaonline-d4697d4d5c1a</x:v>
      </x:c>
      <x:c r="G122" s="14" t="str">
        <x:v>reviewed</x:v>
      </x:c>
    </x:row>
    <x:row r="123" ht="30" customHeight="1">
      <x:c r="A123" s="14" t="str">
        <x:v>polity-ellenobaktriano-basileio-ton-eythydemidon</x:v>
      </x:c>
      <x:c r="B123" s="14" t="str">
        <x:v>polity</x:v>
      </x:c>
      <x:c r="C123" s="16" t="str">
        <x:v>Ελληνοβακτριανό Βασίλειο των Ευθυδημιδών</x:v>
      </x:c>
      <x:c r="D123" s="16" t="str">
        <x:v>Greco-Bactrian Kingdom of the Euthydemides</x:v>
      </x:c>
      <x:c r="E123" s="14"/>
      <x:c r="F123" s="14" t="str">
        <x:v>src-metmuseum-50fe20dc493f</x:v>
      </x:c>
      <x:c r="G123" s="14" t="str">
        <x:v>reviewed</x:v>
      </x:c>
    </x:row>
    <x:row r="124" ht="30" customHeight="1">
      <x:c r="A124" s="14" t="str">
        <x:v>polity-eykratidike-phase-ste-baktriane-kai-indoellenikoi-kladoi</x:v>
      </x:c>
      <x:c r="B124" s="14" t="str">
        <x:v>polity</x:v>
      </x:c>
      <x:c r="C124" s="16" t="str">
        <x:v>Ευκρατιδική φάση στη Βακτριανή και ινδοελληνικοί κλάδοι</x:v>
      </x:c>
      <x:c r="D124" s="16" t="str">
        <x:v>Eucratid phase in Bactrian and Indo-Greek branches</x:v>
      </x:c>
      <x:c r="E124" s="14"/>
      <x:c r="F124" s="14" t="str">
        <x:v>src-iranicaonline-d4697d4d5c1a</x:v>
      </x:c>
      <x:c r="G124" s="14" t="str">
        <x:v>reviewed</x:v>
      </x:c>
    </x:row>
    <x:row r="125" ht="30" customHeight="1">
      <x:c r="A125" s="14" t="str">
        <x:v>polity-ieronymos-kai-katopin-romaike-kataktese</x:v>
      </x:c>
      <x:c r="B125" s="14" t="str">
        <x:v>polity</x:v>
      </x:c>
      <x:c r="C125" s="16" t="str">
        <x:v>Ιερώνυμος και κατόπιν ρωμαϊκή κατάκτηση</x:v>
      </x:c>
      <x:c r="D125" s="16" t="str">
        <x:v>Hieronymus and subsequent Roman conquest</x:v>
      </x:c>
      <x:c r="E125" s="14"/>
      <x:c r="F125" s="14" t="str">
        <x:v>src-britishmuseum-d101eb623c92</x:v>
      </x:c>
      <x:c r="G125" s="14" t="str">
        <x:v>reviewed</x:v>
      </x:c>
    </x:row>
    <x:row r="126" ht="30" customHeight="1">
      <x:c r="A126" s="14" t="str">
        <x:v>polity-indoelleniko-basileio-toy-menandroy-kai-antipales-grammes</x:v>
      </x:c>
      <x:c r="B126" s="14" t="str">
        <x:v>polity</x:v>
      </x:c>
      <x:c r="C126" s="16" t="str">
        <x:v>Ινδοελληνικό βασίλειο του Μενάνδρου και αντίπαλες γραμμές</x:v>
      </x:c>
      <x:c r="D126" s="16" t="str">
        <x:v>Menander's Indo-Hellenic Kingdom and Rival Lines</x:v>
      </x:c>
      <x:c r="E126" s="14"/>
      <x:c r="F126" s="14" t="str">
        <x:v>src-iranicaonline-612dff96c99c</x:v>
      </x:c>
      <x:c r="G126" s="14" t="str">
        <x:v>reviewed</x:v>
      </x:c>
    </x:row>
    <x:row r="127" ht="30" customHeight="1">
      <x:c r="A127" s="14" t="str">
        <x:v>polity-indoelleniko-basileio-toy-menandroy-kai-sygchrones-dynasteies</x:v>
      </x:c>
      <x:c r="B127" s="14" t="str">
        <x:v>polity</x:v>
      </x:c>
      <x:c r="C127" s="16" t="str">
        <x:v>Ινδοελληνικό βασίλειο του Μενάνδρου και σύγχρονες δυναστείες</x:v>
      </x:c>
      <x:c r="D127" s="16" t="str">
        <x:v>Indo-Greek kingdom of Menander and contemporaneous dynasties</x:v>
      </x:c>
      <x:c r="E127" s="14"/>
      <x:c r="F127" s="14" t="str">
        <x:v>src-iranicaonline-612dff96c99c</x:v>
      </x:c>
      <x:c r="G127" s="14" t="str">
        <x:v>reviewed</x:v>
      </x:c>
    </x:row>
    <x:row r="128" ht="30" customHeight="1">
      <x:c r="A128" s="14" t="str">
        <x:v>polity-indoskythika-kai-indoparthika-basileia</x:v>
      </x:c>
      <x:c r="B128" s="14" t="str">
        <x:v>polity</x:v>
      </x:c>
      <x:c r="C128" s="16" t="str">
        <x:v>Ινδοσκυθικά και ινδοπαρθικά βασίλεια</x:v>
      </x:c>
      <x:c r="D128" s="16" t="str">
        <x:v>Indo-Scythian and Indo-Parthian kingdoms</x:v>
      </x:c>
      <x:c r="E128" s="14"/>
      <x:c r="F128" s="14" t="str">
        <x:v>src-iranicaonline-612dff96c99c</x:v>
      </x:c>
      <x:c r="G128" s="14" t="str">
        <x:v>reviewed</x:v>
      </x:c>
    </x:row>
    <x:row r="129" ht="30" customHeight="1">
      <x:c r="A129" s="14" t="str">
        <x:v>polity-kappadokike-satrapeia-kai-periphereiakes-dynasteies</x:v>
      </x:c>
      <x:c r="B129" s="14" t="str">
        <x:v>polity</x:v>
      </x:c>
      <x:c r="C129" s="16" t="str">
        <x:v>Καππαδοκική σατραπεία και περιφερειακές δυναστείες</x:v>
      </x:c>
      <x:c r="D129" s="16" t="str">
        <x:v>Cappadocian satrapy and regional dynasties</x:v>
      </x:c>
      <x:c r="E129" s="14"/>
      <x:c r="F129" s="14" t="str">
        <x:v>src-metmuseum-50fe20dc493f</x:v>
      </x:c>
      <x:c r="G129" s="14" t="str">
        <x:v>reviewed</x:v>
      </x:c>
    </x:row>
    <x:row r="130" ht="30" customHeight="1">
      <x:c r="A130" s="14" t="str">
        <x:v>polity-koino-ton-epeiroton</x:v>
      </x:c>
      <x:c r="B130" s="14" t="str">
        <x:v>polity</x:v>
      </x:c>
      <x:c r="C130" s="16" t="str">
        <x:v>Κοινό των Ηπειρωτών</x:v>
      </x:c>
      <x:c r="D130" s="16" t="str">
        <x:v>Epirote League</x:v>
      </x:c>
      <x:c r="E130" s="14"/>
      <x:c r="F130" s="14" t="str">
        <x:v>src-cambridge-96106a304cc6</x:v>
      </x:c>
      <x:c r="G130" s="14" t="str">
        <x:v>reviewed</x:v>
      </x:c>
    </x:row>
    <x:row r="131" ht="30" customHeight="1">
      <x:c r="A131" s="14" t="str">
        <x:v>polity-kyrenaike-politeia-me-me-monarchikoys-thesmoys</x:v>
      </x:c>
      <x:c r="B131" s="14" t="str">
        <x:v>polity</x:v>
      </x:c>
      <x:c r="C131" s="16" t="str">
        <x:v>Κυρηναϊκή πολιτεία με μη μοναρχικούς θεσμούς</x:v>
      </x:c>
      <x:c r="D131" s="16" t="str">
        <x:v>Cyrenaic state with non-monarchical institutions</x:v>
      </x:c>
      <x:c r="E131" s="14"/>
      <x:c r="F131" s="14" t="str">
        <x:v>src-whc-52a1efeb60e3</x:v>
      </x:c>
      <x:c r="G131" s="14" t="str">
        <x:v>reviewed</x:v>
      </x:c>
    </x:row>
    <x:row r="132" ht="30" customHeight="1">
      <x:c r="A132" s="14" t="str">
        <x:v>polity-kyriarchia-gioyetzi-kai-allon-nomadikon-omadon-ste-baktriane</x:v>
      </x:c>
      <x:c r="B132" s="14" t="str">
        <x:v>polity</x:v>
      </x:c>
      <x:c r="C132" s="16" t="str">
        <x:v>Κυριαρχία Γιουετζί και άλλων νομαδικών ομάδων στη Βακτριανή</x:v>
      </x:c>
      <x:c r="D132" s="16" t="str">
        <x:v>Rule of the Yuezhi and other nomadic groups in Bactria</x:v>
      </x:c>
      <x:c r="E132" s="14"/>
      <x:c r="F132" s="14" t="str">
        <x:v>src-iranicaonline-2bb61f112fc3</x:v>
      </x:c>
      <x:c r="G132" s="14" t="str">
        <x:v>reviewed</x:v>
      </x:c>
    </x:row>
    <x:row r="133" ht="30" customHeight="1">
      <x:c r="A133" s="14" t="str">
        <x:v>polity-mesoelladike-koinoteta-tes-akropoles</x:v>
      </x:c>
      <x:c r="B133" s="14" t="str">
        <x:v>polity</x:v>
      </x:c>
      <x:c r="C133" s="16" t="str">
        <x:v>Μεσοελλαδική κοινότητα της Ακρόπολης</x:v>
      </x:c>
      <x:c r="D133" s="16" t="str">
        <x:v>Middle Helladic community of the Acropolis</x:v>
      </x:c>
      <x:c r="E133" s="14"/>
      <x:c r="F133" s="14" t="str">
        <x:v>src-whc-228f1be9c035</x:v>
      </x:c>
      <x:c r="G133" s="14" t="str">
        <x:v>reviewed</x:v>
      </x:c>
    </x:row>
    <x:row r="134" ht="30" customHeight="1">
      <x:c r="A134" s="14" t="str">
        <x:v>polity-mesoelladikes-kai-proimes-mykenaikes-egemonies</x:v>
      </x:c>
      <x:c r="B134" s="14" t="str">
        <x:v>polity</x:v>
      </x:c>
      <x:c r="C134" s="16" t="str">
        <x:v>Μεσοελλαδικές και πρώιμες μυκηναϊκές ηγεμονίες</x:v>
      </x:c>
      <x:c r="D134" s="16" t="str">
        <x:v>Middle Helladic and early Mycenaean hegemonies</x:v>
      </x:c>
      <x:c r="E134" s="14"/>
      <x:c r="F134" s="14" t="str">
        <x:v>src-whc-6306f630553d</x:v>
      </x:c>
      <x:c r="G134" s="14" t="str">
        <x:v>reviewed</x:v>
      </x:c>
    </x:row>
    <x:row r="135" ht="30" customHeight="1">
      <x:c r="A135" s="14" t="str">
        <x:v>polity-mesoelladikes-kai-proimes-mykenaikes-koinotetes</x:v>
      </x:c>
      <x:c r="B135" s="14" t="str">
        <x:v>polity</x:v>
      </x:c>
      <x:c r="C135" s="16" t="str">
        <x:v>Μεσοελλαδικές και πρώιμες μυκηναϊκές κοινότητες</x:v>
      </x:c>
      <x:c r="D135" s="16" t="str">
        <x:v>Middle Helladic and early Mycenaean communities</x:v>
      </x:c>
      <x:c r="E135" s="14"/>
      <x:c r="F135" s="14" t="str">
        <x:v>src-whc-6306f630553d</x:v>
      </x:c>
      <x:c r="G135" s="14" t="str">
        <x:v>reviewed</x:v>
      </x:c>
    </x:row>
    <x:row r="136" ht="30" customHeight="1">
      <x:c r="A136" s="14" t="str">
        <x:v>polity-metabatikes-basileies-ste-makedonia-meta-toys-diadochoys</x:v>
      </x:c>
      <x:c r="B136" s="14" t="str">
        <x:v>polity</x:v>
      </x:c>
      <x:c r="C136" s="16" t="str">
        <x:v>Μεταβατικές βασιλείες στη Μακεδονία μετά τους Διαδόχους</x:v>
      </x:c>
      <x:c r="D136" s="16" t="str">
        <x:v>Transitional kingdoms in Macedonia after the Successors</x:v>
      </x:c>
      <x:c r="E136" s="14"/>
      <x:c r="F136" s="14" t="str">
        <x:v>src-metmuseum-50fe20dc493f</x:v>
      </x:c>
      <x:c r="G136" s="14" t="str">
        <x:v>reviewed</x:v>
      </x:c>
    </x:row>
    <x:row r="137" ht="30" customHeight="1">
      <x:c r="A137" s="14" t="str">
        <x:v>polity-metagathokleideia-astatheia-stis-syrakoyses</x:v>
      </x:c>
      <x:c r="B137" s="14" t="str">
        <x:v>polity</x:v>
      </x:c>
      <x:c r="C137" s="16" t="str">
        <x:v>Μεταγαθοκλείδεια αστάθεια στις Συρακούσες</x:v>
      </x:c>
      <x:c r="D137" s="16" t="str">
        <x:v>Post-Agathoclean instability at Syracuse</x:v>
      </x:c>
      <x:c r="E137" s="14"/>
      <x:c r="F137" s="14" t="str">
        <x:v>src-britishmuseum-073d3f0a8ae4</x:v>
      </x:c>
      <x:c r="G137" s="14" t="str">
        <x:v>reviewed</x:v>
      </x:c>
    </x:row>
    <x:row r="138" ht="30" customHeight="1">
      <x:c r="A138" s="14" t="str">
        <x:v>polity-metalexandreia-antibasileia-kai-basileia-ton-diadochon</x:v>
      </x:c>
      <x:c r="B138" s="14" t="str">
        <x:v>polity</x:v>
      </x:c>
      <x:c r="C138" s="16" t="str">
        <x:v>Μεταλεξάνδρεια αντιβασιλεία και βασίλεια των Διαδόχων</x:v>
      </x:c>
      <x:c r="D138" s="16" t="str">
        <x:v>Post-Alexandrian viceroyalty and successor kingdoms</x:v>
      </x:c>
      <x:c r="E138" s="14"/>
      <x:c r="F138" s="14" t="str">
        <x:v>src-metmuseum-89019924e8c3</x:v>
      </x:c>
      <x:c r="G138" s="14" t="str">
        <x:v>reviewed</x:v>
      </x:c>
    </x:row>
    <x:row r="139" ht="30" customHeight="1">
      <x:c r="A139" s="14" t="str">
        <x:v>polity-metanaktorike-krete-kai-periphereiaka-kentra</x:v>
      </x:c>
      <x:c r="B139" s="14" t="str">
        <x:v>polity</x:v>
      </x:c>
      <x:c r="C139" s="16" t="str">
        <x:v>Μετανακτορική Κρήτη και περιφερειακά κέντρα</x:v>
      </x:c>
      <x:c r="D139" s="16" t="str">
        <x:v>Post-palatial Crete and regional centres</x:v>
      </x:c>
      <x:c r="E139" s="14"/>
      <x:c r="F139" s="14" t="str">
        <x:v>src-odysseus-9e3ae0cba911</x:v>
      </x:c>
      <x:c r="G139" s="14" t="str">
        <x:v>reviewed</x:v>
      </x:c>
    </x:row>
    <x:row r="140" ht="30" customHeight="1">
      <x:c r="A140" s="14" t="str">
        <x:v>polity-metanaktorike-tiryntha-kai-argolikes-koinotetes</x:v>
      </x:c>
      <x:c r="B140" s="14" t="str">
        <x:v>polity</x:v>
      </x:c>
      <x:c r="C140" s="16" t="str">
        <x:v>Μετανακτορική Τίρυνθα και αργολικές κοινότητες</x:v>
      </x:c>
      <x:c r="D140" s="16" t="str">
        <x:v>Post-palatial Tiryns and Argolic communities</x:v>
      </x:c>
      <x:c r="E140" s="14"/>
      <x:c r="F140" s="14" t="str">
        <x:v>src-whc-6306f630553d</x:v>
      </x:c>
      <x:c r="G140" s="14" t="str">
        <x:v>reviewed</x:v>
      </x:c>
    </x:row>
    <x:row r="141" ht="30" customHeight="1">
      <x:c r="A141" s="14" t="str">
        <x:v>polity-metanaktorikes-boiotikes-koinotetes</x:v>
      </x:c>
      <x:c r="B141" s="14" t="str">
        <x:v>polity</x:v>
      </x:c>
      <x:c r="C141" s="16" t="str">
        <x:v>Μετανακτορικές βοιωτικές κοινότητες</x:v>
      </x:c>
      <x:c r="D141" s="16" t="str">
        <x:v>Post-palatial Boeotian communities</x:v>
      </x:c>
      <x:c r="E141" s="14"/>
      <x:c r="F141" s="14" t="str">
        <x:v>src-mthv-715d665b63b5</x:v>
      </x:c>
      <x:c r="G141" s="14" t="str">
        <x:v>reviewed</x:v>
      </x:c>
    </x:row>
    <x:row r="142" ht="30" customHeight="1">
      <x:c r="A142" s="14" t="str">
        <x:v>polity-metanaktorikes-koinotetes-tes-argolidas</x:v>
      </x:c>
      <x:c r="B142" s="14" t="str">
        <x:v>polity</x:v>
      </x:c>
      <x:c r="C142" s="16" t="str">
        <x:v>Μετανακτορικές κοινότητες της Αργολίδας</x:v>
      </x:c>
      <x:c r="D142" s="16" t="str">
        <x:v>Post-palatial communities of Argolis</x:v>
      </x:c>
      <x:c r="E142" s="14"/>
      <x:c r="F142" s="14" t="str">
        <x:v>src-whc-6306f630553d</x:v>
      </x:c>
      <x:c r="G142" s="14" t="str">
        <x:v>reviewed</x:v>
      </x:c>
    </x:row>
    <x:row r="143" ht="30" customHeight="1">
      <x:c r="A143" s="14" t="str">
        <x:v>polity-metanaktorikes-koinotetes-tes-messenias</x:v>
      </x:c>
      <x:c r="B143" s="14" t="str">
        <x:v>polity</x:v>
      </x:c>
      <x:c r="C143" s="16" t="str">
        <x:v>Μετανακτορικές κοινότητες της Μεσσηνίας</x:v>
      </x:c>
      <x:c r="D143" s="16" t="str">
        <x:v>Post-palatial communities of Messenia</x:v>
      </x:c>
      <x:c r="E143" s="14"/>
      <x:c r="F143" s="14" t="str">
        <x:v>src-odysseus-00e2d87ae4a8</x:v>
      </x:c>
      <x:c r="G143" s="14" t="str">
        <x:v>reviewed</x:v>
      </x:c>
    </x:row>
    <x:row r="144" ht="30" customHeight="1">
      <x:c r="A144" s="14" t="str">
        <x:v>polity-metanaktorikes-thessalikes-koinotetes</x:v>
      </x:c>
      <x:c r="B144" s="14" t="str">
        <x:v>polity</x:v>
      </x:c>
      <x:c r="C144" s="16" t="str">
        <x:v>Μετανακτορικές θεσσαλικές κοινότητες</x:v>
      </x:c>
      <x:c r="D144" s="16" t="str">
        <x:v>Post-palatial Thessalian communities</x:v>
      </x:c>
      <x:c r="E144" s="14"/>
      <x:c r="F144" s="14" t="str">
        <x:v>src-odysseus-589898851f92</x:v>
      </x:c>
      <x:c r="G144" s="14" t="str">
        <x:v>reviewed</x:v>
      </x:c>
    </x:row>
    <x:row r="145" ht="30" customHeight="1">
      <x:c r="A145" s="14" t="str">
        <x:v>polity-metapyrreia-politike-astatheia-stis-syrakoyses</x:v>
      </x:c>
      <x:c r="B145" s="14" t="str">
        <x:v>polity</x:v>
      </x:c>
      <x:c r="C145" s="16" t="str">
        <x:v>Μεταπύρρεια πολιτική αστάθεια στις Συρακούσες</x:v>
      </x:c>
      <x:c r="D145" s="16" t="str">
        <x:v>Post-Pyrrhic political instability in Syracuse</x:v>
      </x:c>
      <x:c r="E145" s="14"/>
      <x:c r="F145" s="14" t="str">
        <x:v>src-britishmuseum-d101eb623c92</x:v>
      </x:c>
      <x:c r="G145" s="14" t="str">
        <x:v>reviewed</x:v>
      </x:c>
    </x:row>
    <x:row r="146" ht="30" customHeight="1">
      <x:c r="A146" s="14" t="str">
        <x:v>polity-molossikes-phyletikes-egemonies</x:v>
      </x:c>
      <x:c r="B146" s="14" t="str">
        <x:v>polity</x:v>
      </x:c>
      <x:c r="C146" s="16" t="str">
        <x:v>Μολοσσικές φυλετικές ηγεμονίες</x:v>
      </x:c>
      <x:c r="D146" s="16" t="str">
        <x:v>Molossian tribal hegemonies</x:v>
      </x:c>
      <x:c r="E146" s="14"/>
      <x:c r="F146" s="14" t="str">
        <x:v>src-cambridge-96106a304cc6</x:v>
      </x:c>
      <x:c r="G146" s="14" t="str">
        <x:v>reviewed</x:v>
      </x:c>
    </x:row>
    <x:row r="147" ht="30" customHeight="1">
      <x:c r="A147" s="14" t="str">
        <x:v>polity-neoanaktoriko-minoiko-kratos-tes-knosoy</x:v>
      </x:c>
      <x:c r="B147" s="14" t="str">
        <x:v>polity</x:v>
      </x:c>
      <x:c r="C147" s="16" t="str">
        <x:v>Νεοανακτορικό μινωικό κράτος της Κνωσού</x:v>
      </x:c>
      <x:c r="D147" s="16" t="str">
        <x:v>Neopalatial Minoan state of Knossos</x:v>
      </x:c>
      <x:c r="E147" s="14"/>
      <x:c r="F147" s="14" t="str">
        <x:v>src-odysseus-9e3ae0cba911</x:v>
      </x:c>
      <x:c r="G147" s="14" t="str">
        <x:v>reviewed</x:v>
      </x:c>
    </x:row>
    <x:row r="148" ht="30" customHeight="1">
      <x:c r="A148" s="14" t="str">
        <x:v>polity-pontiake-mithridatike-phase-toy-bosporoy</x:v>
      </x:c>
      <x:c r="B148" s="14" t="str">
        <x:v>polity</x:v>
      </x:c>
      <x:c r="C148" s="16" t="str">
        <x:v>Ποντιακή-μιθριδατική φάση του Βοσπόρου</x:v>
      </x:c>
      <x:c r="D148" s="16" t="str">
        <x:v>Pontic–Mithridatic phase of the Bosporan Kingdom</x:v>
      </x:c>
      <x:c r="E148" s="14"/>
      <x:c r="F148" s="14" t="str">
        <x:v>src-encyclopediaofukraine-237e86aa1350</x:v>
      </x:c>
      <x:c r="G148" s="14" t="str">
        <x:v>reviewed</x:v>
      </x:c>
    </x:row>
    <x:row r="149" ht="30" customHeight="1">
      <x:c r="A149" s="14" t="str">
        <x:v>polity-proima-indoellenika-basileia</x:v>
      </x:c>
      <x:c r="B149" s="14" t="str">
        <x:v>polity</x:v>
      </x:c>
      <x:c r="C149" s="16" t="str">
        <x:v>Πρώιμα ινδοελληνικά βασίλεια</x:v>
      </x:c>
      <x:c r="D149" s="16" t="str">
        <x:v>Early Indo-Greek kingdoms</x:v>
      </x:c>
      <x:c r="E149" s="14"/>
      <x:c r="F149" s="14" t="str">
        <x:v>src-iranicaonline-612dff96c99c</x:v>
      </x:c>
      <x:c r="G149" s="14" t="str">
        <x:v>reviewed</x:v>
      </x:c>
    </x:row>
    <x:row r="150" ht="30" customHeight="1">
      <x:c r="A150" s="14" t="str">
        <x:v>polity-proime-epoche-toy-sideroy-sten-athena</x:v>
      </x:c>
      <x:c r="B150" s="14" t="str">
        <x:v>polity</x:v>
      </x:c>
      <x:c r="C150" s="16" t="str">
        <x:v>Πρώιμη Εποχή του Σιδήρου στην Αθήνα</x:v>
      </x:c>
      <x:c r="D150" s="16" t="str">
        <x:v>Early Iron Age in Athens</x:v>
      </x:c>
      <x:c r="E150" s="14"/>
      <x:c r="F150" s="14" t="str">
        <x:v>src-whc-228f1be9c035</x:v>
      </x:c>
      <x:c r="G150" s="14" t="str">
        <x:v>reviewed</x:v>
      </x:c>
    </x:row>
    <x:row r="151" ht="30" customHeight="1">
      <x:c r="A151" s="14" t="str">
        <x:v>polity-proimes-makedonikes-egemonies</x:v>
      </x:c>
      <x:c r="B151" s="14" t="str">
        <x:v>polity</x:v>
      </x:c>
      <x:c r="C151" s="16" t="str">
        <x:v>Πρώιμες μακεδονικές ηγεμονίες</x:v>
      </x:c>
      <x:c r="D151" s="16" t="str">
        <x:v>Early Macedonian hegemonies</x:v>
      </x:c>
      <x:c r="E151" s="14"/>
      <x:c r="F151" s="14" t="str">
        <x:v>src-whc-fd006971700c</x:v>
      </x:c>
      <x:c r="G151" s="14" t="str">
        <x:v>reviewed</x:v>
      </x:c>
    </x:row>
    <x:row r="152" ht="30" customHeight="1">
      <x:c r="A152" s="14" t="str">
        <x:v>polity-proimes-mykenaikes-koinotetes-tes-boiotias</x:v>
      </x:c>
      <x:c r="B152" s="14" t="str">
        <x:v>polity</x:v>
      </x:c>
      <x:c r="C152" s="16" t="str">
        <x:v>Πρώιμες μυκηναϊκές κοινότητες της Βοιωτίας</x:v>
      </x:c>
      <x:c r="D152" s="16" t="str">
        <x:v>Early Mycenaean communities of Boeotia</x:v>
      </x:c>
      <x:c r="E152" s="14"/>
      <x:c r="F152" s="14" t="str">
        <x:v>src-mthv-715d665b63b5</x:v>
      </x:c>
      <x:c r="G152" s="14" t="str">
        <x:v>reviewed</x:v>
      </x:c>
    </x:row>
    <x:row r="153" ht="30" customHeight="1">
      <x:c r="A153" s="14" t="str">
        <x:v>polity-proimes-mykenaikes-koinotetes-tes-dytikes-messenias</x:v>
      </x:c>
      <x:c r="B153" s="14" t="str">
        <x:v>polity</x:v>
      </x:c>
      <x:c r="C153" s="16" t="str">
        <x:v>Πρώιμες μυκηναϊκές κοινότητες της δυτικής Μεσσηνίας</x:v>
      </x:c>
      <x:c r="D153" s="16" t="str">
        <x:v>Early Mycenaean communities of western Messinia</x:v>
      </x:c>
      <x:c r="E153" s="14"/>
      <x:c r="F153" s="14" t="str">
        <x:v>src-odysseus-00e2d87ae4a8</x:v>
      </x:c>
      <x:c r="G153" s="14" t="str">
        <x:v>reviewed</x:v>
      </x:c>
    </x:row>
    <x:row r="154" ht="30" customHeight="1">
      <x:c r="A154" s="14" t="str">
        <x:v>polity-proimes-mykenaikes-koinotetes-tes-kopaidas</x:v>
      </x:c>
      <x:c r="B154" s="14" t="str">
        <x:v>polity</x:v>
      </x:c>
      <x:c r="C154" s="16" t="str">
        <x:v>Πρώιμες μυκηναϊκές κοινότητες της Κωπαΐδας</x:v>
      </x:c>
      <x:c r="D154" s="16" t="str">
        <x:v>Early Mycenaean communities of Kopaida</x:v>
      </x:c>
      <x:c r="E154" s="14"/>
      <x:c r="F154" s="14" t="str">
        <x:v>src-mthv-715d665b63b5</x:v>
      </x:c>
      <x:c r="G154" s="14" t="str">
        <x:v>reviewed</x:v>
      </x:c>
    </x:row>
    <x:row r="155" ht="30" customHeight="1">
      <x:c r="A155" s="14" t="str">
        <x:v>polity-proimes-mykenaikes-koinotetes-tes-magnesias</x:v>
      </x:c>
      <x:c r="B155" s="14" t="str">
        <x:v>polity</x:v>
      </x:c>
      <x:c r="C155" s="16" t="str">
        <x:v>Πρώιμες μυκηναϊκές κοινότητες της Μαγνησίας</x:v>
      </x:c>
      <x:c r="D155" s="16" t="str">
        <x:v>Early Mycenaean communities of Magnesia</x:v>
      </x:c>
      <x:c r="E155" s="14"/>
      <x:c r="F155" s="14" t="str">
        <x:v>src-odysseus-589898851f92</x:v>
      </x:c>
      <x:c r="G155" s="14" t="str">
        <x:v>reviewed</x:v>
      </x:c>
    </x:row>
    <x:row r="156" ht="30" customHeight="1">
      <x:c r="A156" s="14" t="str">
        <x:v>polity-ptolemaike-dioikese-tes-kyproy</x:v>
      </x:c>
      <x:c r="B156" s="14" t="str">
        <x:v>polity</x:v>
      </x:c>
      <x:c r="C156" s="16" t="str">
        <x:v>Πτολεμαϊκή διοίκηση της Κύπρου</x:v>
      </x:c>
      <x:c r="D156" s="16" t="str">
        <x:v>Ptolemaic administration of Cyprus</x:v>
      </x:c>
      <x:c r="E156" s="14"/>
      <x:c r="F156" s="14" t="str">
        <x:v>src-websites-d5246844b076</x:v>
      </x:c>
      <x:c r="G156" s="14" t="str">
        <x:v>reviewed</x:v>
      </x:c>
    </x:row>
    <x:row r="157" ht="30" customHeight="1">
      <x:c r="A157" s="14" t="str">
        <x:v>polity-ptolemaike-dioikese-tes-kyrenaikes</x:v>
      </x:c>
      <x:c r="B157" s="14" t="str">
        <x:v>polity</x:v>
      </x:c>
      <x:c r="C157" s="16" t="str">
        <x:v>Πτολεμαϊκή διοίκηση της Κυρηναϊκής</x:v>
      </x:c>
      <x:c r="D157" s="16" t="str">
        <x:v>Ptolemaic administration of Cyrenaica</x:v>
      </x:c>
      <x:c r="E157" s="14"/>
      <x:c r="F157" s="14" t="str">
        <x:v>src-persee-a9866e5e43d7</x:v>
      </x:c>
      <x:c r="G157" s="14" t="str">
        <x:v>reviewed</x:v>
      </x:c>
    </x:row>
    <x:row r="158" ht="30" customHeight="1">
      <x:c r="A158" s="14" t="str">
        <x:v>polity-romaika-exartemeno-basileio-toy-bosporoy</x:v>
      </x:c>
      <x:c r="B158" s="14" t="str">
        <x:v>polity</x:v>
      </x:c>
      <x:c r="C158" s="16" t="str">
        <x:v>Ρωμαϊκά εξαρτημένο Βασίλειο του Βοσπόρου</x:v>
      </x:c>
      <x:c r="D158" s="16" t="str">
        <x:v>Roman dependent Kingdom of the Bosphorus</x:v>
      </x:c>
      <x:c r="E158" s="14"/>
      <x:c r="F158" s="14" t="str">
        <x:v>src-iranicaonline-4a607235e191</x:v>
      </x:c>
      <x:c r="G158" s="14" t="str">
        <x:v>reviewed</x:v>
      </x:c>
    </x:row>
    <x:row r="159" ht="30" customHeight="1">
      <x:c r="A159" s="14" t="str">
        <x:v>polity-romaike-eparchia-aigyptos</x:v>
      </x:c>
      <x:c r="B159" s="14" t="str">
        <x:v>polity</x:v>
      </x:c>
      <x:c r="C159" s="16" t="str">
        <x:v>Ρωμαϊκή επαρχία Αίγυπτος</x:v>
      </x:c>
      <x:c r="D159" s="16" t="str">
        <x:v>Roman province of Egypt</x:v>
      </x:c>
      <x:c r="E159" s="14"/>
      <x:c r="F159" s="14" t="str">
        <x:v>src-metmuseum-9200258a95cb</x:v>
      </x:c>
      <x:c r="G159" s="14" t="str">
        <x:v>reviewed</x:v>
      </x:c>
    </x:row>
    <x:row r="160" ht="30" customHeight="1">
      <x:c r="A160" s="14" t="str">
        <x:v>polity-romaike-eparchia-asia</x:v>
      </x:c>
      <x:c r="B160" s="14" t="str">
        <x:v>polity</x:v>
      </x:c>
      <x:c r="C160" s="16" t="str">
        <x:v>Ρωμαϊκή επαρχία Ασία</x:v>
      </x:c>
      <x:c r="D160" s="16" t="str">
        <x:v>Roman province of Asia</x:v>
      </x:c>
      <x:c r="E160" s="14"/>
      <x:c r="F160" s="14" t="str">
        <x:v>src-metmuseum-50fe20dc493f</x:v>
      </x:c>
      <x:c r="G160" s="14" t="str">
        <x:v>reviewed</x:v>
      </x:c>
    </x:row>
    <x:row r="161" ht="30" customHeight="1">
      <x:c r="A161" s="14" t="str">
        <x:v>polity-romaike-eparchia-bithynia</x:v>
      </x:c>
      <x:c r="B161" s="14" t="str">
        <x:v>polity</x:v>
      </x:c>
      <x:c r="C161" s="16" t="str">
        <x:v>Ρωμαϊκή επαρχία Βιθυνία</x:v>
      </x:c>
      <x:c r="D161" s="16" t="str">
        <x:v>Roman province of Bithynia</x:v>
      </x:c>
      <x:c r="E161" s="14"/>
      <x:c r="F161" s="14" t="str">
        <x:v>src-attalus-1b40f4436114</x:v>
      </x:c>
      <x:c r="G161" s="14" t="str">
        <x:v>reviewed</x:v>
      </x:c>
    </x:row>
    <x:row r="162" ht="30" customHeight="1">
      <x:c r="A162" s="14" t="str">
        <x:v>polity-romaike-eparchia-bithynia-kai-pontos</x:v>
      </x:c>
      <x:c r="B162" s="14" t="str">
        <x:v>polity</x:v>
      </x:c>
      <x:c r="C162" s="16" t="str">
        <x:v>Ρωμαϊκή επαρχία Βιθυνία και Πόντος</x:v>
      </x:c>
      <x:c r="D162" s="16" t="str">
        <x:v>Roman province of Bithynia and Pontus</x:v>
      </x:c>
      <x:c r="E162" s="14"/>
      <x:c r="F162" s="14" t="str">
        <x:v>src-metmuseum-50fe20dc493f</x:v>
      </x:c>
      <x:c r="G162" s="14" t="str">
        <x:v>reviewed</x:v>
      </x:c>
    </x:row>
    <x:row r="163" ht="30" customHeight="1">
      <x:c r="A163" s="14" t="str">
        <x:v>polity-romaike-eparchia-kappadokia</x:v>
      </x:c>
      <x:c r="B163" s="14" t="str">
        <x:v>polity</x:v>
      </x:c>
      <x:c r="C163" s="16" t="str">
        <x:v>Ρωμαϊκή επαρχία Καππαδοκία</x:v>
      </x:c>
      <x:c r="D163" s="16" t="str">
        <x:v>Roman province of Cappadocia</x:v>
      </x:c>
      <x:c r="E163" s="14"/>
      <x:c r="F163" s="14" t="str">
        <x:v>src-iranicaonline-0624b0b64cf3</x:v>
      </x:c>
      <x:c r="G163" s="14" t="str">
        <x:v>reviewed</x:v>
      </x:c>
    </x:row>
    <x:row r="164" ht="30" customHeight="1">
      <x:c r="A164" s="14" t="str">
        <x:v>polity-romaike-eparchia-syria</x:v>
      </x:c>
      <x:c r="B164" s="14" t="str">
        <x:v>polity</x:v>
      </x:c>
      <x:c r="C164" s="16" t="str">
        <x:v>Ρωμαϊκή επαρχία Συρία</x:v>
      </x:c>
      <x:c r="D164" s="16" t="str">
        <x:v>Roman province of Syria</x:v>
      </x:c>
      <x:c r="E164" s="14"/>
      <x:c r="F164" s="14" t="str">
        <x:v>src-whc-758c2c416617</x:v>
      </x:c>
      <x:c r="G164" s="14" t="str">
        <x:v>reviewed</x:v>
      </x:c>
    </x:row>
    <x:row r="165" ht="30" customHeight="1">
      <x:c r="A165" s="14" t="str">
        <x:v>polity-romaike-syria-parthiko-basileio-kai-alla-periphereiaka-krate</x:v>
      </x:c>
      <x:c r="B165" s="14" t="str">
        <x:v>polity</x:v>
      </x:c>
      <x:c r="C165" s="16" t="str">
        <x:v>Ρωμαϊκή Συρία, Παρθικό βασίλειο και άλλα περιφερειακά κράτη</x:v>
      </x:c>
      <x:c r="D165" s="16" t="str">
        <x:v>Roman Syria, Parthian kingdom and other peripheral states</x:v>
      </x:c>
      <x:c r="E165" s="14"/>
      <x:c r="F165" s="14" t="str">
        <x:v>src-metmuseum-31540f5687cf</x:v>
      </x:c>
      <x:c r="G165" s="14" t="str">
        <x:v>reviewed</x:v>
      </x:c>
    </x:row>
    <x:row r="166" ht="30" customHeight="1">
      <x:c r="A166" s="14" t="str">
        <x:v>polity-romaikes-merides-tes-makedonias-kai-katopin-eparchia</x:v>
      </x:c>
      <x:c r="B166" s="14" t="str">
        <x:v>polity</x:v>
      </x:c>
      <x:c r="C166" s="16" t="str">
        <x:v>Ρωμαϊκές μερίδες της Μακεδονίας και κατόπιν επαρχία</x:v>
      </x:c>
      <x:c r="D166" s="16" t="str">
        <x:v>Roman districts of Macedonia and later the Roman province</x:v>
      </x:c>
      <x:c r="E166" s="14"/>
      <x:c r="F166" s="14" t="str">
        <x:v>src-metmuseum-50fe20dc493f</x:v>
      </x:c>
      <x:c r="G166" s="14" t="str">
        <x:v>reviewed</x:v>
      </x:c>
    </x:row>
    <x:row r="167" ht="30" customHeight="1">
      <x:c r="A167" s="14" t="str">
        <x:v>polity-satrapeia-aigyptoy-tes-aytokratorias-toy-alexandroy</x:v>
      </x:c>
      <x:c r="B167" s="14" t="str">
        <x:v>polity</x:v>
      </x:c>
      <x:c r="C167" s="16" t="str">
        <x:v>Σατραπεία Αιγύπτου της αυτοκρατορίας του Αλεξάνδρου</x:v>
      </x:c>
      <x:c r="D167" s="16" t="str">
        <x:v>Egyptian satrapy of Alexander's empire</x:v>
      </x:c>
      <x:c r="E167" s="14"/>
      <x:c r="F167" s="14" t="str">
        <x:v>src-metmuseum-9200258a95cb</x:v>
      </x:c>
      <x:c r="G167" s="14" t="str">
        <x:v>reviewed</x:v>
      </x:c>
    </x:row>
    <x:row r="168" ht="30" customHeight="1">
      <x:c r="A168" s="14" t="str">
        <x:v>polity-seleykidike-epikyriarchia-ste-dytike-mikra-asia</x:v>
      </x:c>
      <x:c r="B168" s="14" t="str">
        <x:v>polity</x:v>
      </x:c>
      <x:c r="C168" s="16" t="str">
        <x:v>Σελευκιδική επικυριαρχία στη δυτική Μικρά Ασία</x:v>
      </x:c>
      <x:c r="D168" s="16" t="str">
        <x:v>Seleucid rule in western Asia Minor</x:v>
      </x:c>
      <x:c r="E168" s="14"/>
      <x:c r="F168" s="14" t="str">
        <x:v>src-metmuseum-50fe20dc493f</x:v>
      </x:c>
      <x:c r="G168" s="14" t="str">
        <x:v>reviewed</x:v>
      </x:c>
    </x:row>
    <x:row r="169" ht="30" customHeight="1">
      <x:c r="A169" s="14" t="str">
        <x:v>polity-seleykidike-satrapeia-baktrianes</x:v>
      </x:c>
      <x:c r="B169" s="14" t="str">
        <x:v>polity</x:v>
      </x:c>
      <x:c r="C169" s="16" t="str">
        <x:v>Σελευκιδική σατραπεία Βακτριανής</x:v>
      </x:c>
      <x:c r="D169" s="16" t="str">
        <x:v>Seleucid satrapy of Bactria</x:v>
      </x:c>
      <x:c r="E169" s="14"/>
      <x:c r="F169" s="14" t="str">
        <x:v>src-metmuseum-50fe20dc493f</x:v>
      </x:c>
      <x:c r="G169" s="14" t="str">
        <x:v>reviewed</x:v>
      </x:c>
    </x:row>
    <x:row r="170" ht="30" customHeight="1">
      <x:c r="A170" s="14" t="str">
        <x:v>polity-seleykidike-satrapeia-kommagenes</x:v>
      </x:c>
      <x:c r="B170" s="14" t="str">
        <x:v>polity</x:v>
      </x:c>
      <x:c r="C170" s="16" t="str">
        <x:v>Σελευκιδική σατραπεία Κομμαγηνής</x:v>
      </x:c>
      <x:c r="D170" s="16" t="str">
        <x:v>Seleucid satrapy of Commagene</x:v>
      </x:c>
      <x:c r="E170" s="14"/>
      <x:c r="F170" s="14" t="str">
        <x:v>src-whc-758c2c416617</x:v>
      </x:c>
      <x:c r="G170" s="14" t="str">
        <x:v>reviewed</x:v>
      </x:c>
    </x:row>
    <x:row r="171" ht="30" customHeight="1">
      <x:c r="A171" s="14" t="str">
        <x:v>polity-seleykidiko-basileio-kai-anexarteta-mikrasiatika-krate</x:v>
      </x:c>
      <x:c r="B171" s="14" t="str">
        <x:v>polity</x:v>
      </x:c>
      <x:c r="C171" s="16" t="str">
        <x:v>Σελευκιδικό βασίλειο και ανεξάρτητα μικρασιατικά κράτη</x:v>
      </x:c>
      <x:c r="D171" s="16" t="str">
        <x:v>Seleucid kingdom and independent Asia Minor states</x:v>
      </x:c>
      <x:c r="E171" s="14"/>
      <x:c r="F171" s="14" t="str">
        <x:v>src-pleiades-501458</x:v>
      </x:c>
      <x:c r="G171" s="14" t="str">
        <x:v>reviewed</x:v>
      </x:c>
    </x:row>
    <x:row r="172" ht="30" customHeight="1">
      <x:c r="A172" s="14" t="str">
        <x:v>polity-symmachia-ellenikon-poleon-stis-dyo-pleyres-toy-stenoy</x:v>
      </x:c>
      <x:c r="B172" s="14" t="str">
        <x:v>polity</x:v>
      </x:c>
      <x:c r="C172" s="16" t="str">
        <x:v>Συμμαχία ελληνικών πόλεων στις δύο πλευρές του στενού</x:v>
      </x:c>
      <x:c r="D172" s="16" t="str">
        <x:v>Alliance of Greek cities on both sides of the strait</x:v>
      </x:c>
      <x:c r="E172" s="14"/>
      <x:c r="F172" s="14" t="str">
        <x:v>src-iranicaonline-4a607235e191</x:v>
      </x:c>
      <x:c r="G172" s="14" t="str">
        <x:v>reviewed</x:v>
      </x:c>
    </x:row>
    <x:row r="173" ht="30" customHeight="1">
      <x:c r="A173" s="14" t="str">
        <x:v>polity-syrakoysia-pole-ypo-tyrannike-exoysia-toy-agathokle</x:v>
      </x:c>
      <x:c r="B173" s="14" t="str">
        <x:v>polity</x:v>
      </x:c>
      <x:c r="C173" s="16" t="str">
        <x:v>Συρακούσια πόλη υπό τυραννική εξουσία του Αγαθοκλή</x:v>
      </x:c>
      <x:c r="D173" s="16" t="str">
        <x:v>Syracuse city under the tyrannical rule of Agathocles</x:v>
      </x:c>
      <x:c r="E173" s="14"/>
      <x:c r="F173" s="14" t="str">
        <x:v>src-britishmuseum-073d3f0a8ae4</x:v>
      </x:c>
      <x:c r="G173" s="14" t="str">
        <x:v>reviewed</x:v>
      </x:c>
    </x:row>
    <x:row r="174" ht="30" customHeight="1">
      <x:c r="A174" s="14" t="str">
        <x:v>polity-thrakike-satrapeia-tes-aytokratorias-toy-alexandroy</x:v>
      </x:c>
      <x:c r="B174" s="14" t="str">
        <x:v>polity</x:v>
      </x:c>
      <x:c r="C174" s="16" t="str">
        <x:v>Θρακική σατραπεία της αυτοκρατορίας του Αλεξάνδρου</x:v>
      </x:c>
      <x:c r="D174" s="16" t="str">
        <x:v>Thracian satrapy of Alexander's empire</x:v>
      </x:c>
      <x:c r="E174" s="14"/>
      <x:c r="F174" s="14" t="str">
        <x:v>src-pleiades-501458</x:v>
      </x:c>
      <x:c r="G174" s="14" t="str">
        <x:v>reviewed</x:v>
      </x:c>
    </x:row>
    <x:row r="175" ht="30" customHeight="1">
      <x:c r="A175" s="14" t="str">
        <x:v>polity-topikes-bithynikes-egemonies</x:v>
      </x:c>
      <x:c r="B175" s="14" t="str">
        <x:v>polity</x:v>
      </x:c>
      <x:c r="C175" s="16" t="str">
        <x:v>Τοπικές βιθυνικές ηγεμονίες</x:v>
      </x:c>
      <x:c r="D175" s="16" t="str">
        <x:v>Local Bithynian hegemonies</x:v>
      </x:c>
      <x:c r="E175" s="14"/>
      <x:c r="F175" s="14" t="str">
        <x:v>src-attalus-1b40f4436114</x:v>
      </x:c>
      <x:c r="G175" s="14" t="str">
        <x:v>reviewed</x:v>
      </x:c>
    </x:row>
    <x:row r="176" ht="30" customHeight="1">
      <x:c r="A176" s="14" t="str">
        <x:v>polity-ystera-periphereiaka-indoellenika-basileia</x:v>
      </x:c>
      <x:c r="B176" s="14" t="str">
        <x:v>polity</x:v>
      </x:c>
      <x:c r="C176" s="16" t="str">
        <x:v>Ύστερα περιφερειακά ινδοελληνικά βασίλεια</x:v>
      </x:c>
      <x:c r="D176" s="16" t="str">
        <x:v>Later regional Indo-Greek kingdoms</x:v>
      </x:c>
      <x:c r="E176" s="14"/>
      <x:c r="F176" s="14" t="str">
        <x:v>src-iranicaonline-612dff96c99c</x:v>
      </x:c>
      <x:c r="G176" s="14" t="str">
        <x:v>reviewed</x:v>
      </x:c>
    </x:row>
    <x:row r="177" ht="30" customHeight="1">
      <x:c r="A177" s="14" t="str">
        <x:v>polity-ystere-epoche-toy-chalkoy-kai-proime-politeiake-sygkrotese-tes-palaipaphoy</x:v>
      </x:c>
      <x:c r="B177" s="14" t="str">
        <x:v>polity</x:v>
      </x:c>
      <x:c r="C177" s="16" t="str">
        <x:v>Ύστερη εποχή του Χαλκού και πρώιμη πολιτειακή συγκρότηση της Παλαίπαφου</x:v>
      </x:c>
      <x:c r="D177" s="16" t="str">
        <x:v>Late Bronze Age and early state formation of Palaipafos</x:v>
      </x:c>
      <x:c r="E177" s="14"/>
      <x:c r="F177" s="14" t="str">
        <x:v>src-websites-d5246844b076</x:v>
      </x:c>
      <x:c r="G177" s="14" t="str">
        <x:v>reviewed</x:v>
      </x:c>
    </x:row>
    <x:row r="178" ht="30" customHeight="1">
      <x:c r="A178" s="14" t="str">
        <x:v>polity-ystere-epoche-toy-chalkoy-sten-egkome-kai-proimes-kypriakes-egemonies</x:v>
      </x:c>
      <x:c r="B178" s="14" t="str">
        <x:v>polity</x:v>
      </x:c>
      <x:c r="C178" s="16" t="str">
        <x:v>Ύστερη εποχή του Χαλκού στην Έγκωμη και πρώιμες κυπριακές ηγεμονίες</x:v>
      </x:c>
      <x:c r="D178" s="16" t="str">
        <x:v>Late Bronze Age in Engomi and early Cypriot hegemonies</x:v>
      </x:c>
      <x:c r="E178" s="14"/>
      <x:c r="F178" s="14" t="str">
        <x:v>src-uni-muenster-0a0030be4d2a</x:v>
      </x:c>
      <x:c r="G178" s="14" t="str">
        <x:v>reviewed</x:v>
      </x:c>
    </x:row>
    <x:row r="179" ht="30" customHeight="1">
      <x:c r="A179" s="14" t="str">
        <x:v>polity-ystero-pelateiako-basileio-tes-kappadokias</x:v>
      </x:c>
      <x:c r="B179" s="14" t="str">
        <x:v>polity</x:v>
      </x:c>
      <x:c r="C179" s="16" t="str">
        <x:v>Ύστερο πελατειακό βασίλειο της Καππαδοκίας</x:v>
      </x:c>
      <x:c r="D179" s="16" t="str">
        <x:v>Late Client Kingdom of Cappadocia</x:v>
      </x:c>
      <x:c r="E179" s="14"/>
      <x:c r="F179" s="14" t="str">
        <x:v>src-iranicaonline-0624b0b64cf3</x:v>
      </x:c>
      <x:c r="G179" s="14" t="str">
        <x:v>reviewed</x:v>
      </x:c>
    </x:row>
    <x:row r="180" ht="30" customHeight="1">
      <x:c r="A180" s="14" t="str">
        <x:v>region-achaia</x:v>
      </x:c>
      <x:c r="B180" s="14" t="str">
        <x:v>ancient_region</x:v>
      </x:c>
      <x:c r="C180" s="16" t="str">
        <x:v>Αχαΐα</x:v>
      </x:c>
      <x:c r="D180" s="16" t="str">
        <x:v>Achaea</x:v>
      </x:c>
      <x:c r="E180" s="14"/>
      <x:c r="F180" s="14" t="str">
        <x:v>src-pleiades-570567</x:v>
      </x:c>
      <x:c r="G180" s="14" t="str">
        <x:v>reviewed</x:v>
      </x:c>
    </x:row>
    <x:row r="181" ht="30" customHeight="1">
      <x:c r="A181" s="14" t="str">
        <x:v>region-aigina</x:v>
      </x:c>
      <x:c r="B181" s="14" t="str">
        <x:v>ancient_region</x:v>
      </x:c>
      <x:c r="C181" s="16" t="str">
        <x:v>Αίγινα</x:v>
      </x:c>
      <x:c r="D181" s="16" t="str">
        <x:v>Aegina</x:v>
      </x:c>
      <x:c r="E181" s="14"/>
      <x:c r="F181" s="14" t="str">
        <x:v>src-pleiades-579872</x:v>
      </x:c>
      <x:c r="G181" s="14" t="str">
        <x:v>reviewed</x:v>
      </x:c>
    </x:row>
    <x:row r="182" ht="30" customHeight="1">
      <x:c r="A182" s="14" t="str">
        <x:v>region-aigyptos</x:v>
      </x:c>
      <x:c r="B182" s="14" t="str">
        <x:v>ancient_region</x:v>
      </x:c>
      <x:c r="C182" s="16" t="str">
        <x:v>Αίγυπτος</x:v>
      </x:c>
      <x:c r="D182" s="16" t="str">
        <x:v>Egypt</x:v>
      </x:c>
      <x:c r="E182" s="14"/>
      <x:c r="F182" s="14" t="str">
        <x:v>src-pleiades-727070</x:v>
      </x:c>
      <x:c r="G182" s="14" t="str">
        <x:v>reviewed</x:v>
      </x:c>
    </x:row>
    <x:row r="183" ht="30" customHeight="1">
      <x:c r="A183" s="14" t="str">
        <x:v>region-aigyptos-kai-anatolike-mesogeios</x:v>
      </x:c>
      <x:c r="B183" s="14" t="str">
        <x:v>ancient_region</x:v>
      </x:c>
      <x:c r="C183" s="16" t="str">
        <x:v>Αίγυπτος και ανατολική Μεσόγειος</x:v>
      </x:c>
      <x:c r="D183" s="16" t="str">
        <x:v>Egypt and the eastern Mediterranean</x:v>
      </x:c>
      <x:c r="E183" s="14"/>
      <x:c r="F183" s="14" t="str">
        <x:v>src-metmuseum-9200258a95cb</x:v>
      </x:c>
      <x:c r="G183" s="14" t="str">
        <x:v>reviewed</x:v>
      </x:c>
    </x:row>
    <x:row r="184" ht="30" customHeight="1">
      <x:c r="A184" s="14" t="str">
        <x:v>region-aiolida</x:v>
      </x:c>
      <x:c r="B184" s="14" t="str">
        <x:v>ancient_region</x:v>
      </x:c>
      <x:c r="C184" s="16" t="str">
        <x:v>Αιολίδα</x:v>
      </x:c>
      <x:c r="D184" s="16" t="str">
        <x:v>Aeolis</x:v>
      </x:c>
      <x:c r="E184" s="14"/>
      <x:c r="F184" s="14" t="str">
        <x:v>src-pleiades-550506</x:v>
      </x:c>
      <x:c r="G184" s="14" t="str">
        <x:v>reviewed</x:v>
      </x:c>
    </x:row>
    <x:row r="185" ht="30" customHeight="1">
      <x:c r="A185" s="14" t="str">
        <x:v>region-aitolia</x:v>
      </x:c>
      <x:c r="B185" s="14" t="str">
        <x:v>ancient_region</x:v>
      </x:c>
      <x:c r="C185" s="16" t="str">
        <x:v>Αιτωλία</x:v>
      </x:c>
      <x:c r="D185" s="16" t="str">
        <x:v>Aetolia</x:v>
      </x:c>
      <x:c r="E185" s="14"/>
      <x:c r="F185" s="14" t="str">
        <x:v>src-pleiades-728329645</x:v>
      </x:c>
      <x:c r="G185" s="14" t="str">
        <x:v>reviewed</x:v>
      </x:c>
    </x:row>
    <x:row r="186" ht="30" customHeight="1">
      <x:c r="A186" s="14" t="str">
        <x:v>region-argolida</x:v>
      </x:c>
      <x:c r="B186" s="14" t="str">
        <x:v>ancient_region</x:v>
      </x:c>
      <x:c r="C186" s="16" t="str">
        <x:v>Αργολίδα</x:v>
      </x:c>
      <x:c r="D186" s="16" t="str">
        <x:v>Argolis</x:v>
      </x:c>
      <x:c r="E186" s="14"/>
      <x:c r="F186" s="14" t="str">
        <x:v>src-pleiades-570106</x:v>
      </x:c>
      <x:c r="G186" s="14" t="str">
        <x:v>reviewed</x:v>
      </x:c>
    </x:row>
    <x:row r="187" ht="30" customHeight="1">
      <x:c r="A187" s="14" t="str">
        <x:v>region-arkadia</x:v>
      </x:c>
      <x:c r="B187" s="14" t="str">
        <x:v>ancient_region</x:v>
      </x:c>
      <x:c r="C187" s="16" t="str">
        <x:v>Αρκαδία</x:v>
      </x:c>
      <x:c r="D187" s="16" t="str">
        <x:v>Arcadia</x:v>
      </x:c>
      <x:c r="E187" s="14"/>
      <x:c r="F187" s="14" t="str">
        <x:v>src-pleiades-570459</x:v>
      </x:c>
      <x:c r="G187" s="14" t="str">
        <x:v>reviewed</x:v>
      </x:c>
    </x:row>
    <x:row r="188" ht="30" customHeight="1">
      <x:c r="A188" s="14" t="str">
        <x:v>region-attike</x:v>
      </x:c>
      <x:c r="B188" s="14" t="str">
        <x:v>ancient_region</x:v>
      </x:c>
      <x:c r="C188" s="16" t="str">
        <x:v>Αττική</x:v>
      </x:c>
      <x:c r="D188" s="16" t="str">
        <x:v>Attica</x:v>
      </x:c>
      <x:c r="E188" s="14"/>
      <x:c r="F188" s="14" t="str">
        <x:v>src-pleiades-579885</x:v>
      </x:c>
      <x:c r="G188" s="14" t="str">
        <x:v>reviewed</x:v>
      </x:c>
    </x:row>
    <x:row r="189" ht="30" customHeight="1">
      <x:c r="A189" s="14" t="str">
        <x:v>region-baktriane</x:v>
      </x:c>
      <x:c r="B189" s="14" t="str">
        <x:v>ancient_region</x:v>
      </x:c>
      <x:c r="C189" s="16" t="str">
        <x:v>Βακτριανή</x:v>
      </x:c>
      <x:c r="D189" s="16" t="str">
        <x:v>Bactria</x:v>
      </x:c>
      <x:c r="E189" s="14"/>
      <x:c r="F189" s="14" t="str">
        <x:v>src-metmuseum-50fe20dc493f</x:v>
      </x:c>
      <x:c r="G189" s="14" t="str">
        <x:v>reviewed</x:v>
      </x:c>
    </x:row>
    <x:row r="190" ht="30" customHeight="1">
      <x:c r="A190" s="14" t="str">
        <x:v>region-bithynia</x:v>
      </x:c>
      <x:c r="B190" s="14" t="str">
        <x:v>ancient_region</x:v>
      </x:c>
      <x:c r="C190" s="16" t="str">
        <x:v>Βιθυνία</x:v>
      </x:c>
      <x:c r="D190" s="16" t="str">
        <x:v>Bithynia</x:v>
      </x:c>
      <x:c r="E190" s="14"/>
      <x:c r="F190" s="14" t="str">
        <x:v>src-attalus-1b40f4436114</x:v>
      </x:c>
      <x:c r="G190" s="14" t="str">
        <x:v>reviewed</x:v>
      </x:c>
    </x:row>
    <x:row r="191" ht="30" customHeight="1">
      <x:c r="A191" s="14" t="str">
        <x:v>region-bithynia-bosporos</x:v>
      </x:c>
      <x:c r="B191" s="14" t="str">
        <x:v>ancient_region</x:v>
      </x:c>
      <x:c r="C191" s="16" t="str">
        <x:v>Βιθυνία / Βόσπορος</x:v>
      </x:c>
      <x:c r="D191" s="16" t="str">
        <x:v>Bithynia / Bosporus</x:v>
      </x:c>
      <x:c r="E191" s="14"/>
      <x:c r="F191" s="14" t="str">
        <x:v>src-pleiades-520988</x:v>
      </x:c>
      <x:c r="G191" s="14" t="str">
        <x:v>reviewed</x:v>
      </x:c>
    </x:row>
    <x:row r="192" ht="30" customHeight="1">
      <x:c r="A192" s="14" t="str">
        <x:v>region-bithynia-pontos</x:v>
      </x:c>
      <x:c r="B192" s="14" t="str">
        <x:v>ancient_region</x:v>
      </x:c>
      <x:c r="C192" s="16" t="str">
        <x:v>Βιθυνία / Πόντος</x:v>
      </x:c>
      <x:c r="D192" s="16" t="str">
        <x:v>Bithynia / Pontus</x:v>
      </x:c>
      <x:c r="E192" s="14"/>
      <x:c r="F192" s="14" t="str">
        <x:v>src-pleiades-844944</x:v>
      </x:c>
      <x:c r="G192" s="14" t="str">
        <x:v>reviewed</x:v>
      </x:c>
    </x:row>
    <x:row r="193" ht="30" customHeight="1">
      <x:c r="A193" s="14" t="str">
        <x:v>region-boiotia</x:v>
      </x:c>
      <x:c r="B193" s="14" t="str">
        <x:v>ancient_region</x:v>
      </x:c>
      <x:c r="C193" s="16" t="str">
        <x:v>Βοιωτία</x:v>
      </x:c>
      <x:c r="D193" s="16" t="str">
        <x:v>Boeotia</x:v>
      </x:c>
      <x:c r="E193" s="14"/>
      <x:c r="F193" s="14" t="str">
        <x:v>src-pleiades-541138</x:v>
      </x:c>
      <x:c r="G193" s="14" t="str">
        <x:v>reviewed</x:v>
      </x:c>
    </x:row>
    <x:row r="194" ht="30" customHeight="1">
      <x:c r="A194" s="14" t="str">
        <x:v>region-boreio-aigaio</x:v>
      </x:c>
      <x:c r="B194" s="14" t="str">
        <x:v>ancient_region</x:v>
      </x:c>
      <x:c r="C194" s="16" t="str">
        <x:v>Βόρειο Αιγαίο</x:v>
      </x:c>
      <x:c r="D194" s="16" t="str">
        <x:v>Northern Aegean</x:v>
      </x:c>
      <x:c r="E194" s="14"/>
      <x:c r="F194" s="14" t="str">
        <x:v>src-pleiades-550604</x:v>
      </x:c>
      <x:c r="G194" s="14" t="str">
        <x:v>reviewed</x:v>
      </x:c>
    </x:row>
    <x:row r="195" ht="30" customHeight="1">
      <x:c r="A195" s="14" t="str">
        <x:v>region-brettia</x:v>
      </x:c>
      <x:c r="B195" s="14" t="str">
        <x:v>ancient_region</x:v>
      </x:c>
      <x:c r="C195" s="16" t="str">
        <x:v>Βρεττία</x:v>
      </x:c>
      <x:c r="D195" s="16" t="str">
        <x:v>Bruttium</x:v>
      </x:c>
      <x:c r="E195" s="14"/>
      <x:c r="F195" s="14" t="str">
        <x:v>src-pleiades-452332</x:v>
      </x:c>
      <x:c r="G195" s="14" t="str">
        <x:v>reviewed</x:v>
      </x:c>
    </x:row>
    <x:row r="196" ht="30" customHeight="1">
      <x:c r="A196" s="14" t="str">
        <x:v>region-chalkidike</x:v>
      </x:c>
      <x:c r="B196" s="14" t="str">
        <x:v>ancient_region</x:v>
      </x:c>
      <x:c r="C196" s="16" t="str">
        <x:v>Χαλκιδική</x:v>
      </x:c>
      <x:c r="D196" s="16" t="str">
        <x:v>Chalcidice</x:v>
      </x:c>
      <x:c r="E196" s="14"/>
      <x:c r="F196" s="14" t="str">
        <x:v>src-pleiades-491678</x:v>
      </x:c>
      <x:c r="G196" s="14" t="str">
        <x:v>reviewed</x:v>
      </x:c>
    </x:row>
    <x:row r="197" ht="30" customHeight="1">
      <x:c r="A197" s="14" t="str">
        <x:v>region-dalmatia</x:v>
      </x:c>
      <x:c r="B197" s="14" t="str">
        <x:v>ancient_region</x:v>
      </x:c>
      <x:c r="C197" s="16" t="str">
        <x:v>Δαλματία</x:v>
      </x:c>
      <x:c r="D197" s="16" t="str">
        <x:v>Dalmatia</x:v>
      </x:c>
      <x:c r="E197" s="14"/>
      <x:c r="F197" s="14" t="str">
        <x:v>src-armus-4dde844bac8f</x:v>
      </x:c>
      <x:c r="G197" s="14" t="str">
        <x:v>reviewed</x:v>
      </x:c>
    </x:row>
    <x:row r="198" ht="30" customHeight="1">
      <x:c r="A198" s="14" t="str">
        <x:v>region-delta-neiloy</x:v>
      </x:c>
      <x:c r="B198" s="14" t="str">
        <x:v>ancient_region</x:v>
      </x:c>
      <x:c r="C198" s="16" t="str">
        <x:v>Δέλτα Νείλου</x:v>
      </x:c>
      <x:c r="D198" s="16" t="str">
        <x:v>Nile Delta</x:v>
      </x:c>
      <x:c r="E198" s="14"/>
      <x:c r="F198" s="14" t="str">
        <x:v>src-pleiades-727169</x:v>
      </x:c>
      <x:c r="G198" s="14" t="str">
        <x:v>reviewed</x:v>
      </x:c>
    </x:row>
    <x:row r="199" ht="30" customHeight="1">
      <x:c r="A199" s="14" t="str">
        <x:v>region-dodekanesa</x:v>
      </x:c>
      <x:c r="B199" s="14" t="str">
        <x:v>ancient_region</x:v>
      </x:c>
      <x:c r="C199" s="16" t="str">
        <x:v>Δωδεκάνησα</x:v>
      </x:c>
      <x:c r="D199" s="16" t="str">
        <x:v>Dodecanese</x:v>
      </x:c>
      <x:c r="E199" s="14"/>
      <x:c r="F199" s="14" t="str">
        <x:v>src-pleiades-599528</x:v>
      </x:c>
      <x:c r="G199" s="14" t="str">
        <x:v>reviewed</x:v>
      </x:c>
    </x:row>
    <x:row r="200" ht="30" customHeight="1">
      <x:c r="A200" s="14" t="str">
        <x:v>region-elida</x:v>
      </x:c>
      <x:c r="B200" s="14" t="str">
        <x:v>ancient_region</x:v>
      </x:c>
      <x:c r="C200" s="16" t="str">
        <x:v>Ήλιδα</x:v>
      </x:c>
      <x:c r="D200" s="16" t="str">
        <x:v>Elis</x:v>
      </x:c>
      <x:c r="E200" s="14"/>
      <x:c r="F200" s="14" t="str">
        <x:v>src-pleiades-570531</x:v>
      </x:c>
      <x:c r="G200" s="14" t="str">
        <x:v>reviewed</x:v>
      </x:c>
    </x:row>
    <x:row r="201" ht="30" customHeight="1">
      <x:c r="A201" s="14" t="str">
        <x:v>region-epeiros</x:v>
      </x:c>
      <x:c r="B201" s="14" t="str">
        <x:v>ancient_region</x:v>
      </x:c>
      <x:c r="C201" s="16" t="str">
        <x:v>Ήπειρος</x:v>
      </x:c>
      <x:c r="D201" s="16" t="str">
        <x:v>Epirus</x:v>
      </x:c>
      <x:c r="E201" s="14"/>
      <x:c r="F201" s="14" t="str">
        <x:v>src-pleiades-530794</x:v>
      </x:c>
      <x:c r="G201" s="14" t="str">
        <x:v>reviewed</x:v>
      </x:c>
    </x:row>
    <x:row r="202" ht="30" customHeight="1">
      <x:c r="A202" s="14" t="str">
        <x:v>region-epeiros-ionio</x:v>
      </x:c>
      <x:c r="B202" s="14" t="str">
        <x:v>ancient_region</x:v>
      </x:c>
      <x:c r="C202" s="16" t="str">
        <x:v>Ήπειρος / Ιόνιο</x:v>
      </x:c>
      <x:c r="D202" s="16" t="str">
        <x:v>Epirus / Ionian Sea</x:v>
      </x:c>
      <x:c r="E202" s="14"/>
      <x:c r="F202" s="14" t="str">
        <x:v>src-pleiades-530834</x:v>
      </x:c>
      <x:c r="G202" s="14" t="str">
        <x:v>reviewed</x:v>
      </x:c>
    </x:row>
    <x:row r="203" ht="30" customHeight="1">
      <x:c r="A203" s="14" t="str">
        <x:v>region-eyboia</x:v>
      </x:c>
      <x:c r="B203" s="14" t="str">
        <x:v>ancient_region</x:v>
      </x:c>
      <x:c r="C203" s="16" t="str">
        <x:v>Εύβοια</x:v>
      </x:c>
      <x:c r="D203" s="16" t="str">
        <x:v>Euboea</x:v>
      </x:c>
      <x:c r="E203" s="14"/>
      <x:c r="F203" s="14" t="str">
        <x:v>src-pleiades-579925</x:v>
      </x:c>
      <x:c r="G203" s="14" t="str">
        <x:v>reviewed</x:v>
      </x:c>
    </x:row>
    <x:row r="204" ht="30" customHeight="1">
      <x:c r="A204" s="14" t="str">
        <x:v>region-galatia-probegkia</x:v>
      </x:c>
      <x:c r="B204" s="14" t="str">
        <x:v>ancient_region</x:v>
      </x:c>
      <x:c r="C204" s="16" t="str">
        <x:v>Γαλατία / Προβηγκία</x:v>
      </x:c>
      <x:c r="D204" s="16" t="str">
        <x:v>Gaul / Provence</x:v>
      </x:c>
      <x:c r="E204" s="14"/>
      <x:c r="F204" s="14" t="str">
        <x:v>src-pleiades-148127</x:v>
      </x:c>
      <x:c r="G204" s="14" t="str">
        <x:v>reviewed</x:v>
      </x:c>
    </x:row>
    <x:row r="205" ht="30" customHeight="1">
      <x:c r="A205" s="14" t="str">
        <x:v>region-gandara-kai-boreiodytike-india</x:v>
      </x:c>
      <x:c r="B205" s="14" t="str">
        <x:v>ancient_region</x:v>
      </x:c>
      <x:c r="C205" s="16" t="str">
        <x:v>Γανδάρα και βορειοδυτική Ινδία</x:v>
      </x:c>
      <x:c r="D205" s="16" t="str">
        <x:v>Gandhara and northwestern India</x:v>
      </x:c>
      <x:c r="E205" s="14"/>
      <x:c r="F205" s="14" t="str">
        <x:v>src-iranicaonline-612dff96c99c</x:v>
      </x:c>
      <x:c r="G205" s="14" t="str">
        <x:v>reviewed</x:v>
      </x:c>
    </x:row>
    <x:row r="206" ht="30" customHeight="1">
      <x:c r="A206" s="14" t="str">
        <x:v>region-gandara-kai-pantzamp</x:v>
      </x:c>
      <x:c r="B206" s="14" t="str">
        <x:v>ancient_region</x:v>
      </x:c>
      <x:c r="C206" s="16" t="str">
        <x:v>Γανδάρα και Παντζάμπ</x:v>
      </x:c>
      <x:c r="D206" s="16" t="str">
        <x:v>Gandhara and Punjab</x:v>
      </x:c>
      <x:c r="E206" s="14"/>
      <x:c r="F206" s="14" t="str">
        <x:v>src-iranicaonline-612dff96c99c</x:v>
      </x:c>
      <x:c r="G206" s="14" t="str">
        <x:v>reviewed</x:v>
      </x:c>
    </x:row>
    <x:row r="207" ht="30" customHeight="1">
      <x:c r="A207" s="14" t="str">
        <x:v>region-gandara-paropamisades-kai-pantzamp</x:v>
      </x:c>
      <x:c r="B207" s="14" t="str">
        <x:v>ancient_region</x:v>
      </x:c>
      <x:c r="C207" s="16" t="str">
        <x:v>Γανδάρα, Παροπαμισάδες και Παντζάμπ</x:v>
      </x:c>
      <x:c r="D207" s="16" t="str">
        <x:v>Gandhara, Paropamisadae and Punjab</x:v>
      </x:c>
      <x:c r="E207" s="14"/>
      <x:c r="F207" s="14" t="str">
        <x:v>src-iranicaonline-612dff96c99c</x:v>
      </x:c>
      <x:c r="G207" s="14" t="str">
        <x:v>reviewed</x:v>
      </x:c>
    </x:row>
    <x:row r="208" ht="30" customHeight="1">
      <x:c r="A208" s="14" t="str">
        <x:v>region-iberia-katalonia</x:v>
      </x:c>
      <x:c r="B208" s="14" t="str">
        <x:v>ancient_region</x:v>
      </x:c>
      <x:c r="C208" s="16" t="str">
        <x:v>Ιβηρία / Καταλονία</x:v>
      </x:c>
      <x:c r="D208" s="16" t="str">
        <x:v>Iberia / Catalonia</x:v>
      </x:c>
      <x:c r="E208" s="14"/>
      <x:c r="F208" s="14" t="str">
        <x:v>src-pleiades-246382</x:v>
      </x:c>
      <x:c r="G208" s="14" t="str">
        <x:v>reviewed</x:v>
      </x:c>
    </x:row>
    <x:row r="209" ht="30" customHeight="1">
      <x:c r="A209" s="14" t="str">
        <x:v>region-illyria</x:v>
      </x:c>
      <x:c r="B209" s="14" t="str">
        <x:v>ancient_region</x:v>
      </x:c>
      <x:c r="C209" s="16" t="str">
        <x:v>Ιλλυρία</x:v>
      </x:c>
      <x:c r="D209" s="16" t="str">
        <x:v>Illyria</x:v>
      </x:c>
      <x:c r="E209" s="14"/>
      <x:c r="F209" s="14" t="str">
        <x:v>src-pleiades-481728</x:v>
      </x:c>
      <x:c r="G209" s="14" t="str">
        <x:v>reviewed</x:v>
      </x:c>
    </x:row>
    <x:row r="210" ht="30" customHeight="1">
      <x:c r="A210" s="14" t="str">
        <x:v>region-ionia</x:v>
      </x:c>
      <x:c r="B210" s="14" t="str">
        <x:v>ancient_region</x:v>
      </x:c>
      <x:c r="C210" s="16" t="str">
        <x:v>Ιωνία</x:v>
      </x:c>
      <x:c r="D210" s="16" t="str">
        <x:v>Ionia</x:v>
      </x:c>
      <x:c r="E210" s="14"/>
      <x:c r="F210" s="14" t="str">
        <x:v>src-pleiades-550893</x:v>
      </x:c>
      <x:c r="G210" s="14" t="str">
        <x:v>reviewed</x:v>
      </x:c>
    </x:row>
    <x:row r="211" ht="30" customHeight="1">
      <x:c r="A211" s="14" t="str">
        <x:v>region-ionia-chios</x:v>
      </x:c>
      <x:c r="B211" s="14" t="str">
        <x:v>ancient_region</x:v>
      </x:c>
      <x:c r="C211" s="16" t="str">
        <x:v>Ιωνία / Χίος</x:v>
      </x:c>
      <x:c r="D211" s="16" t="str">
        <x:v>Ionia / Chios</x:v>
      </x:c>
      <x:c r="E211" s="14"/>
      <x:c r="F211" s="14" t="str">
        <x:v>src-pleiades-550496</x:v>
      </x:c>
      <x:c r="G211" s="14" t="str">
        <x:v>reviewed</x:v>
      </x:c>
    </x:row>
    <x:row r="212" ht="30" customHeight="1">
      <x:c r="A212" s="14" t="str">
        <x:v>region-ionia-karia</x:v>
      </x:c>
      <x:c r="B212" s="14" t="str">
        <x:v>ancient_region</x:v>
      </x:c>
      <x:c r="C212" s="16" t="str">
        <x:v>Ιωνία / Καρία</x:v>
      </x:c>
      <x:c r="D212" s="16" t="str">
        <x:v>Ionia / Caria</x:v>
      </x:c>
      <x:c r="E212" s="14"/>
      <x:c r="F212" s="14" t="str">
        <x:v>src-pleiades-599778</x:v>
      </x:c>
      <x:c r="G212" s="14" t="str">
        <x:v>reviewed</x:v>
      </x:c>
    </x:row>
    <x:row r="213" ht="30" customHeight="1">
      <x:c r="A213" s="14" t="str">
        <x:v>region-ionia-samos</x:v>
      </x:c>
      <x:c r="B213" s="14" t="str">
        <x:v>ancient_region</x:v>
      </x:c>
      <x:c r="C213" s="16" t="str">
        <x:v>Ιωνία / Σάμος</x:v>
      </x:c>
      <x:c r="D213" s="16" t="str">
        <x:v>Ionia / Samos</x:v>
      </x:c>
      <x:c r="E213" s="14"/>
      <x:c r="F213" s="14" t="str">
        <x:v>src-pleiades-599925</x:v>
      </x:c>
      <x:c r="G213" s="14" t="str">
        <x:v>reviewed</x:v>
      </x:c>
    </x:row>
    <x:row r="214" ht="30" customHeight="1">
      <x:c r="A214" s="14" t="str">
        <x:v>region-kappadokia</x:v>
      </x:c>
      <x:c r="B214" s="14" t="str">
        <x:v>ancient_region</x:v>
      </x:c>
      <x:c r="C214" s="16" t="str">
        <x:v>Καππαδοκία</x:v>
      </x:c>
      <x:c r="D214" s="16" t="str">
        <x:v>Cappadocia</x:v>
      </x:c>
      <x:c r="E214" s="14"/>
      <x:c r="F214" s="14" t="str">
        <x:v>src-iranicaonline-0624b0b64cf3</x:v>
      </x:c>
      <x:c r="G214" s="14" t="str">
        <x:v>reviewed</x:v>
      </x:c>
    </x:row>
    <x:row r="215" ht="30" customHeight="1">
      <x:c r="A215" s="14" t="str">
        <x:v>region-karia</x:v>
      </x:c>
      <x:c r="B215" s="14" t="str">
        <x:v>ancient_region</x:v>
      </x:c>
      <x:c r="C215" s="16" t="str">
        <x:v>Καρία</x:v>
      </x:c>
      <x:c r="D215" s="16" t="str">
        <x:v>Caria</x:v>
      </x:c>
      <x:c r="E215" s="14"/>
      <x:c r="F215" s="14" t="str">
        <x:v>src-pleiades-599636</x:v>
      </x:c>
      <x:c r="G215" s="14" t="str">
        <x:v>reviewed</x:v>
      </x:c>
    </x:row>
    <x:row r="216" ht="30" customHeight="1">
      <x:c r="A216" s="14" t="str">
        <x:v>region-kimmerios-bosporos</x:v>
      </x:c>
      <x:c r="B216" s="14" t="str">
        <x:v>ancient_region</x:v>
      </x:c>
      <x:c r="C216" s="16" t="str">
        <x:v>Κιμμέριος Βόσπορος</x:v>
      </x:c>
      <x:c r="D216" s="16" t="str">
        <x:v>Cimmerian Bosporus</x:v>
      </x:c>
      <x:c r="E216" s="14"/>
      <x:c r="F216" s="14" t="str">
        <x:v>src-pleiades-854719</x:v>
      </x:c>
      <x:c r="G216" s="14" t="str">
        <x:v>reviewed</x:v>
      </x:c>
    </x:row>
    <x:row r="217" ht="30" customHeight="1">
      <x:c r="A217" s="14" t="str">
        <x:v>region-kolchida</x:v>
      </x:c>
      <x:c r="B217" s="14" t="str">
        <x:v>ancient_region</x:v>
      </x:c>
      <x:c r="C217" s="16" t="str">
        <x:v>Κολχίδα</x:v>
      </x:c>
      <x:c r="D217" s="16" t="str">
        <x:v>Colchis</x:v>
      </x:c>
      <x:c r="E217" s="14"/>
      <x:c r="F217" s="14" t="str">
        <x:v>src-pleiades-857107</x:v>
      </x:c>
      <x:c r="G217" s="14" t="str">
        <x:v>reviewed</x:v>
      </x:c>
    </x:row>
    <x:row r="218" ht="30" customHeight="1">
      <x:c r="A218" s="14" t="str">
        <x:v>region-kommagene</x:v>
      </x:c>
      <x:c r="B218" s="14" t="str">
        <x:v>ancient_region</x:v>
      </x:c>
      <x:c r="C218" s="16" t="str">
        <x:v>Κομμαγηνή</x:v>
      </x:c>
      <x:c r="D218" s="16" t="str">
        <x:v>Commagene</x:v>
      </x:c>
      <x:c r="E218" s="14"/>
      <x:c r="F218" s="14" t="str">
        <x:v>src-whc-758c2c416617</x:v>
      </x:c>
      <x:c r="G218" s="14" t="str">
        <x:v>reviewed</x:v>
      </x:c>
    </x:row>
    <x:row r="219" ht="30" customHeight="1">
      <x:c r="A219" s="14" t="str">
        <x:v>region-korinthia</x:v>
      </x:c>
      <x:c r="B219" s="14" t="str">
        <x:v>ancient_region</x:v>
      </x:c>
      <x:c r="C219" s="16" t="str">
        <x:v>Κορινθία</x:v>
      </x:c>
      <x:c r="D219" s="16" t="str">
        <x:v>Corinthia</x:v>
      </x:c>
      <x:c r="E219" s="14"/>
      <x:c r="F219" s="14" t="str">
        <x:v>src-pleiades-570182</x:v>
      </x:c>
      <x:c r="G219" s="14" t="str">
        <x:v>reviewed</x:v>
      </x:c>
    </x:row>
    <x:row r="220" ht="30" customHeight="1">
      <x:c r="A220" s="14" t="str">
        <x:v>region-kos-dodekanesa</x:v>
      </x:c>
      <x:c r="B220" s="14" t="str">
        <x:v>ancient_region</x:v>
      </x:c>
      <x:c r="C220" s="16" t="str">
        <x:v>Κως / Δωδεκάνησα</x:v>
      </x:c>
      <x:c r="D220" s="16" t="str">
        <x:v>Kos / Dodecanese</x:v>
      </x:c>
      <x:c r="E220" s="14"/>
      <x:c r="F220" s="14" t="str">
        <x:v>src-pleiades-599728</x:v>
      </x:c>
      <x:c r="G220" s="14" t="str">
        <x:v>reviewed</x:v>
      </x:c>
    </x:row>
    <x:row r="221" ht="30" customHeight="1">
      <x:c r="A221" s="14" t="str">
        <x:v>region-krete</x:v>
      </x:c>
      <x:c r="B221" s="14" t="str">
        <x:v>ancient_region</x:v>
      </x:c>
      <x:c r="C221" s="16" t="str">
        <x:v>Κρήτη</x:v>
      </x:c>
      <x:c r="D221" s="16" t="str">
        <x:v>Crete</x:v>
      </x:c>
      <x:c r="E221" s="14"/>
      <x:c r="F221" s="14" t="str">
        <x:v>src-pleiades-589796</x:v>
      </x:c>
      <x:c r="G221" s="14" t="str">
        <x:v>reviewed</x:v>
      </x:c>
    </x:row>
    <x:row r="222" ht="30" customHeight="1">
      <x:c r="A222" s="14" t="str">
        <x:v>region-kyklades</x:v>
      </x:c>
      <x:c r="B222" s="14" t="str">
        <x:v>ancient_region</x:v>
      </x:c>
      <x:c r="C222" s="16" t="str">
        <x:v>Κυκλάδες</x:v>
      </x:c>
      <x:c r="D222" s="16" t="str">
        <x:v>Cyclades</x:v>
      </x:c>
      <x:c r="E222" s="14"/>
      <x:c r="F222" s="14" t="str">
        <x:v>src-pleiades-599971</x:v>
      </x:c>
      <x:c r="G222" s="14" t="str">
        <x:v>reviewed</x:v>
      </x:c>
    </x:row>
    <x:row r="223" ht="30" customHeight="1">
      <x:c r="A223" s="14" t="str">
        <x:v>region-kypros</x:v>
      </x:c>
      <x:c r="B223" s="14" t="str">
        <x:v>ancient_region</x:v>
      </x:c>
      <x:c r="C223" s="16" t="str">
        <x:v>Κύπρος</x:v>
      </x:c>
      <x:c r="D223" s="16" t="str">
        <x:v>Cyprus</x:v>
      </x:c>
      <x:c r="E223" s="14"/>
      <x:c r="F223" s="14" t="str">
        <x:v>src-websites-d5246844b076</x:v>
      </x:c>
      <x:c r="G223" s="14" t="str">
        <x:v>reviewed</x:v>
      </x:c>
    </x:row>
    <x:row r="224" ht="30" customHeight="1">
      <x:c r="A224" s="14" t="str">
        <x:v>region-kyrenaike</x:v>
      </x:c>
      <x:c r="B224" s="14" t="str">
        <x:v>ancient_region</x:v>
      </x:c>
      <x:c r="C224" s="16" t="str">
        <x:v>Κυρηναϊκή</x:v>
      </x:c>
      <x:c r="D224" s="16" t="str">
        <x:v>Cyrenaica</x:v>
      </x:c>
      <x:c r="E224" s="14"/>
      <x:c r="F224" s="14" t="str">
        <x:v>src-pleiades-373879</x:v>
      </x:c>
      <x:c r="G224" s="14" t="str">
        <x:v>reviewed</x:v>
      </x:c>
    </x:row>
    <x:row r="225" ht="30" customHeight="1">
      <x:c r="A225" s="14" t="str">
        <x:v>region-lakonia</x:v>
      </x:c>
      <x:c r="B225" s="14" t="str">
        <x:v>ancient_region</x:v>
      </x:c>
      <x:c r="C225" s="16" t="str">
        <x:v>Λακωνία</x:v>
      </x:c>
      <x:c r="D225" s="16" t="str">
        <x:v>Laconia</x:v>
      </x:c>
      <x:c r="E225" s="14"/>
      <x:c r="F225" s="14" t="str">
        <x:v>src-pleiades-570685</x:v>
      </x:c>
      <x:c r="G225" s="14" t="str">
        <x:v>reviewed</x:v>
      </x:c>
    </x:row>
    <x:row r="226" ht="30" customHeight="1">
      <x:c r="A226" s="14" t="str">
        <x:v>region-lesbos-aiolida</x:v>
      </x:c>
      <x:c r="B226" s="14" t="str">
        <x:v>ancient_region</x:v>
      </x:c>
      <x:c r="C226" s="16" t="str">
        <x:v>Λέσβος / Αιολίδα</x:v>
      </x:c>
      <x:c r="D226" s="16" t="str">
        <x:v>Lesbos / Aeolis</x:v>
      </x:c>
      <x:c r="E226" s="14"/>
      <x:c r="F226" s="14" t="str">
        <x:v>src-pleiades-550763</x:v>
      </x:c>
      <x:c r="G226" s="14" t="str">
        <x:v>reviewed</x:v>
      </x:c>
    </x:row>
    <x:row r="227" ht="30" customHeight="1">
      <x:c r="A227" s="14" t="str">
        <x:v>region-leykania</x:v>
      </x:c>
      <x:c r="B227" s="14" t="str">
        <x:v>ancient_region</x:v>
      </x:c>
      <x:c r="C227" s="16" t="str">
        <x:v>Λευκανία</x:v>
      </x:c>
      <x:c r="D227" s="16" t="str">
        <x:v>Lucania</x:v>
      </x:c>
      <x:c r="E227" s="14"/>
      <x:c r="F227" s="14" t="str">
        <x:v>src-pleiades-442610</x:v>
      </x:c>
      <x:c r="G227" s="14" t="str">
        <x:v>reviewed</x:v>
      </x:c>
    </x:row>
    <x:row r="228" ht="30" customHeight="1">
      <x:c r="A228" s="14" t="str">
        <x:v>region-libyke-eremos</x:v>
      </x:c>
      <x:c r="B228" s="14" t="str">
        <x:v>ancient_region</x:v>
      </x:c>
      <x:c r="C228" s="16" t="str">
        <x:v>Λιβυκή Έρημος</x:v>
      </x:c>
      <x:c r="D228" s="16" t="str">
        <x:v>Libyan Desert</x:v>
      </x:c>
      <x:c r="E228" s="14"/>
      <x:c r="F228" s="14" t="str">
        <x:v>src-pleiades-716520</x:v>
      </x:c>
      <x:c r="G228" s="14" t="str">
        <x:v>reviewed</x:v>
      </x:c>
    </x:row>
    <x:row r="229" ht="30" customHeight="1">
      <x:c r="A229" s="14" t="str">
        <x:v>region-lydia</x:v>
      </x:c>
      <x:c r="B229" s="14" t="str">
        <x:v>ancient_region</x:v>
      </x:c>
      <x:c r="C229" s="16" t="str">
        <x:v>Λυδία</x:v>
      </x:c>
      <x:c r="D229" s="16" t="str">
        <x:v>Lydia</x:v>
      </x:c>
      <x:c r="E229" s="14"/>
      <x:c r="F229" s="14" t="str">
        <x:v>src-pleiades-66376536</x:v>
      </x:c>
      <x:c r="G229" s="14" t="str">
        <x:v>reviewed</x:v>
      </x:c>
    </x:row>
    <x:row r="230" ht="30" customHeight="1">
      <x:c r="A230" s="14" t="str">
        <x:v>region-lykia</x:v>
      </x:c>
      <x:c r="B230" s="14" t="str">
        <x:v>ancient_region</x:v>
      </x:c>
      <x:c r="C230" s="16" t="str">
        <x:v>Λυκία</x:v>
      </x:c>
      <x:c r="D230" s="16" t="str">
        <x:v>Lycia</x:v>
      </x:c>
      <x:c r="E230" s="14"/>
      <x:c r="F230" s="14" t="str">
        <x:v>src-pleiades-638958</x:v>
      </x:c>
      <x:c r="G230" s="14" t="str">
        <x:v>reviewed</x:v>
      </x:c>
    </x:row>
    <x:row r="231" ht="30" customHeight="1">
      <x:c r="A231" s="14" t="str">
        <x:v>region-lykia-pamphylia</x:v>
      </x:c>
      <x:c r="B231" s="14" t="str">
        <x:v>ancient_region</x:v>
      </x:c>
      <x:c r="C231" s="16" t="str">
        <x:v>Λυκία / Παμφυλία</x:v>
      </x:c>
      <x:c r="D231" s="16" t="str">
        <x:v>Lycia / Pamphylia</x:v>
      </x:c>
      <x:c r="E231" s="14"/>
      <x:c r="F231" s="14" t="str">
        <x:v>src-pleiades-639051</x:v>
      </x:c>
      <x:c r="G231" s="14" t="str">
        <x:v>reviewed</x:v>
      </x:c>
    </x:row>
    <x:row r="232" ht="30" customHeight="1">
      <x:c r="A232" s="14" t="str">
        <x:v>region-magnesia</x:v>
      </x:c>
      <x:c r="B232" s="14" t="str">
        <x:v>ancient_region</x:v>
      </x:c>
      <x:c r="C232" s="16" t="str">
        <x:v>Μαγνησία</x:v>
      </x:c>
      <x:c r="D232" s="16" t="str">
        <x:v>Magnesia</x:v>
      </x:c>
      <x:c r="E232" s="14"/>
      <x:c r="F232" s="14" t="str">
        <x:v>src-pleiades-540730</x:v>
      </x:c>
      <x:c r="G232" s="14" t="str">
        <x:v>reviewed</x:v>
      </x:c>
    </x:row>
    <x:row r="233" ht="30" customHeight="1">
      <x:c r="A233" s="14" t="str">
        <x:v>region-maiotida</x:v>
      </x:c>
      <x:c r="B233" s="14" t="str">
        <x:v>ancient_region</x:v>
      </x:c>
      <x:c r="C233" s="16" t="str">
        <x:v>Μαιώτιδα</x:v>
      </x:c>
      <x:c r="D233" s="16" t="str">
        <x:v>Maeotis</x:v>
      </x:c>
      <x:c r="E233" s="14"/>
      <x:c r="F233" s="14" t="str">
        <x:v>src-pleiades-825397</x:v>
      </x:c>
      <x:c r="G233" s="14" t="str">
        <x:v>reviewed</x:v>
      </x:c>
    </x:row>
    <x:row r="234" ht="30" customHeight="1">
      <x:c r="A234" s="14" t="str">
        <x:v>region-makedonia</x:v>
      </x:c>
      <x:c r="B234" s="14" t="str">
        <x:v>ancient_region</x:v>
      </x:c>
      <x:c r="C234" s="16" t="str">
        <x:v>Μακεδονία</x:v>
      </x:c>
      <x:c r="D234" s="16" t="str">
        <x:v>Macedonia</x:v>
      </x:c>
      <x:c r="E234" s="14"/>
      <x:c r="F234" s="14" t="str">
        <x:v>src-pleiades-491512</x:v>
      </x:c>
      <x:c r="G234" s="14" t="str">
        <x:v>reviewed</x:v>
      </x:c>
    </x:row>
    <x:row r="235" ht="30" customHeight="1">
      <x:c r="A235" s="14" t="str">
        <x:v>region-makedonia-aigyptos-kai-asia</x:v>
      </x:c>
      <x:c r="B235" s="14" t="str">
        <x:v>ancient_region</x:v>
      </x:c>
      <x:c r="C235" s="16" t="str">
        <x:v>Μακεδονία, Αίγυπτος και Ασία</x:v>
      </x:c>
      <x:c r="D235" s="16" t="str">
        <x:v>Macedonia, Egypt and Asia</x:v>
      </x:c>
      <x:c r="E235" s="14"/>
      <x:c r="F235" s="14" t="str">
        <x:v>src-metmuseum-89019924e8c3</x:v>
      </x:c>
      <x:c r="G235" s="14" t="str">
        <x:v>reviewed</x:v>
      </x:c>
    </x:row>
    <x:row r="236" ht="30" customHeight="1">
      <x:c r="A236" s="14" t="str">
        <x:v>region-makedonia-edonida</x:v>
      </x:c>
      <x:c r="B236" s="14" t="str">
        <x:v>ancient_region</x:v>
      </x:c>
      <x:c r="C236" s="16" t="str">
        <x:v>Μακεδονία / Ηδωνίδα</x:v>
      </x:c>
      <x:c r="D236" s="16" t="str">
        <x:v>Macedonia / Edonis</x:v>
      </x:c>
      <x:c r="E236" s="14"/>
      <x:c r="F236" s="14" t="str">
        <x:v>src-pleiades-501347</x:v>
      </x:c>
      <x:c r="G236" s="14" t="str">
        <x:v>reviewed</x:v>
      </x:c>
    </x:row>
    <x:row r="237" ht="30" customHeight="1">
      <x:c r="A237" s="14" t="str">
        <x:v>region-makedonia-thrake</x:v>
      </x:c>
      <x:c r="B237" s="14" t="str">
        <x:v>ancient_region</x:v>
      </x:c>
      <x:c r="C237" s="16" t="str">
        <x:v>Μακεδονία / Θράκη</x:v>
      </x:c>
      <x:c r="D237" s="16" t="str">
        <x:v>Macedonia / Thrace</x:v>
      </x:c>
      <x:c r="E237" s="14"/>
      <x:c r="F237" s="14" t="str">
        <x:v>src-pleiades-501482</x:v>
      </x:c>
      <x:c r="G237" s="14" t="str">
        <x:v>reviewed</x:v>
      </x:c>
    </x:row>
    <x:row r="238" ht="30" customHeight="1">
      <x:c r="A238" s="14" t="str">
        <x:v>region-megale-ellada-apoylia</x:v>
      </x:c>
      <x:c r="B238" s="14" t="str">
        <x:v>ancient_region</x:v>
      </x:c>
      <x:c r="C238" s="16" t="str">
        <x:v>Μεγάλη Ελλάδα / Απουλία</x:v>
      </x:c>
      <x:c r="D238" s="16" t="str">
        <x:v>Magna Graecia / Apulia</x:v>
      </x:c>
      <x:c r="E238" s="14"/>
      <x:c r="F238" s="14" t="str">
        <x:v>src-pleiades-442810</x:v>
      </x:c>
      <x:c r="G238" s="14" t="str">
        <x:v>reviewed</x:v>
      </x:c>
    </x:row>
    <x:row r="239" ht="30" customHeight="1">
      <x:c r="A239" s="14" t="str">
        <x:v>region-megale-ellada-brettia</x:v>
      </x:c>
      <x:c r="B239" s="14" t="str">
        <x:v>ancient_region</x:v>
      </x:c>
      <x:c r="C239" s="16" t="str">
        <x:v>Μεγάλη Ελλάδα / Βρεττία</x:v>
      </x:c>
      <x:c r="D239" s="16" t="str">
        <x:v>Magna Graecia / Bruttium</x:v>
      </x:c>
      <x:c r="E239" s="14"/>
      <x:c r="F239" s="14" t="str">
        <x:v>src-pleiades-452317</x:v>
      </x:c>
      <x:c r="G239" s="14" t="str">
        <x:v>reviewed</x:v>
      </x:c>
    </x:row>
    <x:row r="240" ht="30" customHeight="1">
      <x:c r="A240" s="14" t="str">
        <x:v>region-megale-ellada-kampania</x:v>
      </x:c>
      <x:c r="B240" s="14" t="str">
        <x:v>ancient_region</x:v>
      </x:c>
      <x:c r="C240" s="16" t="str">
        <x:v>Μεγάλη Ελλάδα / Καμπανία</x:v>
      </x:c>
      <x:c r="D240" s="16" t="str">
        <x:v>Magna Graecia / Campania</x:v>
      </x:c>
      <x:c r="E240" s="14"/>
      <x:c r="F240" s="14" t="str">
        <x:v>src-pleiades-432808</x:v>
      </x:c>
      <x:c r="G240" s="14" t="str">
        <x:v>reviewed</x:v>
      </x:c>
    </x:row>
    <x:row r="241" ht="30" customHeight="1">
      <x:c r="A241" s="14" t="str">
        <x:v>region-megale-ellada-leykania</x:v>
      </x:c>
      <x:c r="B241" s="14" t="str">
        <x:v>ancient_region</x:v>
      </x:c>
      <x:c r="C241" s="16" t="str">
        <x:v>Μεγάλη Ελλάδα / Λευκανία</x:v>
      </x:c>
      <x:c r="D241" s="16" t="str">
        <x:v>Magna Graecia / Lucania</x:v>
      </x:c>
      <x:c r="E241" s="14"/>
      <x:c r="F241" s="14" t="str">
        <x:v>src-pleiades-452488</x:v>
      </x:c>
      <x:c r="G241" s="14" t="str">
        <x:v>reviewed</x:v>
      </x:c>
    </x:row>
    <x:row r="242" ht="30" customHeight="1">
      <x:c r="A242" s="14" t="str">
        <x:v>region-megarida</x:v>
      </x:c>
      <x:c r="B242" s="14" t="str">
        <x:v>ancient_region</x:v>
      </x:c>
      <x:c r="C242" s="16" t="str">
        <x:v>Μεγαρίδα</x:v>
      </x:c>
      <x:c r="D242" s="16" t="str">
        <x:v>Megaris</x:v>
      </x:c>
      <x:c r="E242" s="14"/>
      <x:c r="F242" s="14" t="str">
        <x:v>src-pleiades-570468</x:v>
      </x:c>
      <x:c r="G242" s="14" t="str">
        <x:v>reviewed</x:v>
      </x:c>
    </x:row>
    <x:row r="243" ht="30" customHeight="1">
      <x:c r="A243" s="14" t="str">
        <x:v>region-messenia</x:v>
      </x:c>
      <x:c r="B243" s="14" t="str">
        <x:v>ancient_region</x:v>
      </x:c>
      <x:c r="C243" s="16" t="str">
        <x:v>Μεσσηνία</x:v>
      </x:c>
      <x:c r="D243" s="16" t="str">
        <x:v>Messenia</x:v>
      </x:c>
      <x:c r="E243" s="14"/>
      <x:c r="F243" s="14" t="str">
        <x:v>src-pleiades-570479</x:v>
      </x:c>
      <x:c r="G243" s="14" t="str">
        <x:v>reviewed</x:v>
      </x:c>
    </x:row>
    <x:row r="244" ht="30" customHeight="1">
      <x:c r="A244" s="14" t="str">
        <x:v>region-mysia</x:v>
      </x:c>
      <x:c r="B244" s="14" t="str">
        <x:v>ancient_region</x:v>
      </x:c>
      <x:c r="C244" s="16" t="str">
        <x:v>Μυσία</x:v>
      </x:c>
      <x:c r="D244" s="16" t="str">
        <x:v>Mysia</x:v>
      </x:c>
      <x:c r="E244" s="14"/>
      <x:c r="F244" s="14" t="str">
        <x:v>src-pleiades-550812</x:v>
      </x:c>
      <x:c r="G244" s="14" t="str">
        <x:v>reviewed</x:v>
      </x:c>
    </x:row>
    <x:row r="245" ht="30" customHeight="1">
      <x:c r="A245" s="14" t="str">
        <x:v>region-mysia-kai-dytike-mikra-asia</x:v>
      </x:c>
      <x:c r="B245" s="14" t="str">
        <x:v>ancient_region</x:v>
      </x:c>
      <x:c r="C245" s="16" t="str">
        <x:v>Μυσία και δυτική Μικρά Ασία</x:v>
      </x:c>
      <x:c r="D245" s="16" t="str">
        <x:v>Mysia and western Asia Minor</x:v>
      </x:c>
      <x:c r="E245" s="14"/>
      <x:c r="F245" s="14" t="str">
        <x:v>src-metmuseum-50fe20dc493f</x:v>
      </x:c>
      <x:c r="G245" s="14" t="str">
        <x:v>reviewed</x:v>
      </x:c>
    </x:row>
    <x:row r="246" ht="30" customHeight="1">
      <x:c r="A246" s="14" t="str">
        <x:v>region-mysia-propontida</x:v>
      </x:c>
      <x:c r="B246" s="14" t="str">
        <x:v>ancient_region</x:v>
      </x:c>
      <x:c r="C246" s="16" t="str">
        <x:v>Μυσία / Προποντίδα</x:v>
      </x:c>
      <x:c r="D246" s="16" t="str">
        <x:v>Mysia / Propontis</x:v>
      </x:c>
      <x:c r="E246" s="14"/>
      <x:c r="F246" s="14" t="str">
        <x:v>src-pleiades-511218</x:v>
      </x:c>
      <x:c r="G246" s="14" t="str">
        <x:v>reviewed</x:v>
      </x:c>
    </x:row>
    <x:row r="247" ht="30" customHeight="1">
      <x:c r="A247" s="14" t="str">
        <x:v>region-oria-attikes-boiotias</x:v>
      </x:c>
      <x:c r="B247" s="14" t="str">
        <x:v>ancient_region</x:v>
      </x:c>
      <x:c r="C247" s="16" t="str">
        <x:v>Όρια Αττικής / Βοιωτίας</x:v>
      </x:c>
      <x:c r="D247" s="16" t="str">
        <x:v>Attica–Boeotia borderlands</x:v>
      </x:c>
      <x:c r="E247" s="14"/>
      <x:c r="F247" s="14" t="str">
        <x:v>src-pleiades-540628</x:v>
      </x:c>
      <x:c r="G247" s="14" t="str">
        <x:v>reviewed</x:v>
      </x:c>
    </x:row>
    <x:row r="248" ht="30" customHeight="1">
      <x:c r="A248" s="14" t="str">
        <x:v>region-paphlagonia-pontos</x:v>
      </x:c>
      <x:c r="B248" s="14" t="str">
        <x:v>ancient_region</x:v>
      </x:c>
      <x:c r="C248" s="16" t="str">
        <x:v>Παφλαγονία / Πόντος</x:v>
      </x:c>
      <x:c r="D248" s="16" t="str">
        <x:v>Paphlagonia / Pontus</x:v>
      </x:c>
      <x:c r="E248" s="14"/>
      <x:c r="F248" s="14" t="str">
        <x:v>src-pleiades-857321</x:v>
      </x:c>
      <x:c r="G248" s="14" t="str">
        <x:v>reviewed</x:v>
      </x:c>
    </x:row>
    <x:row r="249" ht="30" customHeight="1">
      <x:c r="A249" s="14" t="str">
        <x:v>region-phokida</x:v>
      </x:c>
      <x:c r="B249" s="14" t="str">
        <x:v>ancient_region</x:v>
      </x:c>
      <x:c r="C249" s="16" t="str">
        <x:v>Φωκίδα</x:v>
      </x:c>
      <x:c r="D249" s="16" t="str">
        <x:v>Phocis</x:v>
      </x:c>
      <x:c r="E249" s="14"/>
      <x:c r="F249" s="14" t="str">
        <x:v>src-pleiades-955675680</x:v>
      </x:c>
      <x:c r="G249" s="14" t="str">
        <x:v>reviewed</x:v>
      </x:c>
    </x:row>
    <x:row r="250" ht="30" customHeight="1">
      <x:c r="A250" s="14" t="str">
        <x:v>region-phrygia</x:v>
      </x:c>
      <x:c r="B250" s="14" t="str">
        <x:v>ancient_region</x:v>
      </x:c>
      <x:c r="C250" s="16" t="str">
        <x:v>Φρυγία</x:v>
      </x:c>
      <x:c r="D250" s="16" t="str">
        <x:v>Phrygia</x:v>
      </x:c>
      <x:c r="E250" s="14"/>
      <x:c r="F250" s="14" t="str">
        <x:v>src-pleiades-232079424</x:v>
      </x:c>
      <x:c r="G250" s="14" t="str">
        <x:v>reviewed</x:v>
      </x:c>
    </x:row>
    <x:row r="251" ht="30" customHeight="1">
      <x:c r="A251" s="14" t="str">
        <x:v>region-pikeno</x:v>
      </x:c>
      <x:c r="B251" s="14" t="str">
        <x:v>ancient_region</x:v>
      </x:c>
      <x:c r="C251" s="16" t="str">
        <x:v>Πικηνό</x:v>
      </x:c>
      <x:c r="D251" s="16" t="str">
        <x:v>Picenum</x:v>
      </x:c>
      <x:c r="E251" s="14"/>
      <x:c r="F251" s="14" t="str">
        <x:v>src-pleiades-413014</x:v>
      </x:c>
      <x:c r="G251" s="14" t="str">
        <x:v>reviewed</x:v>
      </x:c>
    </x:row>
    <x:row r="252" ht="30" customHeight="1">
      <x:c r="A252" s="14" t="str">
        <x:v>region-pontos</x:v>
      </x:c>
      <x:c r="B252" s="14" t="str">
        <x:v>ancient_region</x:v>
      </x:c>
      <x:c r="C252" s="16" t="str">
        <x:v>Πόντος</x:v>
      </x:c>
      <x:c r="D252" s="16" t="str">
        <x:v>Pontus</x:v>
      </x:c>
      <x:c r="E252" s="14"/>
      <x:c r="F252" s="14" t="str">
        <x:v>src-pleiades-857024</x:v>
      </x:c>
      <x:c r="G252" s="14" t="str">
        <x:v>reviewed</x:v>
      </x:c>
    </x:row>
    <x:row r="253" ht="30" customHeight="1">
      <x:c r="A253" s="14" t="str">
        <x:v>region-rodos</x:v>
      </x:c>
      <x:c r="B253" s="14" t="str">
        <x:v>ancient_region</x:v>
      </x:c>
      <x:c r="C253" s="16" t="str">
        <x:v>Ρόδος</x:v>
      </x:c>
      <x:c r="D253" s="16" t="str">
        <x:v>Rhodes</x:v>
      </x:c>
      <x:c r="E253" s="14"/>
      <x:c r="F253" s="14" t="str">
        <x:v>src-pleiades-414067217</x:v>
      </x:c>
      <x:c r="G253" s="14" t="str">
        <x:v>reviewed</x:v>
      </x:c>
    </x:row>
    <x:row r="254" ht="30" customHeight="1">
      <x:c r="A254" s="14" t="str">
        <x:v>region-rodos-dodekanesa</x:v>
      </x:c>
      <x:c r="B254" s="14" t="str">
        <x:v>ancient_region</x:v>
      </x:c>
      <x:c r="C254" s="16" t="str">
        <x:v>Ρόδος / Δωδεκάνησα</x:v>
      </x:c>
      <x:c r="D254" s="16" t="str">
        <x:v>Rhodes / Dodecanese</x:v>
      </x:c>
      <x:c r="E254" s="14"/>
      <x:c r="F254" s="14" t="str">
        <x:v>src-pleiades-589913</x:v>
      </x:c>
      <x:c r="G254" s="14" t="str">
        <x:v>reviewed</x:v>
      </x:c>
    </x:row>
    <x:row r="255" ht="30" customHeight="1">
      <x:c r="A255" s="14" t="str">
        <x:v>region-saronikos</x:v>
      </x:c>
      <x:c r="B255" s="14" t="str">
        <x:v>ancient_region</x:v>
      </x:c>
      <x:c r="C255" s="16" t="str">
        <x:v>Σαρωνικός</x:v>
      </x:c>
      <x:c r="D255" s="16" t="str">
        <x:v>Saronic Gulf</x:v>
      </x:c>
      <x:c r="E255" s="14"/>
      <x:c r="F255" s="14" t="str">
        <x:v>src-pleiades-579853</x:v>
      </x:c>
      <x:c r="G255" s="14" t="str">
        <x:v>reviewed</x:v>
      </x:c>
    </x:row>
    <x:row r="256" ht="30" customHeight="1">
      <x:c r="A256" s="14" t="str">
        <x:v>region-sikelia</x:v>
      </x:c>
      <x:c r="B256" s="14" t="str">
        <x:v>ancient_region</x:v>
      </x:c>
      <x:c r="C256" s="16" t="str">
        <x:v>Σικελία</x:v>
      </x:c>
      <x:c r="D256" s="16" t="str">
        <x:v>Sicily</x:v>
      </x:c>
      <x:c r="E256" s="14"/>
      <x:c r="F256" s="14" t="str">
        <x:v>src-pleiades-462086</x:v>
      </x:c>
      <x:c r="G256" s="14" t="str">
        <x:v>reviewed</x:v>
      </x:c>
    </x:row>
    <x:row r="257" ht="30" customHeight="1">
      <x:c r="A257" s="14" t="str">
        <x:v>region-skythia</x:v>
      </x:c>
      <x:c r="B257" s="14" t="str">
        <x:v>ancient_region</x:v>
      </x:c>
      <x:c r="C257" s="16" t="str">
        <x:v>Σκυθία</x:v>
      </x:c>
      <x:c r="D257" s="16" t="str">
        <x:v>Scythia</x:v>
      </x:c>
      <x:c r="E257" s="14"/>
      <x:c r="F257" s="14" t="str">
        <x:v>src-penn-a97aa05ea214</x:v>
      </x:c>
      <x:c r="G257" s="14" t="str">
        <x:v>reviewed</x:v>
      </x:c>
    </x:row>
    <x:row r="258" ht="30" customHeight="1">
      <x:c r="A258" s="14" t="str">
        <x:v>region-skythia-dneisteros</x:v>
      </x:c>
      <x:c r="B258" s="14" t="str">
        <x:v>ancient_region</x:v>
      </x:c>
      <x:c r="C258" s="16" t="str">
        <x:v>Σκυθία / Δνείστερος</x:v>
      </x:c>
      <x:c r="D258" s="16" t="str">
        <x:v>Scythia / Dniester</x:v>
      </x:c>
      <x:c r="E258" s="14"/>
      <x:c r="F258" s="14" t="str">
        <x:v>src-pleiades-226800</x:v>
      </x:c>
      <x:c r="G258" s="14" t="str">
        <x:v>reviewed</x:v>
      </x:c>
    </x:row>
    <x:row r="259" ht="30" customHeight="1">
      <x:c r="A259" s="14" t="str">
        <x:v>region-skythia-kato-ypanis</x:v>
      </x:c>
      <x:c r="B259" s="14" t="str">
        <x:v>ancient_region</x:v>
      </x:c>
      <x:c r="C259" s="16" t="str">
        <x:v>Σκυθία / Κάτω Ύπανις</x:v>
      </x:c>
      <x:c r="D259" s="16" t="str">
        <x:v>Scythia / lower Hypanis</x:v>
      </x:c>
      <x:c r="E259" s="14"/>
      <x:c r="F259" s="14" t="str">
        <x:v>src-pleiades-226546</x:v>
      </x:c>
      <x:c r="G259" s="14" t="str">
        <x:v>reviewed</x:v>
      </x:c>
    </x:row>
    <x:row r="260" ht="30" customHeight="1">
      <x:c r="A260" s="14" t="str">
        <x:v>region-skythia-mikra</x:v>
      </x:c>
      <x:c r="B260" s="14" t="str">
        <x:v>ancient_region</x:v>
      </x:c>
      <x:c r="C260" s="16" t="str">
        <x:v>Σκυθία Μικρά</x:v>
      </x:c>
      <x:c r="D260" s="16" t="str">
        <x:v>Scythia Minor</x:v>
      </x:c>
      <x:c r="E260" s="14"/>
      <x:c r="F260" s="14" t="str">
        <x:v>src-pleiades-216839</x:v>
      </x:c>
      <x:c r="G260" s="14" t="str">
        <x:v>reviewed</x:v>
      </x:c>
    </x:row>
    <x:row r="261" ht="30" customHeight="1">
      <x:c r="A261" s="14" t="str">
        <x:v>region-syria-mesopotamia-kai-asia</x:v>
      </x:c>
      <x:c r="B261" s="14" t="str">
        <x:v>ancient_region</x:v>
      </x:c>
      <x:c r="C261" s="16" t="str">
        <x:v>Συρία, Μεσοποταμία και Ασία</x:v>
      </x:c>
      <x:c r="D261" s="16" t="str">
        <x:v>Syria, Mesopotamia and Asia</x:v>
      </x:c>
      <x:c r="E261" s="14"/>
      <x:c r="F261" s="14" t="str">
        <x:v>src-metmuseum-31540f5687cf</x:v>
      </x:c>
      <x:c r="G261" s="14" t="str">
        <x:v>reviewed</x:v>
      </x:c>
    </x:row>
    <x:row r="262" ht="30" customHeight="1">
      <x:c r="A262" s="14" t="str">
        <x:v>region-syria-seleykida</x:v>
      </x:c>
      <x:c r="B262" s="14" t="str">
        <x:v>ancient_region</x:v>
      </x:c>
      <x:c r="C262" s="16" t="str">
        <x:v>Συρία / Σελευκίδα</x:v>
      </x:c>
      <x:c r="D262" s="16" t="str">
        <x:v>Syria / Seleucis</x:v>
      </x:c>
      <x:c r="E262" s="14"/>
      <x:c r="F262" s="14" t="str">
        <x:v>src-pleiades-658381</x:v>
      </x:c>
      <x:c r="G262" s="14" t="str">
        <x:v>reviewed</x:v>
      </x:c>
    </x:row>
    <x:row r="263" ht="30" customHeight="1">
      <x:c r="A263" s="14" t="str">
        <x:v>region-tayrike</x:v>
      </x:c>
      <x:c r="B263" s="14" t="str">
        <x:v>ancient_region</x:v>
      </x:c>
      <x:c r="C263" s="16" t="str">
        <x:v>Ταυρική</x:v>
      </x:c>
      <x:c r="D263" s="16" t="str">
        <x:v>Taurica</x:v>
      </x:c>
      <x:c r="E263" s="14"/>
      <x:c r="F263" s="14" t="str">
        <x:v>src-pleiades-854743</x:v>
      </x:c>
      <x:c r="G263" s="14" t="str">
        <x:v>reviewed</x:v>
      </x:c>
    </x:row>
    <x:row r="264" ht="30" customHeight="1">
      <x:c r="A264" s="14" t="str">
        <x:v>region-thessalia</x:v>
      </x:c>
      <x:c r="B264" s="14" t="str">
        <x:v>ancient_region</x:v>
      </x:c>
      <x:c r="C264" s="16" t="str">
        <x:v>Θεσσαλία</x:v>
      </x:c>
      <x:c r="D264" s="16" t="str">
        <x:v>Thessaly</x:v>
      </x:c>
      <x:c r="E264" s="14"/>
      <x:c r="F264" s="14" t="str">
        <x:v>src-pleiades-540905</x:v>
      </x:c>
      <x:c r="G264" s="14" t="str">
        <x:v>reviewed</x:v>
      </x:c>
    </x:row>
    <x:row r="265" ht="30" customHeight="1">
      <x:c r="A265" s="14" t="str">
        <x:v>region-thrake</x:v>
      </x:c>
      <x:c r="B265" s="14" t="str">
        <x:v>ancient_region</x:v>
      </x:c>
      <x:c r="C265" s="16" t="str">
        <x:v>Θράκη</x:v>
      </x:c>
      <x:c r="D265" s="16" t="str">
        <x:v>Thrace</x:v>
      </x:c>
      <x:c r="E265" s="14"/>
      <x:c r="F265" s="14" t="str">
        <x:v>src-pleiades-216706</x:v>
      </x:c>
      <x:c r="G265" s="14" t="str">
        <x:v>reviewed</x:v>
      </x:c>
    </x:row>
    <x:row r="266" ht="30" customHeight="1">
      <x:c r="A266" s="14" t="str">
        <x:v>region-thrake-bosporos</x:v>
      </x:c>
      <x:c r="B266" s="14" t="str">
        <x:v>ancient_region</x:v>
      </x:c>
      <x:c r="C266" s="16" t="str">
        <x:v>Θράκη / Βόσπορος</x:v>
      </x:c>
      <x:c r="D266" s="16" t="str">
        <x:v>Thrace / Bosporus</x:v>
      </x:c>
      <x:c r="E266" s="14"/>
      <x:c r="F266" s="14" t="str">
        <x:v>src-pleiades-520985</x:v>
      </x:c>
      <x:c r="G266" s="14" t="str">
        <x:v>reviewed</x:v>
      </x:c>
    </x:row>
    <x:row r="267" ht="30" customHeight="1">
      <x:c r="A267" s="14" t="str">
        <x:v>region-thrake-eyxeinos-pontos</x:v>
      </x:c>
      <x:c r="B267" s="14" t="str">
        <x:v>ancient_region</x:v>
      </x:c>
      <x:c r="C267" s="16" t="str">
        <x:v>Θράκη / Εύξεινος Πόντος</x:v>
      </x:c>
      <x:c r="D267" s="16" t="str">
        <x:v>Thrace / Black Sea</x:v>
      </x:c>
      <x:c r="E267" s="14"/>
      <x:c r="F267" s="14" t="str">
        <x:v>src-pleiades-216706</x:v>
      </x:c>
      <x:c r="G267" s="14" t="str">
        <x:v>reviewed</x:v>
      </x:c>
    </x:row>
    <x:row r="268" ht="30" customHeight="1">
      <x:c r="A268" s="14" t="str">
        <x:v>region-thrake-kai-dytike-mikra-asia</x:v>
      </x:c>
      <x:c r="B268" s="14" t="str">
        <x:v>ancient_region</x:v>
      </x:c>
      <x:c r="C268" s="16" t="str">
        <x:v>Θράκη και δυτική Μικρά Ασία</x:v>
      </x:c>
      <x:c r="D268" s="16" t="str">
        <x:v>Thrace and western Asia Minor</x:v>
      </x:c>
      <x:c r="E268" s="14"/>
      <x:c r="F268" s="14" t="str">
        <x:v>src-pleiades-501458</x:v>
      </x:c>
      <x:c r="G268" s="14" t="str">
        <x:v>reviewed</x:v>
      </x:c>
    </x:row>
    <x:row r="269" ht="30" customHeight="1">
      <x:c r="A269" s="14" t="str">
        <x:v>region-troada</x:v>
      </x:c>
      <x:c r="B269" s="14" t="str">
        <x:v>ancient_region</x:v>
      </x:c>
      <x:c r="C269" s="16" t="str">
        <x:v>Τρωάδα</x:v>
      </x:c>
      <x:c r="D269" s="16" t="str">
        <x:v>Troad</x:v>
      </x:c>
      <x:c r="E269" s="14"/>
      <x:c r="F269" s="14" t="str">
        <x:v>src-pleiades-550463</x:v>
      </x:c>
      <x:c r="G269" s="14" t="str">
        <x:v>reviewed</x:v>
      </x:c>
    </x:row>
    <x:row r="270" ht="30" customHeight="1">
      <x:c r="A270" s="14" t="str">
        <x:v>region-troada-ellespontos</x:v>
      </x:c>
      <x:c r="B270" s="14" t="str">
        <x:v>ancient_region</x:v>
      </x:c>
      <x:c r="C270" s="16" t="str">
        <x:v>Τρωάδα / Ελλήσποντος</x:v>
      </x:c>
      <x:c r="D270" s="16" t="str">
        <x:v>Troad / Hellespont</x:v>
      </x:c>
      <x:c r="E270" s="14"/>
      <x:c r="F270" s="14" t="str">
        <x:v>src-pleiades-501325</x:v>
      </x:c>
      <x:c r="G270" s="14" t="str">
        <x:v>reviewed</x:v>
      </x:c>
    </x:row>
    <x:row r="271" ht="30" customHeight="1">
      <x:c r="A271" s="14" t="str">
        <x:v>settlement-achaia</x:v>
      </x:c>
      <x:c r="B271" s="14" t="str">
        <x:v>settlement</x:v>
      </x:c>
      <x:c r="C271" s="16" t="str">
        <x:v>Αχαΐα</x:v>
      </x:c>
      <x:c r="D271" s="16" t="str">
        <x:v>Achaia</x:v>
      </x:c>
      <x:c r="E271" s="14"/>
      <x:c r="F271" s="14" t="str">
        <x:v>src-pleiades-452317</x:v>
      </x:c>
      <x:c r="G271" s="14" t="str">
        <x:v>reviewed</x:v>
      </x:c>
    </x:row>
    <x:row r="272" ht="30" customHeight="1">
      <x:c r="A272" s="14" t="str">
        <x:v>settlement-akropole-athenon</x:v>
      </x:c>
      <x:c r="B272" s="14" t="str">
        <x:v>settlement</x:v>
      </x:c>
      <x:c r="C272" s="16" t="str">
        <x:v>Ακρόπολη Αθηνών</x:v>
      </x:c>
      <x:c r="D272" s="16" t="str">
        <x:v>Acropolis of Athens</x:v>
      </x:c>
      <x:c r="E272" s="14"/>
      <x:c r="F272" s="14" t="str">
        <x:v>src-whc-228f1be9c035</x:v>
      </x:c>
      <x:c r="G272" s="14" t="str">
        <x:v>reviewed</x:v>
      </x:c>
    </x:row>
    <x:row r="273" ht="30" customHeight="1">
      <x:c r="A273" s="14" t="str">
        <x:v>settlement-anaktoro-knosoy</x:v>
      </x:c>
      <x:c r="B273" s="14" t="str">
        <x:v>settlement</x:v>
      </x:c>
      <x:c r="C273" s="16" t="str">
        <x:v>Ανάκτορο Κνωσού</x:v>
      </x:c>
      <x:c r="D273" s="16" t="str">
        <x:v>Palace of Knossos</x:v>
      </x:c>
      <x:c r="E273" s="14"/>
      <x:c r="F273" s="14" t="str">
        <x:v>src-odysseus-9e3ae0cba911</x:v>
      </x:c>
      <x:c r="G273" s="14" t="str">
        <x:v>reviewed</x:v>
      </x:c>
    </x:row>
    <x:row r="274" ht="30" customHeight="1">
      <x:c r="A274" s="14" t="str">
        <x:v>settlement-anaktoro-toy-nestora-ano-egklianos</x:v>
      </x:c>
      <x:c r="B274" s="14" t="str">
        <x:v>settlement</x:v>
      </x:c>
      <x:c r="C274" s="16" t="str">
        <x:v>Ανάκτορο του Νέστορα, Άνω Εγκλιανός</x:v>
      </x:c>
      <x:c r="D274" s="16" t="str">
        <x:v>Palace of Nestor, Ano Eglianos</x:v>
      </x:c>
      <x:c r="E274" s="14"/>
      <x:c r="F274" s="14" t="str">
        <x:v>src-odysseus-00e2d87ae4a8</x:v>
      </x:c>
      <x:c r="G274" s="14" t="str">
        <x:v>reviewed</x:v>
      </x:c>
    </x:row>
    <x:row r="275" ht="30" customHeight="1">
      <x:c r="A275" s="14" t="str">
        <x:v>settlement-argos-paradose</x:v>
      </x:c>
      <x:c r="B275" s="14" t="str">
        <x:v>settlement</x:v>
      </x:c>
      <x:c r="C275" s="16" t="str">
        <x:v>Άργος (παράδοση)</x:v>
      </x:c>
      <x:c r="D275" s="16" t="str">
        <x:v>Argos (tradition)</x:v>
      </x:c>
      <x:c r="E275" s="14"/>
      <x:c r="F275" s="14" t="str">
        <x:v>src-pleiades-599664</x:v>
      </x:c>
      <x:c r="G275" s="14" t="str">
        <x:v>reviewed</x:v>
      </x:c>
    </x:row>
    <x:row r="276" ht="30" customHeight="1">
      <x:c r="A276" s="14" t="str">
        <x:v>settlement-athena-ionike-paradose</x:v>
      </x:c>
      <x:c r="B276" s="14" t="str">
        <x:v>settlement</x:v>
      </x:c>
      <x:c r="C276" s="16" t="str">
        <x:v>Αθήνα (ιωνική παράδοση)</x:v>
      </x:c>
      <x:c r="D276" s="16" t="str">
        <x:v>Athens (Ionic tradition)</x:v>
      </x:c>
      <x:c r="E276" s="14"/>
      <x:c r="F276" s="14" t="str">
        <x:v>src-pleiades-599612</x:v>
      </x:c>
      <x:c r="G276" s="14" t="str">
        <x:v>reviewed</x:v>
      </x:c>
    </x:row>
    <x:row r="277" ht="30" customHeight="1">
      <x:c r="A277" s="14" t="str">
        <x:v>settlement-athena-kai-boiotia-paradose</x:v>
      </x:c>
      <x:c r="B277" s="14" t="str">
        <x:v>settlement</x:v>
      </x:c>
      <x:c r="C277" s="16" t="str">
        <x:v>Αθήνα και Βοιωτία (παράδοση)</x:v>
      </x:c>
      <x:c r="D277" s="16" t="str">
        <x:v>Athens and Boeotia (tradition)</x:v>
      </x:c>
      <x:c r="E277" s="14"/>
      <x:c r="F277" s="14" t="str">
        <x:v>src-pleiades-550913</x:v>
      </x:c>
      <x:c r="G277" s="14" t="str">
        <x:v>reviewed</x:v>
      </x:c>
    </x:row>
    <x:row r="278" ht="30" customHeight="1">
      <x:c r="A278" s="14" t="str">
        <x:v>settlement-athena-kai-theba-paradose</x:v>
      </x:c>
      <x:c r="B278" s="14" t="str">
        <x:v>settlement</x:v>
      </x:c>
      <x:c r="C278" s="16" t="str">
        <x:v>Αθήνα και Θήβα (παράδοση)</x:v>
      </x:c>
      <x:c r="D278" s="16" t="str">
        <x:v>Athens and Thebes (tradition)</x:v>
      </x:c>
      <x:c r="E278" s="14"/>
      <x:c r="F278" s="14" t="str">
        <x:v>src-pleiades-599905</x:v>
      </x:c>
      <x:c r="G278" s="14" t="str">
        <x:v>reviewed</x:v>
      </x:c>
    </x:row>
    <x:row r="279" ht="30" customHeight="1">
      <x:c r="A279" s="14" t="str">
        <x:v>settlement-babylona</x:v>
      </x:c>
      <x:c r="B279" s="14" t="str">
        <x:v>settlement</x:v>
      </x:c>
      <x:c r="C279" s="16" t="str">
        <x:v>Βαβυλώνα</x:v>
      </x:c>
      <x:c r="D279" s="16" t="str">
        <x:v>Babylon</x:v>
      </x:c>
      <x:c r="E279" s="14"/>
      <x:c r="F279" s="14" t="str">
        <x:v>src-metmuseum-89019924e8c3</x:v>
      </x:c>
      <x:c r="G279" s="14" t="str">
        <x:v>reviewed</x:v>
      </x:c>
    </x:row>
    <x:row r="280" ht="30" customHeight="1">
      <x:c r="A280" s="14" t="str">
        <x:v>settlement-baktra</x:v>
      </x:c>
      <x:c r="B280" s="14" t="str">
        <x:v>settlement</x:v>
      </x:c>
      <x:c r="C280" s="16" t="str">
        <x:v>Βάκτρα</x:v>
      </x:c>
      <x:c r="D280" s="16" t="str">
        <x:v>Bactra</x:v>
      </x:c>
      <x:c r="E280" s="14"/>
      <x:c r="F280" s="14" t="str">
        <x:v>src-metmuseum-50fe20dc493f</x:v>
      </x:c>
      <x:c r="G280" s="14" t="str">
        <x:v>reviewed</x:v>
      </x:c>
    </x:row>
    <x:row r="281" ht="30" customHeight="1">
      <x:c r="A281" s="14" t="str">
        <x:v>settlement-chalkida-kai-eretria</x:v>
      </x:c>
      <x:c r="B281" s="14" t="str">
        <x:v>settlement</x:v>
      </x:c>
      <x:c r="C281" s="16" t="str">
        <x:v>Χαλκίδα και Ερέτρια</x:v>
      </x:c>
      <x:c r="D281" s="16" t="str">
        <x:v>Chalkida and Eretria</x:v>
      </x:c>
      <x:c r="E281" s="14"/>
      <x:c r="F281" s="14" t="str">
        <x:v>src-pleiades-432808</x:v>
      </x:c>
      <x:c r="G281" s="14" t="str">
        <x:v>reviewed</x:v>
      </x:c>
    </x:row>
    <x:row r="282" ht="30" customHeight="1">
      <x:c r="A282" s="14" t="str">
        <x:v>settlement-chalkida-kai-kyme</x:v>
      </x:c>
      <x:c r="B282" s="14" t="str">
        <x:v>settlement</x:v>
      </x:c>
      <x:c r="C282" s="16" t="str">
        <x:v>Χαλκίδα και Κύμη</x:v>
      </x:c>
      <x:c r="D282" s="16" t="str">
        <x:v>Chalkida and Kymi</x:v>
      </x:c>
      <x:c r="E282" s="14"/>
      <x:c r="F282" s="14" t="str">
        <x:v>src-pleiades-462538</x:v>
      </x:c>
      <x:c r="G282" s="14" t="str">
        <x:v>reviewed</x:v>
      </x:c>
    </x:row>
    <x:row r="283" ht="30" customHeight="1">
      <x:c r="A283" s="14" t="str">
        <x:v>settlement-dimeni</x:v>
      </x:c>
      <x:c r="B283" s="14" t="str">
        <x:v>settlement</x:v>
      </x:c>
      <x:c r="C283" s="16" t="str">
        <x:v>Διμήνι</x:v>
      </x:c>
      <x:c r="D283" s="16" t="str">
        <x:v>Dimini</x:v>
      </x:c>
      <x:c r="E283" s="14"/>
      <x:c r="F283" s="14" t="str">
        <x:v>src-odysseus-589898851f92</x:v>
      </x:c>
      <x:c r="G283" s="14" t="str">
        <x:v>reviewed</x:v>
      </x:c>
    </x:row>
    <x:row r="284" ht="30" customHeight="1">
      <x:c r="A284" s="14" t="str">
        <x:v>settlement-dodone</x:v>
      </x:c>
      <x:c r="B284" s="14" t="str">
        <x:v>settlement</x:v>
      </x:c>
      <x:c r="C284" s="16" t="str">
        <x:v>Δωδώνη</x:v>
      </x:c>
      <x:c r="D284" s="16" t="str">
        <x:v>Dodona</x:v>
      </x:c>
      <x:c r="E284" s="14"/>
      <x:c r="F284" s="14" t="str">
        <x:v>src-cambridge-96106a304cc6</x:v>
      </x:c>
      <x:c r="G284" s="14" t="str">
        <x:v>reviewed</x:v>
      </x:c>
    </x:row>
    <x:row r="285" ht="30" customHeight="1">
      <x:c r="A285" s="14" t="str">
        <x:v>settlement-kadmeia-theba</x:v>
      </x:c>
      <x:c r="B285" s="14" t="str">
        <x:v>settlement</x:v>
      </x:c>
      <x:c r="C285" s="16" t="str">
        <x:v>Καδμεία, Θήβα</x:v>
      </x:c>
      <x:c r="D285" s="16" t="str">
        <x:v>Cadmeia, Thebes</x:v>
      </x:c>
      <x:c r="E285" s="14"/>
      <x:c r="F285" s="14" t="str">
        <x:v>src-mthv-715d665b63b5</x:v>
      </x:c>
      <x:c r="G285" s="14" t="str">
        <x:v>reviewed</x:v>
      </x:c>
    </x:row>
    <x:row r="286" ht="30" customHeight="1">
      <x:c r="A286" s="14" t="str">
        <x:v>settlement-kerkyra-kai-korinthos</x:v>
      </x:c>
      <x:c r="B286" s="14" t="str">
        <x:v>settlement</x:v>
      </x:c>
      <x:c r="C286" s="16" t="str">
        <x:v>Κέρκυρα και Κόρινθος</x:v>
      </x:c>
      <x:c r="D286" s="16" t="str">
        <x:v>Corfu and Corinth</x:v>
      </x:c>
      <x:c r="E286" s="14"/>
      <x:c r="F286" s="14" t="str">
        <x:v>src-pleiades-481818</x:v>
      </x:c>
      <x:c r="G286" s="14" t="str">
        <x:v>reviewed</x:v>
      </x:c>
    </x:row>
    <x:row r="287" ht="30" customHeight="1">
      <x:c r="A287" s="14" t="str">
        <x:v>settlement-korinthos-kai-kerkyra</x:v>
      </x:c>
      <x:c r="B287" s="14" t="str">
        <x:v>settlement</x:v>
      </x:c>
      <x:c r="C287" s="16" t="str">
        <x:v>Κόρινθος και Κέρκυρα</x:v>
      </x:c>
      <x:c r="D287" s="16" t="str">
        <x:v>Corinth and Corfu</x:v>
      </x:c>
      <x:c r="E287" s="14"/>
      <x:c r="F287" s="14" t="str">
        <x:v>src-pleiades-481728</x:v>
      </x:c>
      <x:c r="G287" s="14" t="str">
        <x:v>reviewed</x:v>
      </x:c>
    </x:row>
    <x:row r="288" ht="30" customHeight="1">
      <x:c r="A288" s="14" t="str">
        <x:v>settlement-krete-kai-athena-paradose</x:v>
      </x:c>
      <x:c r="B288" s="14" t="str">
        <x:v>settlement</x:v>
      </x:c>
      <x:c r="C288" s="16" t="str">
        <x:v>Κρήτη και Αθήνα (παράδοση)</x:v>
      </x:c>
      <x:c r="D288" s="16" t="str">
        <x:v>Crete and Athens (tradition)</x:v>
      </x:c>
      <x:c r="E288" s="14"/>
      <x:c r="F288" s="14" t="str">
        <x:v>src-pleiades-550535</x:v>
      </x:c>
      <x:c r="G288" s="14" t="str">
        <x:v>reviewed</x:v>
      </x:c>
    </x:row>
    <x:row r="289" ht="30" customHeight="1">
      <x:c r="A289" s="14" t="str">
        <x:v>settlement-kyme-aiolike-paradose</x:v>
      </x:c>
      <x:c r="B289" s="14" t="str">
        <x:v>settlement</x:v>
      </x:c>
      <x:c r="C289" s="16" t="str">
        <x:v>Κύμη (αιολική παράδοση)</x:v>
      </x:c>
      <x:c r="D289" s="16" t="str">
        <x:v>Cyme (Aeolian tradition)</x:v>
      </x:c>
      <x:c r="E289" s="14"/>
      <x:c r="F289" s="14" t="str">
        <x:v>src-pleiades-550756</x:v>
      </x:c>
      <x:c r="G289" s="14" t="str">
        <x:v>reviewed</x:v>
      </x:c>
    </x:row>
    <x:row r="290" ht="30" customHeight="1">
      <x:c r="A290" s="14" t="str">
        <x:v>settlement-lokrida</x:v>
      </x:c>
      <x:c r="B290" s="14" t="str">
        <x:v>settlement</x:v>
      </x:c>
      <x:c r="C290" s="16" t="str">
        <x:v>Λοκρίδα</x:v>
      </x:c>
      <x:c r="D290" s="16" t="str">
        <x:v>Locride</x:v>
      </x:c>
      <x:c r="E290" s="14"/>
      <x:c r="F290" s="14" t="str">
        <x:v>src-pleiades-452369</x:v>
      </x:c>
      <x:c r="G290" s="14" t="str">
        <x:v>reviewed</x:v>
      </x:c>
    </x:row>
    <x:row r="291" ht="30" customHeight="1">
      <x:c r="A291" s="14" t="str">
        <x:v>settlement-lokrida-kai-thessalia-aiolike-paradose</x:v>
      </x:c>
      <x:c r="B291" s="14" t="str">
        <x:v>settlement</x:v>
      </x:c>
      <x:c r="C291" s="16" t="str">
        <x:v>Λοκρίδα και Θεσσαλία (αιολική παράδοση)</x:v>
      </x:c>
      <x:c r="D291" s="16" t="str">
        <x:v>Locris and Thessaly (Aeolian tradition)</x:v>
      </x:c>
      <x:c r="E291" s="14"/>
      <x:c r="F291" s="14" t="str">
        <x:v>src-pleiades-550506</x:v>
      </x:c>
      <x:c r="G291" s="14" t="str">
        <x:v>reviewed</x:v>
      </x:c>
    </x:row>
    <x:row r="292" ht="30" customHeight="1">
      <x:c r="A292" s="14" t="str">
        <x:v>settlement-lysimacheia</x:v>
      </x:c>
      <x:c r="B292" s="14" t="str">
        <x:v>settlement</x:v>
      </x:c>
      <x:c r="C292" s="16" t="str">
        <x:v>Λυσιμάχεια</x:v>
      </x:c>
      <x:c r="D292" s="16" t="str">
        <x:v>Lysimachia</x:v>
      </x:c>
      <x:c r="E292" s="14"/>
      <x:c r="F292" s="14" t="str">
        <x:v>src-pleiades-501458</x:v>
      </x:c>
      <x:c r="G292" s="14" t="str">
        <x:v>reviewed</x:v>
      </x:c>
    </x:row>
    <x:row r="293" ht="30" customHeight="1">
      <x:c r="A293" s="14" t="str">
        <x:v>settlement-magnesia-thessalias</x:v>
      </x:c>
      <x:c r="B293" s="14" t="str">
        <x:v>settlement</x:v>
      </x:c>
      <x:c r="C293" s="16" t="str">
        <x:v>Μαγνησία Θεσσαλίας</x:v>
      </x:c>
      <x:c r="D293" s="16" t="str">
        <x:v>Magnesia in Thessaly</x:v>
      </x:c>
      <x:c r="E293" s="14"/>
      <x:c r="F293" s="14" t="str">
        <x:v>src-pleiades-599778</x:v>
      </x:c>
      <x:c r="G293" s="14" t="str">
        <x:v>reviewed</x:v>
      </x:c>
    </x:row>
    <x:row r="294" ht="30" customHeight="1">
      <x:c r="A294" s="14" t="str">
        <x:v>settlement-mazaka</x:v>
      </x:c>
      <x:c r="B294" s="14" t="str">
        <x:v>settlement</x:v>
      </x:c>
      <x:c r="C294" s="16" t="str">
        <x:v>Μάζακα</x:v>
      </x:c>
      <x:c r="D294" s="16" t="str">
        <x:v>Mazaca</x:v>
      </x:c>
      <x:c r="E294" s="14"/>
      <x:c r="F294" s="14" t="str">
        <x:v>src-iranicaonline-0624b0b64cf3</x:v>
      </x:c>
      <x:c r="G294" s="14" t="str">
        <x:v>reviewed</x:v>
      </x:c>
    </x:row>
    <x:row r="295" ht="30" customHeight="1">
      <x:c r="A295" s="14" t="str">
        <x:v>settlement-megara-kai-chalkedona</x:v>
      </x:c>
      <x:c r="B295" s="14" t="str">
        <x:v>settlement</x:v>
      </x:c>
      <x:c r="C295" s="16" t="str">
        <x:v>Μέγαρα και Χαλκηδόνα</x:v>
      </x:c>
      <x:c r="D295" s="16" t="str">
        <x:v>Megara and Chalcedon</x:v>
      </x:c>
      <x:c r="E295" s="14"/>
      <x:c r="F295" s="14" t="str">
        <x:v>src-pleiades-216882</x:v>
      </x:c>
      <x:c r="G295" s="14" t="str">
        <x:v>reviewed</x:v>
      </x:c>
    </x:row>
    <x:row r="296" ht="30" customHeight="1">
      <x:c r="A296" s="14" t="str">
        <x:v>settlement-megara-kai-tanagra</x:v>
      </x:c>
      <x:c r="B296" s="14" t="str">
        <x:v>settlement</x:v>
      </x:c>
      <x:c r="C296" s="16" t="str">
        <x:v>Μέγαρα και Τανάγρα</x:v>
      </x:c>
      <x:c r="D296" s="16" t="str">
        <x:v>Megara and Tanagra</x:v>
      </x:c>
      <x:c r="E296" s="14"/>
      <x:c r="F296" s="14" t="str">
        <x:v>src-pleiades-844944</x:v>
      </x:c>
      <x:c r="G296" s="14" t="str">
        <x:v>reviewed</x:v>
      </x:c>
    </x:row>
    <x:row r="297" ht="30" customHeight="1">
      <x:c r="A297" s="14" t="str">
        <x:v>settlement-methymna</x:v>
      </x:c>
      <x:c r="B297" s="14" t="str">
        <x:v>settlement</x:v>
      </x:c>
      <x:c r="C297" s="16" t="str">
        <x:v>Μήθυμνα</x:v>
      </x:c>
      <x:c r="D297" s="16" t="str">
        <x:v>Methymna</x:v>
      </x:c>
      <x:c r="E297" s="14"/>
      <x:c r="F297" s="14" t="str">
        <x:v>src-pleiades-550463</x:v>
      </x:c>
      <x:c r="G297" s="14" t="str">
        <x:v>reviewed</x:v>
      </x:c>
    </x:row>
    <x:row r="298" ht="30" customHeight="1">
      <x:c r="A298" s="14" t="str">
        <x:v>settlement-miletos-kai-alles-ellenikes-poleis</x:v>
      </x:c>
      <x:c r="B298" s="14" t="str">
        <x:v>settlement</x:v>
      </x:c>
      <x:c r="C298" s="16" t="str">
        <x:v>Μίλητος και άλλες ελληνικές πόλεις</x:v>
      </x:c>
      <x:c r="D298" s="16" t="str">
        <x:v>Miletus and other Greek cities</x:v>
      </x:c>
      <x:c r="E298" s="14"/>
      <x:c r="F298" s="14" t="str">
        <x:v>src-pleiades-727169</x:v>
      </x:c>
      <x:c r="G298" s="14" t="str">
        <x:v>reviewed</x:v>
      </x:c>
    </x:row>
    <x:row r="299" ht="30" customHeight="1">
      <x:c r="A299" s="14" t="str">
        <x:v>settlement-miletos-paradose</x:v>
      </x:c>
      <x:c r="B299" s="14" t="str">
        <x:v>settlement</x:v>
      </x:c>
      <x:c r="C299" s="16" t="str">
        <x:v>Μίλητος (παράδοση)</x:v>
      </x:c>
      <x:c r="D299" s="16" t="str">
        <x:v>Miletus (tradition)</x:v>
      </x:c>
      <x:c r="E299" s="14"/>
      <x:c r="F299" s="14" t="str">
        <x:v>src-pleiades-857107</x:v>
      </x:c>
      <x:c r="G299" s="14" t="str">
        <x:v>reviewed</x:v>
      </x:c>
    </x:row>
    <x:row r="300" ht="30" customHeight="1">
      <x:c r="A300" s="14" t="str">
        <x:v>settlement-mykenes</x:v>
      </x:c>
      <x:c r="B300" s="14" t="str">
        <x:v>settlement</x:v>
      </x:c>
      <x:c r="C300" s="16" t="str">
        <x:v>Μυκήνες</x:v>
      </x:c>
      <x:c r="D300" s="16" t="str">
        <x:v>Mycenae</x:v>
      </x:c>
      <x:c r="E300" s="14"/>
      <x:c r="F300" s="14" t="str">
        <x:v>src-whc-6306f630553d</x:v>
      </x:c>
      <x:c r="G300" s="14" t="str">
        <x:v>reviewed</x:v>
      </x:c>
    </x:row>
    <x:row r="301" ht="30" customHeight="1">
      <x:c r="A301" s="14" t="str">
        <x:v>settlement-nikomedeia</x:v>
      </x:c>
      <x:c r="B301" s="14" t="str">
        <x:v>settlement</x:v>
      </x:c>
      <x:c r="C301" s="16" t="str">
        <x:v>Νικομήδεια</x:v>
      </x:c>
      <x:c r="D301" s="16" t="str">
        <x:v>Nicomedia</x:v>
      </x:c>
      <x:c r="E301" s="14"/>
      <x:c r="F301" s="14" t="str">
        <x:v>src-attalus-1b40f4436114</x:v>
      </x:c>
      <x:c r="G301" s="14" t="str">
        <x:v>reviewed</x:v>
      </x:c>
    </x:row>
    <x:row r="302" ht="30" customHeight="1">
      <x:c r="A302" s="14" t="str">
        <x:v>settlement-orchomenos-boiotias</x:v>
      </x:c>
      <x:c r="B302" s="14" t="str">
        <x:v>settlement</x:v>
      </x:c>
      <x:c r="C302" s="16" t="str">
        <x:v>Ορχομενός Βοιωτίας</x:v>
      </x:c>
      <x:c r="D302" s="16" t="str">
        <x:v>Orchomenos of Boeotia</x:v>
      </x:c>
      <x:c r="E302" s="14"/>
      <x:c r="F302" s="14" t="str">
        <x:v>src-mthv-715d665b63b5</x:v>
      </x:c>
      <x:c r="G302" s="14" t="str">
        <x:v>reviewed</x:v>
      </x:c>
    </x:row>
    <x:row r="303" ht="30" customHeight="1">
      <x:c r="A303" s="14" t="str">
        <x:v>settlement-palaipaphos-koyklia</x:v>
      </x:c>
      <x:c r="B303" s="14" t="str">
        <x:v>settlement</x:v>
      </x:c>
      <x:c r="C303" s="16" t="str">
        <x:v>Παλαίπαφος, Κούκλια</x:v>
      </x:c>
      <x:c r="D303" s="16" t="str">
        <x:v>Palaepaphos (Kouklia)</x:v>
      </x:c>
      <x:c r="E303" s="14"/>
      <x:c r="F303" s="14" t="str">
        <x:v>src-websites-d5246844b076</x:v>
      </x:c>
      <x:c r="G303" s="14" t="str">
        <x:v>reviewed</x:v>
      </x:c>
    </x:row>
    <x:row r="304" ht="30" customHeight="1">
      <x:c r="A304" s="14" t="str">
        <x:v>settlement-pantikapaio-bosporos</x:v>
      </x:c>
      <x:c r="B304" s="14" t="str">
        <x:v>settlement</x:v>
      </x:c>
      <x:c r="C304" s="16" t="str">
        <x:v>Παντικάπαιο / Βόσπορος</x:v>
      </x:c>
      <x:c r="D304" s="16" t="str">
        <x:v>Panticapaeum / Bosporus</x:v>
      </x:c>
      <x:c r="E304" s="14"/>
      <x:c r="F304" s="14" t="str">
        <x:v>src-pleiades-825397</x:v>
      </x:c>
      <x:c r="G304" s="14" t="str">
        <x:v>reviewed</x:v>
      </x:c>
    </x:row>
    <x:row r="305" ht="30" customHeight="1">
      <x:c r="A305" s="14" t="str">
        <x:v>settlement-pantikapaion-kerts</x:v>
      </x:c>
      <x:c r="B305" s="14" t="str">
        <x:v>settlement</x:v>
      </x:c>
      <x:c r="C305" s="16" t="str">
        <x:v>Παντικάπαιον, Κερτς</x:v>
      </x:c>
      <x:c r="D305" s="16" t="str">
        <x:v>Pantikapaion, Kerch</x:v>
      </x:c>
      <x:c r="E305" s="14"/>
      <x:c r="F305" s="14" t="str">
        <x:v>src-iranicaonline-4a607235e191</x:v>
      </x:c>
      <x:c r="G305" s="14" t="str">
        <x:v>reviewed</x:v>
      </x:c>
    </x:row>
    <x:row r="306" ht="30" customHeight="1">
      <x:c r="A306" s="14" t="str">
        <x:v>settlement-paros</x:v>
      </x:c>
      <x:c r="B306" s="14" t="str">
        <x:v>settlement</x:v>
      </x:c>
      <x:c r="C306" s="16" t="str">
        <x:v>Πάρος</x:v>
      </x:c>
      <x:c r="D306" s="16" t="str">
        <x:v>Paros</x:v>
      </x:c>
      <x:c r="E306" s="14"/>
      <x:c r="F306" s="14" t="str">
        <x:v>src-pleiades-197433</x:v>
      </x:c>
      <x:c r="G306" s="14" t="str">
        <x:v>reviewed</x:v>
      </x:c>
    </x:row>
    <x:row r="307" ht="30" customHeight="1">
      <x:c r="A307" s="14" t="str">
        <x:v>settlement-phokida-kai-athena-paradose</x:v>
      </x:c>
      <x:c r="B307" s="14" t="str">
        <x:v>settlement</x:v>
      </x:c>
      <x:c r="C307" s="16" t="str">
        <x:v>Φωκίδα και Αθήνα (παράδοση)</x:v>
      </x:c>
      <x:c r="D307" s="16" t="str">
        <x:v>Phocis and Athens (tradition)</x:v>
      </x:c>
      <x:c r="E307" s="14"/>
      <x:c r="F307" s="14" t="str">
        <x:v>src-pleiades-550823</x:v>
      </x:c>
      <x:c r="G307" s="14" t="str">
        <x:v>reviewed</x:v>
      </x:c>
    </x:row>
    <x:row r="308" ht="30" customHeight="1">
      <x:c r="A308" s="14" t="str">
        <x:v>settlement-rodos-kai-krete</x:v>
      </x:c>
      <x:c r="B308" s="14" t="str">
        <x:v>settlement</x:v>
      </x:c>
      <x:c r="C308" s="16" t="str">
        <x:v>Ρόδος και Κρήτη</x:v>
      </x:c>
      <x:c r="D308" s="16" t="str">
        <x:v>Rhodes and Crete</x:v>
      </x:c>
      <x:c r="E308" s="14"/>
      <x:c r="F308" s="14" t="str">
        <x:v>src-pleiades-462214</x:v>
      </x:c>
      <x:c r="G308" s="14" t="str">
        <x:v>reviewed</x:v>
      </x:c>
    </x:row>
    <x:row r="309" ht="30" customHeight="1">
      <x:c r="A309" s="14" t="str">
        <x:v>settlement-rodos-lindos</x:v>
      </x:c>
      <x:c r="B309" s="14" t="str">
        <x:v>settlement</x:v>
      </x:c>
      <x:c r="C309" s="16" t="str">
        <x:v>Ρόδος (Λίνδος)</x:v>
      </x:c>
      <x:c r="D309" s="16" t="str">
        <x:v>Rhodes (Lindos)</x:v>
      </x:c>
      <x:c r="E309" s="14"/>
      <x:c r="F309" s="14" t="str">
        <x:v>src-pleiades-639051</x:v>
      </x:c>
      <x:c r="G309" s="14" t="str">
        <x:v>reviewed</x:v>
      </x:c>
    </x:row>
    <x:row r="310" ht="30" customHeight="1">
      <x:c r="A310" s="14" t="str">
        <x:v>settlement-sagala</x:v>
      </x:c>
      <x:c r="B310" s="14" t="str">
        <x:v>settlement</x:v>
      </x:c>
      <x:c r="C310" s="16" t="str">
        <x:v>Σάγαλα</x:v>
      </x:c>
      <x:c r="D310" s="16" t="str">
        <x:v>Sagala</x:v>
      </x:c>
      <x:c r="E310" s="14"/>
      <x:c r="F310" s="14" t="str">
        <x:v>src-iranicaonline-612dff96c99c</x:v>
      </x:c>
      <x:c r="G310" s="14" t="str">
        <x:v>reviewed</x:v>
      </x:c>
    </x:row>
    <x:row r="311" ht="30" customHeight="1">
      <x:c r="A311" s="14" t="str">
        <x:v>settlement-salamina-kyproy</x:v>
      </x:c>
      <x:c r="B311" s="14" t="str">
        <x:v>settlement</x:v>
      </x:c>
      <x:c r="C311" s="16" t="str">
        <x:v>Σαλαμίνα Κύπρου</x:v>
      </x:c>
      <x:c r="D311" s="16" t="str">
        <x:v>Salamis, Cyprus</x:v>
      </x:c>
      <x:c r="E311" s="14"/>
      <x:c r="F311" s="14" t="str">
        <x:v>src-uni-muenster-0a0030be4d2a</x:v>
      </x:c>
      <x:c r="G311" s="14" t="str">
        <x:v>reviewed</x:v>
      </x:c>
    </x:row>
    <x:row r="312" ht="30" customHeight="1">
      <x:c r="A312" s="14" t="str">
        <x:v>settlement-samosata</x:v>
      </x:c>
      <x:c r="B312" s="14" t="str">
        <x:v>settlement</x:v>
      </x:c>
      <x:c r="C312" s="16" t="str">
        <x:v>Σαμόσατα</x:v>
      </x:c>
      <x:c r="D312" s="16" t="str">
        <x:v>Samosata</x:v>
      </x:c>
      <x:c r="E312" s="14"/>
      <x:c r="F312" s="14" t="str">
        <x:v>src-whc-758c2c416617</x:v>
      </x:c>
      <x:c r="G312" s="14" t="str">
        <x:v>reviewed</x:v>
      </x:c>
    </x:row>
    <x:row r="313" ht="30" customHeight="1">
      <x:c r="A313" s="14" t="str">
        <x:v>settlement-taxila</x:v>
      </x:c>
      <x:c r="B313" s="14" t="str">
        <x:v>settlement</x:v>
      </x:c>
      <x:c r="C313" s="16" t="str">
        <x:v>Τάξιλα</x:v>
      </x:c>
      <x:c r="D313" s="16" t="str">
        <x:v>Taxila</x:v>
      </x:c>
      <x:c r="E313" s="14"/>
      <x:c r="F313" s="14" t="str">
        <x:v>src-iranicaonline-612dff96c99c</x:v>
      </x:c>
      <x:c r="G313" s="14" t="str">
        <x:v>reviewed</x:v>
      </x:c>
    </x:row>
    <x:row r="314" ht="30" customHeight="1">
      <x:c r="A314" s="14" t="str">
        <x:v>settlement-thasos</x:v>
      </x:c>
      <x:c r="B314" s="14" t="str">
        <x:v>settlement</x:v>
      </x:c>
      <x:c r="C314" s="16" t="str">
        <x:v>Θάσος</x:v>
      </x:c>
      <x:c r="D314" s="16" t="str">
        <x:v>Thassos</x:v>
      </x:c>
      <x:c r="E314" s="14"/>
      <x:c r="F314" s="14" t="str">
        <x:v>src-pleiades-501482</x:v>
      </x:c>
      <x:c r="G314" s="14" t="str">
        <x:v>reviewed</x:v>
      </x:c>
    </x:row>
    <x:row r="315" ht="30" customHeight="1">
      <x:c r="A315" s="14" t="str">
        <x:v>settlement-tiryntha</x:v>
      </x:c>
      <x:c r="B315" s="14" t="str">
        <x:v>settlement</x:v>
      </x:c>
      <x:c r="C315" s="16" t="str">
        <x:v>Τίρυνθα</x:v>
      </x:c>
      <x:c r="D315" s="16" t="str">
        <x:v>Tiryns</x:v>
      </x:c>
      <x:c r="E315" s="14"/>
      <x:c r="F315" s="14" t="str">
        <x:v>src-whc-6306f630553d</x:v>
      </x:c>
      <x:c r="G315" s="14" t="str">
        <x:v>reviewed</x:v>
      </x:c>
    </x:row>
    <x:row r="316" ht="30" customHeight="1">
      <x:c r="A316" s="14" t="str">
        <x:v>settlement-troizena</x:v>
      </x:c>
      <x:c r="B316" s="14" t="str">
        <x:v>settlement</x:v>
      </x:c>
      <x:c r="C316" s="16" t="str">
        <x:v>Τροιζήνα</x:v>
      </x:c>
      <x:c r="D316" s="16" t="str">
        <x:v>Troezen</x:v>
      </x:c>
      <x:c r="E316" s="14"/>
      <x:c r="F316" s="14" t="str">
        <x:v>src-pleiades-599636</x:v>
      </x:c>
      <x:c r="G316" s="14" t="str">
        <x:v>reviewed</x:v>
      </x:c>
    </x:row>
  </x:sheetData>
  <x:mergeCells>
    <x:mergeCell ref="A1:G1"/>
    <x:mergeCell ref="A2:G2"/>
  </x:mergeCells>
  <x:pageMargins left="0.7" right="0.7" top="0.75" bottom="0.75" header="0.3" footer="0.3"/>
  <x:tableParts count="1">
    <x:tablePart xmlns:r="http://schemas.openxmlformats.org/officeDocument/2006/relationships" r:id="R5d9f44a5108a46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38" hidden="0" customWidth="1"/>
    <x:col min="3" max="3" width="18" hidden="0" customWidth="1"/>
    <x:col min="4" max="4" width="38" hidden="0" customWidth="1"/>
    <x:col min="5" max="5" width="44" hidden="0" customWidth="1"/>
    <x:col min="6" max="6" width="36" hidden="0" customWidth="1"/>
    <x:col min="7" max="7" width="36" hidden="0" customWidth="1"/>
    <x:col min="8" max="8" width="18" hidden="0" customWidth="1"/>
    <x:col min="9" max="9" width="24" hidden="0" customWidth="1"/>
    <x:col min="10" max="10" width="48" hidden="0" customWidth="1"/>
    <x:col min="11" max="11" width="18" hidden="0" customWidth="1"/>
  </x:cols>
  <x:sheetData>
    <x:row r="1" ht="34" customHeight="1">
      <x:c r="A1" s="3" t="str">
        <x:v>Relationships / Σχέσεις</x:v>
      </x:c>
      <x:c r="B1" s="3"/>
      <x:c r="C1" s="3"/>
      <x:c r="D1" s="3"/>
      <x:c r="E1" s="3"/>
      <x:c r="F1" s="3"/>
      <x:c r="G1" s="3"/>
      <x:c r="H1" s="3"/>
      <x:c r="I1" s="3"/>
      <x:c r="J1" s="3"/>
      <x:c r="K1" s="3"/>
    </x:row>
    <x:row r="2" ht="28" customHeight="1">
      <x:c r="A2" s="8" t="str">
        <x:v>Each typed relationship has exactly one internal entity or controlled-authority target and a source.</x:v>
      </x:c>
      <x:c r="B2" s="8"/>
      <x:c r="C2" s="8"/>
      <x:c r="D2" s="8"/>
      <x:c r="E2" s="8"/>
      <x:c r="F2" s="8"/>
      <x:c r="G2" s="8"/>
      <x:c r="H2" s="8"/>
      <x:c r="I2" s="8"/>
      <x:c r="J2" s="8"/>
      <x:c r="K2" s="8"/>
    </x:row>
    <x:row r="4" ht="30" customHeight="1">
      <x:c r="A4" s="13" t="str">
        <x:v>relationship_id</x:v>
      </x:c>
      <x:c r="B4" s="13" t="str">
        <x:v>subject_entity_id</x:v>
      </x:c>
      <x:c r="C4" s="13" t="str">
        <x:v>predicate</x:v>
      </x:c>
      <x:c r="D4" s="13" t="str">
        <x:v>object_entity_id</x:v>
      </x:c>
      <x:c r="E4" s="13" t="str">
        <x:v>object_authority_id</x:v>
      </x:c>
      <x:c r="F4" s="13" t="str">
        <x:v>object_label_el</x:v>
      </x:c>
      <x:c r="G4" s="13" t="str">
        <x:v>object_label_en</x:v>
      </x:c>
      <x:c r="H4" s="13" t="str">
        <x:v>certainty</x:v>
      </x:c>
      <x:c r="I4" s="13" t="str">
        <x:v>source_id</x:v>
      </x:c>
      <x:c r="J4" s="13" t="str">
        <x:v>migration_evidence_el</x:v>
      </x:c>
      <x:c r="K4" s="13" t="str">
        <x:v>review_state</x:v>
      </x:c>
    </x:row>
    <x:row r="5" ht="52" customHeight="1">
      <x:c r="A5" s="14" t="str">
        <x:v>rel-002da86a7640</x:v>
      </x:c>
      <x:c r="B5" s="14" t="str">
        <x:v>colony-leontinoi</x:v>
      </x:c>
      <x:c r="C5" s="14" t="str">
        <x:v>founded_from</x:v>
      </x:c>
      <x:c r="D5" s="14" t="str">
        <x:v>colony-naxos-sicily</x:v>
      </x:c>
      <x:c r="E5" s="14"/>
      <x:c r="F5" s="16" t="str">
        <x:v>Νάξος Σικελίας</x:v>
      </x:c>
      <x:c r="G5" s="16" t="str">
        <x:v>Naxos</x:v>
      </x:c>
      <x:c r="H5" s="14" t="str">
        <x:v>medium</x:v>
      </x:c>
      <x:c r="I5" s="14" t="str">
        <x:v>src-pleiades-462279</x:v>
      </x:c>
      <x:c r="J5" s="16" t="str">
        <x:v>metropolis_el: Νάξος Σικελίας</x:v>
      </x:c>
      <x:c r="K5" s="14" t="str">
        <x:v>reviewed</x:v>
      </x:c>
    </x:row>
    <x:row r="6" ht="52" customHeight="1">
      <x:c r="A6" s="14" t="str">
        <x:v>rel-00a1765669aa</x:v>
      </x:c>
      <x:c r="B6" s="14" t="str">
        <x:v>sanctuary-menelaion-sparta</x:v>
      </x:c>
      <x:c r="C6" s="14" t="str">
        <x:v>associated_with_settlement</x:v>
      </x:c>
      <x:c r="D6" s="14" t="str">
        <x:v>city-sparta</x:v>
      </x:c>
      <x:c r="E6" s="14"/>
      <x:c r="F6" s="16" t="str">
        <x:v>Σπάρτη</x:v>
      </x:c>
      <x:c r="G6" s="16" t="str">
        <x:v>Sparta</x:v>
      </x:c>
      <x:c r="H6" s="14" t="str">
        <x:v>high</x:v>
      </x:c>
      <x:c r="I6" s="14" t="str">
        <x:v>src-pleiades-570477</x:v>
      </x:c>
      <x:c r="J6" s="16" t="str">
        <x:v>Ρητή επιμελητική σύνδεση του Μενελαείου με τη Σπάρτη.</x:v>
      </x:c>
      <x:c r="K6" s="14" t="str">
        <x:v>reviewed</x:v>
      </x:c>
    </x:row>
    <x:row r="7" ht="52" customHeight="1">
      <x:c r="A7" s="14" t="str">
        <x:v>rel-0274ef90207b</x:v>
      </x:c>
      <x:c r="B7" s="14" t="str">
        <x:v>sanctuary-pantikapaion-apollo-ietros-sanctuary</x:v>
      </x:c>
      <x:c r="C7" s="14" t="str">
        <x:v>associated_with_settlement</x:v>
      </x:c>
      <x:c r="D7" s="14" t="str">
        <x:v>colony-panticapaeum</x:v>
      </x:c>
      <x:c r="E7" s="14"/>
      <x:c r="F7" s="16" t="str">
        <x:v>Παντικάπαιο</x:v>
      </x:c>
      <x:c r="G7" s="16" t="str">
        <x:v>Panticapaeum</x:v>
      </x:c>
      <x:c r="H7" s="14" t="str">
        <x:v>high</x:v>
      </x:c>
      <x:c r="I7" s="14" t="str">
        <x:v>src-pleiades-854719</x:v>
      </x:c>
      <x:c r="J7" s="16" t="str">
        <x:v>Ρητή επιμελητική σύνδεση του ιερού με το Παντικάπαιο.</x:v>
      </x:c>
      <x:c r="K7" s="14" t="str">
        <x:v>reviewed</x:v>
      </x:c>
    </x:row>
    <x:row r="8" ht="52" customHeight="1">
      <x:c r="A8" s="14" t="str">
        <x:v>rel-02991338ff30</x:v>
      </x:c>
      <x:c r="B8" s="14" t="str">
        <x:v>colony-callatis</x:v>
      </x:c>
      <x:c r="C8" s="14" t="str">
        <x:v>founded_from</x:v>
      </x:c>
      <x:c r="D8" s="14" t="str">
        <x:v>colony-heraclea-pontica</x:v>
      </x:c>
      <x:c r="E8" s="14"/>
      <x:c r="F8" s="16" t="str">
        <x:v>Ηράκλεια Ποντική</x:v>
      </x:c>
      <x:c r="G8" s="16" t="str">
        <x:v>Heraclea Pontica</x:v>
      </x:c>
      <x:c r="H8" s="14" t="str">
        <x:v>medium</x:v>
      </x:c>
      <x:c r="I8" s="14" t="str">
        <x:v>src-pleiades-216744</x:v>
      </x:c>
      <x:c r="J8" s="16" t="str">
        <x:v>metropolis_el: Ηράκλεια Ποντική</x:v>
      </x:c>
      <x:c r="K8" s="14" t="str">
        <x:v>reviewed</x:v>
      </x:c>
    </x:row>
    <x:row r="9" ht="52" customHeight="1">
      <x:c r="A9" s="14" t="str">
        <x:v>rel-03d62fdc5966</x:v>
      </x:c>
      <x:c r="B9" s="14" t="str">
        <x:v>sanctuary-claros-apollo-oracle</x:v>
      </x:c>
      <x:c r="C9" s="14" t="str">
        <x:v>cult_of</x:v>
      </x:c>
      <x:c r="D9" s="14"/>
      <x:c r="E9" s="14" t="str">
        <x:v>deity_or_cult-apollon-klarios</x:v>
      </x:c>
      <x:c r="F9" s="16" t="str">
        <x:v>Απόλλων Κλάριος</x:v>
      </x:c>
      <x:c r="G9" s="16" t="str">
        <x:v>Apollo Klarios</x:v>
      </x:c>
      <x:c r="H9" s="14" t="str">
        <x:v>medium</x:v>
      </x:c>
      <x:c r="I9" s="14" t="str">
        <x:v>src-pleiades-599719</x:v>
      </x:c>
      <x:c r="J9" s="16" t="str">
        <x:v>deity_or_cult_el: Απόλλων Κλάριος</x:v>
      </x:c>
      <x:c r="K9" s="14" t="str">
        <x:v>reviewed</x:v>
      </x:c>
    </x:row>
    <x:row r="10" ht="52" customHeight="1">
      <x:c r="A10" s="14" t="str">
        <x:v>rel-047a344ee96a</x:v>
      </x:c>
      <x:c r="B10" s="14" t="str">
        <x:v>kingdom-seleucid</x:v>
      </x:c>
      <x:c r="C10" s="14" t="str">
        <x:v>succeeded_by</x:v>
      </x:c>
      <x:c r="D10" s="14"/>
      <x:c r="E10" s="14" t="str">
        <x:v>polity-romaike-syria-parthiko-basileio-kai-alla-periphereiaka-krate</x:v>
      </x:c>
      <x:c r="F10" s="16" t="str">
        <x:v>Ρωμαϊκή Συρία, Παρθικό βασίλειο και άλλα περιφερειακά κράτη</x:v>
      </x:c>
      <x:c r="G10" s="16" t="str">
        <x:v>Roman Syria, Parthian kingdom and other peripheral states</x:v>
      </x:c>
      <x:c r="H10" s="14" t="str">
        <x:v>medium</x:v>
      </x:c>
      <x:c r="I10" s="14" t="str">
        <x:v>src-metmuseum-31540f5687cf</x:v>
      </x:c>
      <x:c r="J10" s="16" t="str">
        <x:v>successor_el: Ρωμαϊκή Συρία, Παρθικό βασίλειο και άλλα περιφερειακά κράτη</x:v>
      </x:c>
      <x:c r="K10" s="14" t="str">
        <x:v>reviewed</x:v>
      </x:c>
    </x:row>
    <x:row r="11" ht="52" customHeight="1">
      <x:c r="A11" s="14" t="str">
        <x:v>rel-052821e0ed68</x:v>
      </x:c>
      <x:c r="B11" s="14" t="str">
        <x:v>sanctuary-oropos-amphiareion</x:v>
      </x:c>
      <x:c r="C11" s="14" t="str">
        <x:v>cult_of</x:v>
      </x:c>
      <x:c r="D11" s="14"/>
      <x:c r="E11" s="14" t="str">
        <x:v>deity_or_cult-amphiaraos-kai-ygeia</x:v>
      </x:c>
      <x:c r="F11" s="16" t="str">
        <x:v>Αμφιάραος και Υγεία</x:v>
      </x:c>
      <x:c r="G11" s="16" t="str">
        <x:v>Amphiaraos and Hygieia</x:v>
      </x:c>
      <x:c r="H11" s="14" t="str">
        <x:v>medium</x:v>
      </x:c>
      <x:c r="I11" s="14" t="str">
        <x:v>src-pleiades-540628</x:v>
      </x:c>
      <x:c r="J11" s="16" t="str">
        <x:v>deity_or_cult_el: Αμφιάραος και Υγεία</x:v>
      </x:c>
      <x:c r="K11" s="14" t="str">
        <x:v>reviewed</x:v>
      </x:c>
    </x:row>
    <x:row r="12" ht="52" customHeight="1">
      <x:c r="A12" s="14" t="str">
        <x:v>rel-059e948338a4</x:v>
      </x:c>
      <x:c r="B12" s="14" t="str">
        <x:v>kingdom-tiryns-palatial</x:v>
      </x:c>
      <x:c r="C12" s="14" t="str">
        <x:v>ruled_by_dynasty</x:v>
      </x:c>
      <x:c r="D12" s="14"/>
      <x:c r="E12" s="14" t="str">
        <x:v>dynasty-agnoste-oi-proitides-anekoyn-ste-mythike-paradose</x:v>
      </x:c>
      <x:c r="F12" s="16" t="str">
        <x:v>Άγνωστη· οι Προιτίδες ανήκουν στη μυθική παράδοση</x:v>
      </x:c>
      <x:c r="G12" s="16" t="str">
        <x:v>Unknown; the Proitides belong to the mythic tradition</x:v>
      </x:c>
      <x:c r="H12" s="14" t="str">
        <x:v>medium</x:v>
      </x:c>
      <x:c r="I12" s="14" t="str">
        <x:v>src-whc-6306f630553d</x:v>
      </x:c>
      <x:c r="J12" s="16" t="str">
        <x:v>dynasty_el: Άγνωστη· οι Προιτίδες ανήκουν στη μυθική παράδοση</x:v>
      </x:c>
      <x:c r="K12" s="14" t="str">
        <x:v>reviewed</x:v>
      </x:c>
    </x:row>
    <x:row r="13" ht="52" customHeight="1">
      <x:c r="A13" s="14" t="str">
        <x:v>rel-066d030baf75</x:v>
      </x:c>
      <x:c r="B13" s="14" t="str">
        <x:v>kingdom-macedon-antigonid</x:v>
      </x:c>
      <x:c r="C13" s="14" t="str">
        <x:v>ruled_by_dynasty</x:v>
      </x:c>
      <x:c r="D13" s="14"/>
      <x:c r="E13" s="14" t="str">
        <x:v>dynasty-antigonides</x:v>
      </x:c>
      <x:c r="F13" s="16" t="str">
        <x:v>Αντιγονίδες</x:v>
      </x:c>
      <x:c r="G13" s="16" t="str">
        <x:v>Antigonids</x:v>
      </x:c>
      <x:c r="H13" s="14" t="str">
        <x:v>medium</x:v>
      </x:c>
      <x:c r="I13" s="14" t="str">
        <x:v>src-metmuseum-50fe20dc493f</x:v>
      </x:c>
      <x:c r="J13" s="16" t="str">
        <x:v>dynasty_el: Αντιγονίδες</x:v>
      </x:c>
      <x:c r="K13" s="14" t="str">
        <x:v>reviewed</x:v>
      </x:c>
    </x:row>
    <x:row r="14" ht="52" customHeight="1">
      <x:c r="A14" s="14" t="str">
        <x:v>rel-090dbf0652d9</x:v>
      </x:c>
      <x:c r="B14" s="14" t="str">
        <x:v>kingdom-indo-greek-menandrid</x:v>
      </x:c>
      <x:c r="C14" s="14" t="str">
        <x:v>preceded_by</x:v>
      </x:c>
      <x:c r="D14" s="14"/>
      <x:c r="E14" s="14" t="str">
        <x:v>polity-proima-indoellenika-basileia</x:v>
      </x:c>
      <x:c r="F14" s="16" t="str">
        <x:v>Πρώιμα ινδοελληνικά βασίλεια</x:v>
      </x:c>
      <x:c r="G14" s="16" t="str">
        <x:v>Early Indo-Greek kingdoms</x:v>
      </x:c>
      <x:c r="H14" s="14" t="str">
        <x:v>medium</x:v>
      </x:c>
      <x:c r="I14" s="14" t="str">
        <x:v>src-iranicaonline-612dff96c99c</x:v>
      </x:c>
      <x:c r="J14" s="16" t="str">
        <x:v>predecessor_el: Πρώιμα ινδοελληνικά βασίλεια</x:v>
      </x:c>
      <x:c r="K14" s="14" t="str">
        <x:v>reviewed</x:v>
      </x:c>
    </x:row>
    <x:row r="15" ht="52" customHeight="1">
      <x:c r="A15" s="14" t="str">
        <x:v>rel-09155c25e573</x:v>
      </x:c>
      <x:c r="B15" s="14" t="str">
        <x:v>kingdom-attalid-pergamon</x:v>
      </x:c>
      <x:c r="C15" s="14" t="str">
        <x:v>ruled_by_dynasty</x:v>
      </x:c>
      <x:c r="D15" s="14"/>
      <x:c r="E15" s="14" t="str">
        <x:v>dynasty-attalides</x:v>
      </x:c>
      <x:c r="F15" s="16" t="str">
        <x:v>Ατταλίδες</x:v>
      </x:c>
      <x:c r="G15" s="16" t="str">
        <x:v>Attalids</x:v>
      </x:c>
      <x:c r="H15" s="14" t="str">
        <x:v>medium</x:v>
      </x:c>
      <x:c r="I15" s="14" t="str">
        <x:v>src-metmuseum-50fe20dc493f</x:v>
      </x:c>
      <x:c r="J15" s="16" t="str">
        <x:v>dynasty_el: Ατταλίδες</x:v>
      </x:c>
      <x:c r="K15" s="14" t="str">
        <x:v>reviewed</x:v>
      </x:c>
    </x:row>
    <x:row r="16" ht="52" customHeight="1">
      <x:c r="A16" s="14" t="str">
        <x:v>rel-0ace6d8e4c36</x:v>
      </x:c>
      <x:c r="B16" s="14" t="str">
        <x:v>kingdom-attalid-pergamon</x:v>
      </x:c>
      <x:c r="C16" s="14" t="str">
        <x:v>succeeded_by</x:v>
      </x:c>
      <x:c r="D16" s="14"/>
      <x:c r="E16" s="14" t="str">
        <x:v>polity-romaike-eparchia-asia</x:v>
      </x:c>
      <x:c r="F16" s="16" t="str">
        <x:v>Ρωμαϊκή επαρχία Ασία</x:v>
      </x:c>
      <x:c r="G16" s="16" t="str">
        <x:v>Roman province of Asia</x:v>
      </x:c>
      <x:c r="H16" s="14" t="str">
        <x:v>medium</x:v>
      </x:c>
      <x:c r="I16" s="14" t="str">
        <x:v>src-metmuseum-50fe20dc493f</x:v>
      </x:c>
      <x:c r="J16" s="16" t="str">
        <x:v>successor_el: Ρωμαϊκή επαρχία Ασία</x:v>
      </x:c>
      <x:c r="K16" s="14" t="str">
        <x:v>reviewed</x:v>
      </x:c>
    </x:row>
    <x:row r="17" ht="52" customHeight="1">
      <x:c r="A17" s="14" t="str">
        <x:v>rel-0bdc59ee44e8</x:v>
      </x:c>
      <x:c r="B17" s="14" t="str">
        <x:v>kingdom-tiryns-palatial</x:v>
      </x:c>
      <x:c r="C17" s="14" t="str">
        <x:v>preceded_by</x:v>
      </x:c>
      <x:c r="D17" s="14"/>
      <x:c r="E17" s="14" t="str">
        <x:v>polity-mesoelladikes-kai-proimes-mykenaikes-koinotetes</x:v>
      </x:c>
      <x:c r="F17" s="16" t="str">
        <x:v>Μεσοελλαδικές και πρώιμες μυκηναϊκές κοινότητες</x:v>
      </x:c>
      <x:c r="G17" s="16" t="str">
        <x:v>Middle Helladic and early Mycenaean communities</x:v>
      </x:c>
      <x:c r="H17" s="14" t="str">
        <x:v>medium</x:v>
      </x:c>
      <x:c r="I17" s="14" t="str">
        <x:v>src-whc-6306f630553d</x:v>
      </x:c>
      <x:c r="J17" s="16" t="str">
        <x:v>predecessor_el: Μεσοελλαδικές και πρώιμες μυκηναϊκές κοινότητες</x:v>
      </x:c>
      <x:c r="K17" s="14" t="str">
        <x:v>reviewed</x:v>
      </x:c>
    </x:row>
    <x:row r="18" ht="52" customHeight="1">
      <x:c r="A18" s="14" t="str">
        <x:v>rel-0bf49800707e</x:v>
      </x:c>
      <x:c r="B18" s="14" t="str">
        <x:v>kingdom-syracuse-agathocles</x:v>
      </x:c>
      <x:c r="C18" s="14" t="str">
        <x:v>succeeded_by</x:v>
      </x:c>
      <x:c r="D18" s="14"/>
      <x:c r="E18" s="14" t="str">
        <x:v>polity-metagathokleideia-astatheia-stis-syrakoyses</x:v>
      </x:c>
      <x:c r="F18" s="16" t="str">
        <x:v>Μεταγαθοκλείδεια αστάθεια στις Συρακούσες</x:v>
      </x:c>
      <x:c r="G18" s="16" t="str">
        <x:v>Post-Agathoclean instability at Syracuse</x:v>
      </x:c>
      <x:c r="H18" s="14" t="str">
        <x:v>medium</x:v>
      </x:c>
      <x:c r="I18" s="14" t="str">
        <x:v>src-britishmuseum-073d3f0a8ae4</x:v>
      </x:c>
      <x:c r="J18" s="16" t="str">
        <x:v>successor_el: Μεταγαθοκλείδεια αστάθεια στις Συρακούσες</x:v>
      </x:c>
      <x:c r="K18" s="14" t="str">
        <x:v>reviewed</x:v>
      </x:c>
    </x:row>
    <x:row r="19" ht="52" customHeight="1">
      <x:c r="A19" s="14" t="str">
        <x:v>rel-0d81e8247d39</x:v>
      </x:c>
      <x:c r="B19" s="14" t="str">
        <x:v>kingdom-seleucid</x:v>
      </x:c>
      <x:c r="C19" s="14" t="str">
        <x:v>preceded_by</x:v>
      </x:c>
      <x:c r="D19" s="14"/>
      <x:c r="E19" s="14" t="str">
        <x:v>polity-aytokratoria-toy-alexandroy-kai-satrapeies-ton-diadochon</x:v>
      </x:c>
      <x:c r="F19" s="16" t="str">
        <x:v>Αυτοκρατορία του Αλεξάνδρου και σατραπείες των Διαδόχων</x:v>
      </x:c>
      <x:c r="G19" s="16" t="str">
        <x:v>Empire of Alexander and satrapies of the Successors</x:v>
      </x:c>
      <x:c r="H19" s="14" t="str">
        <x:v>medium</x:v>
      </x:c>
      <x:c r="I19" s="14" t="str">
        <x:v>src-metmuseum-31540f5687cf</x:v>
      </x:c>
      <x:c r="J19" s="16" t="str">
        <x:v>predecessor_el: Αυτοκρατορία του Αλεξάνδρου και σατραπείες των Διαδόχων</x:v>
      </x:c>
      <x:c r="K19" s="14" t="str">
        <x:v>reviewed</x:v>
      </x:c>
    </x:row>
    <x:row r="20" ht="52" customHeight="1">
      <x:c r="A20" s="14" t="str">
        <x:v>rel-0dbf9cae8cb7</x:v>
      </x:c>
      <x:c r="B20" s="14" t="str">
        <x:v>kingdom-lysimachid</x:v>
      </x:c>
      <x:c r="C20" s="14" t="str">
        <x:v>representative_center</x:v>
      </x:c>
      <x:c r="D20" s="14"/>
      <x:c r="E20" s="14" t="str">
        <x:v>settlement-lysimacheia</x:v>
      </x:c>
      <x:c r="F20" s="16" t="str">
        <x:v>Λυσιμάχεια</x:v>
      </x:c>
      <x:c r="G20" s="16" t="str">
        <x:v>Lysimachia</x:v>
      </x:c>
      <x:c r="H20" s="14" t="str">
        <x:v>high</x:v>
      </x:c>
      <x:c r="I20" s="14" t="str">
        <x:v>src-pleiades-501458</x:v>
      </x:c>
      <x:c r="J20" s="16" t="str">
        <x:v>representative_center_el: Λυσιμάχεια</x:v>
      </x:c>
      <x:c r="K20" s="14" t="str">
        <x:v>reviewed</x:v>
      </x:c>
    </x:row>
    <x:row r="21" ht="52" customHeight="1">
      <x:c r="A21" s="14" t="str">
        <x:v>rel-0de5dd198fae</x:v>
      </x:c>
      <x:c r="B21" s="14" t="str">
        <x:v>kingdom-salamis-cyprus</x:v>
      </x:c>
      <x:c r="C21" s="14" t="str">
        <x:v>ruled_by_dynasty</x:v>
      </x:c>
      <x:c r="D21" s="14"/>
      <x:c r="E21" s="14" t="str">
        <x:v>dynasty-teykrides-kai-istorikes-basilikes-grammes-metaxy-toys-oi-eyagorides</x:v>
      </x:c>
      <x:c r="F21" s="16" t="str">
        <x:v>Τευκρίδες και ιστορικές βασιλικές γραμμές, μεταξύ τους οι Ευαγορίδες</x:v>
      </x:c>
      <x:c r="G21" s="16" t="str">
        <x:v>Teucrids and historical royal lines, including the Evagorids</x:v>
      </x:c>
      <x:c r="H21" s="14" t="str">
        <x:v>medium</x:v>
      </x:c>
      <x:c r="I21" s="14" t="str">
        <x:v>src-uni-muenster-0a0030be4d2a</x:v>
      </x:c>
      <x:c r="J21" s="16" t="str">
        <x:v>dynasty_el: Τευκρίδες και ιστορικές βασιλικές γραμμές, μεταξύ τους οι Ευαγορίδες</x:v>
      </x:c>
      <x:c r="K21" s="14" t="str">
        <x:v>reviewed</x:v>
      </x:c>
    </x:row>
    <x:row r="22" ht="52" customHeight="1">
      <x:c r="A22" s="14" t="str">
        <x:v>rel-101dfed03f3e</x:v>
      </x:c>
      <x:c r="B22" s="14" t="str">
        <x:v>kingdom-athens-mycenaean</x:v>
      </x:c>
      <x:c r="C22" s="14" t="str">
        <x:v>ruled_by_dynasty</x:v>
      </x:c>
      <x:c r="D22" s="14"/>
      <x:c r="E22" s="14" t="str">
        <x:v>dynasty-agnoste-oi-erechtheides-anekoyn-ste-mythike-paradose</x:v>
      </x:c>
      <x:c r="F22" s="16" t="str">
        <x:v>Άγνωστη· οι Ερεχθείδες ανήκουν στη μυθική παράδοση</x:v>
      </x:c>
      <x:c r="G22" s="16" t="str">
        <x:v>Unknown; the Erechtheids belong to mythic tradition</x:v>
      </x:c>
      <x:c r="H22" s="14" t="str">
        <x:v>medium</x:v>
      </x:c>
      <x:c r="I22" s="14" t="str">
        <x:v>src-whc-228f1be9c035</x:v>
      </x:c>
      <x:c r="J22" s="16" t="str">
        <x:v>dynasty_el: Άγνωστη· οι Ερεχθείδες ανήκουν στη μυθική παράδοση</x:v>
      </x:c>
      <x:c r="K22" s="14" t="str">
        <x:v>reviewed</x:v>
      </x:c>
    </x:row>
    <x:row r="23" ht="52" customHeight="1">
      <x:c r="A23" s="14" t="str">
        <x:v>rel-120252305217</x:v>
      </x:c>
      <x:c r="B23" s="14" t="str">
        <x:v>kingdom-indo-greek-menandrid</x:v>
      </x:c>
      <x:c r="C23" s="14" t="str">
        <x:v>representative_center</x:v>
      </x:c>
      <x:c r="D23" s="14"/>
      <x:c r="E23" s="14" t="str">
        <x:v>settlement-sagala</x:v>
      </x:c>
      <x:c r="F23" s="16" t="str">
        <x:v>Σάγαλα</x:v>
      </x:c>
      <x:c r="G23" s="16" t="str">
        <x:v>Sagala</x:v>
      </x:c>
      <x:c r="H23" s="14" t="str">
        <x:v>high</x:v>
      </x:c>
      <x:c r="I23" s="14" t="str">
        <x:v>src-iranicaonline-612dff96c99c</x:v>
      </x:c>
      <x:c r="J23" s="16" t="str">
        <x:v>representative_center_el: Σάγαλα</x:v>
      </x:c>
      <x:c r="K23" s="14" t="str">
        <x:v>reviewed</x:v>
      </x:c>
    </x:row>
    <x:row r="24" ht="52" customHeight="1">
      <x:c r="A24" s="14" t="str">
        <x:v>rel-1217f5b7d0b5</x:v>
      </x:c>
      <x:c r="B24" s="14" t="str">
        <x:v>kingdom-athens-mycenaean</x:v>
      </x:c>
      <x:c r="C24" s="14" t="str">
        <x:v>succeeded_by</x:v>
      </x:c>
      <x:c r="D24" s="14"/>
      <x:c r="E24" s="14" t="str">
        <x:v>polity-proime-epoche-toy-sideroy-sten-athena</x:v>
      </x:c>
      <x:c r="F24" s="16" t="str">
        <x:v>Πρώιμη Εποχή του Σιδήρου στην Αθήνα</x:v>
      </x:c>
      <x:c r="G24" s="16" t="str">
        <x:v>Early Iron Age in Athens</x:v>
      </x:c>
      <x:c r="H24" s="14" t="str">
        <x:v>medium</x:v>
      </x:c>
      <x:c r="I24" s="14" t="str">
        <x:v>src-whc-228f1be9c035</x:v>
      </x:c>
      <x:c r="J24" s="16" t="str">
        <x:v>successor_el: Πρώιμη Εποχή του Σιδήρου στην Αθήνα</x:v>
      </x:c>
      <x:c r="K24" s="14" t="str">
        <x:v>reviewed</x:v>
      </x:c>
    </x:row>
    <x:row r="25" ht="52" customHeight="1">
      <x:c r="A25" s="14" t="str">
        <x:v>rel-129d7b643ccd</x:v>
      </x:c>
      <x:c r="B25" s="14" t="str">
        <x:v>colony-teos</x:v>
      </x:c>
      <x:c r="C25" s="14" t="str">
        <x:v>founded_from</x:v>
      </x:c>
      <x:c r="D25" s="14"/>
      <x:c r="E25" s="14" t="str">
        <x:v>settlement-athena-kai-boiotia-paradose</x:v>
      </x:c>
      <x:c r="F25" s="16" t="str">
        <x:v>Αθήνα και Βοιωτία (παράδοση)</x:v>
      </x:c>
      <x:c r="G25" s="16" t="str">
        <x:v>Athens and Boeotia (tradition)</x:v>
      </x:c>
      <x:c r="H25" s="14" t="str">
        <x:v>medium</x:v>
      </x:c>
      <x:c r="I25" s="14" t="str">
        <x:v>src-pleiades-550913</x:v>
      </x:c>
      <x:c r="J25" s="16" t="str">
        <x:v>metropolis_el: Αθήνα και Βοιωτία (παράδοση)</x:v>
      </x:c>
      <x:c r="K25" s="14" t="str">
        <x:v>reviewed</x:v>
      </x:c>
    </x:row>
    <x:row r="26" ht="52" customHeight="1">
      <x:c r="A26" s="14" t="str">
        <x:v>rel-12dacc8eff7f</x:v>
      </x:c>
      <x:c r="B26" s="14" t="str">
        <x:v>colony-amphipolis</x:v>
      </x:c>
      <x:c r="C26" s="14" t="str">
        <x:v>founded_from</x:v>
      </x:c>
      <x:c r="D26" s="14" t="str">
        <x:v>city-athens-attica</x:v>
      </x:c>
      <x:c r="E26" s="14"/>
      <x:c r="F26" s="16" t="str">
        <x:v>Αθήνα</x:v>
      </x:c>
      <x:c r="G26" s="16" t="str">
        <x:v>Athens</x:v>
      </x:c>
      <x:c r="H26" s="14" t="str">
        <x:v>medium</x:v>
      </x:c>
      <x:c r="I26" s="14" t="str">
        <x:v>src-pleiades-501347</x:v>
      </x:c>
      <x:c r="J26" s="16" t="str">
        <x:v>metropolis_el: Αθήνα</x:v>
      </x:c>
      <x:c r="K26" s="14" t="str">
        <x:v>reviewed</x:v>
      </x:c>
    </x:row>
    <x:row r="27" ht="52" customHeight="1">
      <x:c r="A27" s="14" t="str">
        <x:v>rel-13f9862e1af0</x:v>
      </x:c>
      <x:c r="B27" s="14" t="str">
        <x:v>kingdom-seleucid</x:v>
      </x:c>
      <x:c r="C27" s="14" t="str">
        <x:v>ruled_by_dynasty</x:v>
      </x:c>
      <x:c r="D27" s="14"/>
      <x:c r="E27" s="14" t="str">
        <x:v>dynasty-seleykides</x:v>
      </x:c>
      <x:c r="F27" s="16" t="str">
        <x:v>Σελευκίδες</x:v>
      </x:c>
      <x:c r="G27" s="16" t="str">
        <x:v>Seleucids</x:v>
      </x:c>
      <x:c r="H27" s="14" t="str">
        <x:v>medium</x:v>
      </x:c>
      <x:c r="I27" s="14" t="str">
        <x:v>src-metmuseum-31540f5687cf</x:v>
      </x:c>
      <x:c r="J27" s="16" t="str">
        <x:v>dynasty_el: Σελευκίδες</x:v>
      </x:c>
      <x:c r="K27" s="14" t="str">
        <x:v>reviewed</x:v>
      </x:c>
    </x:row>
    <x:row r="28" ht="52" customHeight="1">
      <x:c r="A28" s="14" t="str">
        <x:v>rel-14bd08b82692</x:v>
      </x:c>
      <x:c r="B28" s="14" t="str">
        <x:v>kingdom-indo-greek-menandrid</x:v>
      </x:c>
      <x:c r="C28" s="14" t="str">
        <x:v>succeeded_by</x:v>
      </x:c>
      <x:c r="D28" s="14"/>
      <x:c r="E28" s="14" t="str">
        <x:v>polity-ystera-periphereiaka-indoellenika-basileia</x:v>
      </x:c>
      <x:c r="F28" s="16" t="str">
        <x:v>Ύστερα περιφερειακά ινδοελληνικά βασίλεια</x:v>
      </x:c>
      <x:c r="G28" s="16" t="str">
        <x:v>Later regional Indo-Greek kingdoms</x:v>
      </x:c>
      <x:c r="H28" s="14" t="str">
        <x:v>medium</x:v>
      </x:c>
      <x:c r="I28" s="14" t="str">
        <x:v>src-iranicaonline-612dff96c99c</x:v>
      </x:c>
      <x:c r="J28" s="16" t="str">
        <x:v>successor_el: Ύστερα περιφερειακά ινδοελληνικά βασίλεια</x:v>
      </x:c>
      <x:c r="K28" s="14" t="str">
        <x:v>reviewed</x:v>
      </x:c>
    </x:row>
    <x:row r="29" ht="52" customHeight="1">
      <x:c r="A29" s="14" t="str">
        <x:v>rel-168505ff3d8c</x:v>
      </x:c>
      <x:c r="B29" s="14" t="str">
        <x:v>kingdom-paphos-cyprus</x:v>
      </x:c>
      <x:c r="C29" s="14" t="str">
        <x:v>representative_center</x:v>
      </x:c>
      <x:c r="D29" s="14"/>
      <x:c r="E29" s="14" t="str">
        <x:v>settlement-palaipaphos-koyklia</x:v>
      </x:c>
      <x:c r="F29" s="16" t="str">
        <x:v>Παλαίπαφος, Κούκλια</x:v>
      </x:c>
      <x:c r="G29" s="16" t="str">
        <x:v>Palaepaphos (Kouklia)</x:v>
      </x:c>
      <x:c r="H29" s="14" t="str">
        <x:v>high</x:v>
      </x:c>
      <x:c r="I29" s="14" t="str">
        <x:v>src-websites-d5246844b076</x:v>
      </x:c>
      <x:c r="J29" s="16" t="str">
        <x:v>representative_center_el: Παλαίπαφος, Κούκλια</x:v>
      </x:c>
      <x:c r="K29" s="14" t="str">
        <x:v>reviewed</x:v>
      </x:c>
    </x:row>
    <x:row r="30" ht="52" customHeight="1">
      <x:c r="A30" s="14" t="str">
        <x:v>rel-17206788a259</x:v>
      </x:c>
      <x:c r="B30" s="14" t="str">
        <x:v>sanctuary-alexandria-serapeum</x:v>
      </x:c>
      <x:c r="C30" s="14" t="str">
        <x:v>cult_of</x:v>
      </x:c>
      <x:c r="D30" s="14"/>
      <x:c r="E30" s="14" t="str">
        <x:v>deity_or_cult-sarapis-isis-kai-arpokrates</x:v>
      </x:c>
      <x:c r="F30" s="16" t="str">
        <x:v>Σάραπις, Ίσις και Αρποκράτης</x:v>
      </x:c>
      <x:c r="G30" s="16" t="str">
        <x:v>Sarapis, Isis and Harpocrates</x:v>
      </x:c>
      <x:c r="H30" s="14" t="str">
        <x:v>medium</x:v>
      </x:c>
      <x:c r="I30" s="14" t="str">
        <x:v>src-pleiades-182618516</x:v>
      </x:c>
      <x:c r="J30" s="16" t="str">
        <x:v>deity_or_cult_el: Σάραπις, Ίσις και Αρποκράτης</x:v>
      </x:c>
      <x:c r="K30" s="14" t="str">
        <x:v>reviewed</x:v>
      </x:c>
    </x:row>
    <x:row r="31" ht="52" customHeight="1">
      <x:c r="A31" s="14" t="str">
        <x:v>rel-17db0a337b33</x:v>
      </x:c>
      <x:c r="B31" s="14" t="str">
        <x:v>kingdom-thebes-palatial</x:v>
      </x:c>
      <x:c r="C31" s="14" t="str">
        <x:v>preceded_by</x:v>
      </x:c>
      <x:c r="D31" s="14"/>
      <x:c r="E31" s="14" t="str">
        <x:v>polity-proimes-mykenaikes-koinotetes-tes-boiotias</x:v>
      </x:c>
      <x:c r="F31" s="16" t="str">
        <x:v>Πρώιμες μυκηναϊκές κοινότητες της Βοιωτίας</x:v>
      </x:c>
      <x:c r="G31" s="16" t="str">
        <x:v>Early Mycenaean communities of Boeotia</x:v>
      </x:c>
      <x:c r="H31" s="14" t="str">
        <x:v>medium</x:v>
      </x:c>
      <x:c r="I31" s="14" t="str">
        <x:v>src-mthv-715d665b63b5</x:v>
      </x:c>
      <x:c r="J31" s="16" t="str">
        <x:v>predecessor_el: Πρώιμες μυκηναϊκές κοινότητες της Βοιωτίας</x:v>
      </x:c>
      <x:c r="K31" s="14" t="str">
        <x:v>reviewed</x:v>
      </x:c>
    </x:row>
    <x:row r="32" ht="52" customHeight="1">
      <x:c r="A32" s="14" t="str">
        <x:v>rel-17ed503aae7d</x:v>
      </x:c>
      <x:c r="B32" s="14" t="str">
        <x:v>colony-croton</x:v>
      </x:c>
      <x:c r="C32" s="14" t="str">
        <x:v>founded_from</x:v>
      </x:c>
      <x:c r="D32" s="14"/>
      <x:c r="E32" s="14" t="str">
        <x:v>settlement-achaia</x:v>
      </x:c>
      <x:c r="F32" s="16" t="str">
        <x:v>Αχαΐα</x:v>
      </x:c>
      <x:c r="G32" s="16" t="str">
        <x:v>Achaia</x:v>
      </x:c>
      <x:c r="H32" s="14" t="str">
        <x:v>medium</x:v>
      </x:c>
      <x:c r="I32" s="14" t="str">
        <x:v>src-pleiades-452317</x:v>
      </x:c>
      <x:c r="J32" s="16" t="str">
        <x:v>metropolis_el: Αχαΐα</x:v>
      </x:c>
      <x:c r="K32" s="14" t="str">
        <x:v>reviewed</x:v>
      </x:c>
    </x:row>
    <x:row r="33" ht="52" customHeight="1">
      <x:c r="A33" s="14" t="str">
        <x:v>rel-18e47a4caa28</x:v>
      </x:c>
      <x:c r="B33" s="14" t="str">
        <x:v>colony-apollonia-cyrenaica</x:v>
      </x:c>
      <x:c r="C33" s="14" t="str">
        <x:v>founded_from</x:v>
      </x:c>
      <x:c r="D33" s="14" t="str">
        <x:v>colony-cyrene</x:v>
      </x:c>
      <x:c r="E33" s="14"/>
      <x:c r="F33" s="16" t="str">
        <x:v>Κυρήνη</x:v>
      </x:c>
      <x:c r="G33" s="16" t="str">
        <x:v>Cyrene</x:v>
      </x:c>
      <x:c r="H33" s="14" t="str">
        <x:v>medium</x:v>
      </x:c>
      <x:c r="I33" s="14" t="str">
        <x:v>src-pleiades-373732</x:v>
      </x:c>
      <x:c r="J33" s="16" t="str">
        <x:v>metropolis_el: Κυρήνη</x:v>
      </x:c>
      <x:c r="K33" s="14" t="str">
        <x:v>reviewed</x:v>
      </x:c>
    </x:row>
    <x:row r="34" ht="52" customHeight="1">
      <x:c r="A34" s="14" t="str">
        <x:v>rel-190b651ef9aa</x:v>
      </x:c>
      <x:c r="B34" s="14" t="str">
        <x:v>kingdom-salamis-cyprus</x:v>
      </x:c>
      <x:c r="C34" s="14" t="str">
        <x:v>representative_center</x:v>
      </x:c>
      <x:c r="D34" s="14"/>
      <x:c r="E34" s="14" t="str">
        <x:v>settlement-salamina-kyproy</x:v>
      </x:c>
      <x:c r="F34" s="16" t="str">
        <x:v>Σαλαμίνα Κύπρου</x:v>
      </x:c>
      <x:c r="G34" s="16" t="str">
        <x:v>Salamis, Cyprus</x:v>
      </x:c>
      <x:c r="H34" s="14" t="str">
        <x:v>high</x:v>
      </x:c>
      <x:c r="I34" s="14" t="str">
        <x:v>src-uni-muenster-0a0030be4d2a</x:v>
      </x:c>
      <x:c r="J34" s="16" t="str">
        <x:v>representative_center_el: Σαλαμίνα Κύπρου</x:v>
      </x:c>
      <x:c r="K34" s="14" t="str">
        <x:v>reviewed</x:v>
      </x:c>
    </x:row>
    <x:row r="35" ht="52" customHeight="1">
      <x:c r="A35" s="14" t="str">
        <x:v>rel-19122ab689a1</x:v>
      </x:c>
      <x:c r="B35" s="14" t="str">
        <x:v>colony-colophon</x:v>
      </x:c>
      <x:c r="C35" s="14" t="str">
        <x:v>founded_from</x:v>
      </x:c>
      <x:c r="D35" s="14"/>
      <x:c r="E35" s="14" t="str">
        <x:v>settlement-athena-ionike-paradose</x:v>
      </x:c>
      <x:c r="F35" s="16" t="str">
        <x:v>Αθήνα (ιωνική παράδοση)</x:v>
      </x:c>
      <x:c r="G35" s="16" t="str">
        <x:v>Athens (Ionic tradition)</x:v>
      </x:c>
      <x:c r="H35" s="14" t="str">
        <x:v>medium</x:v>
      </x:c>
      <x:c r="I35" s="14" t="str">
        <x:v>src-pleiades-599577</x:v>
      </x:c>
      <x:c r="J35" s="16" t="str">
        <x:v>metropolis_el: Αθήνα (ιωνική παράδοση)</x:v>
      </x:c>
      <x:c r="K35" s="14" t="str">
        <x:v>reviewed</x:v>
      </x:c>
    </x:row>
    <x:row r="36" ht="52" customHeight="1">
      <x:c r="A36" s="14" t="str">
        <x:v>rel-196748495cc9</x:v>
      </x:c>
      <x:c r="B36" s="14" t="str">
        <x:v>colony-cnidus</x:v>
      </x:c>
      <x:c r="C36" s="14" t="str">
        <x:v>founded_from</x:v>
      </x:c>
      <x:c r="D36" s="14" t="str">
        <x:v>city-sparta</x:v>
      </x:c>
      <x:c r="E36" s="14"/>
      <x:c r="F36" s="16" t="str">
        <x:v>Σπάρτη</x:v>
      </x:c>
      <x:c r="G36" s="16" t="str">
        <x:v>Sparta</x:v>
      </x:c>
      <x:c r="H36" s="14" t="str">
        <x:v>medium</x:v>
      </x:c>
      <x:c r="I36" s="14" t="str">
        <x:v>src-pleiades-599575</x:v>
      </x:c>
      <x:c r="J36" s="16" t="str">
        <x:v>metropolis_el: Σπάρτη</x:v>
      </x:c>
      <x:c r="K36" s="14" t="str">
        <x:v>reviewed</x:v>
      </x:c>
    </x:row>
    <x:row r="37" ht="52" customHeight="1">
      <x:c r="A37" s="14" t="str">
        <x:v>rel-19a1e41cfffe</x:v>
      </x:c>
      <x:c r="B37" s="14" t="str">
        <x:v>kingdom-epirus-aeacid</x:v>
      </x:c>
      <x:c r="C37" s="14" t="str">
        <x:v>succeeded_by</x:v>
      </x:c>
      <x:c r="D37" s="14"/>
      <x:c r="E37" s="14" t="str">
        <x:v>polity-koino-ton-epeiroton</x:v>
      </x:c>
      <x:c r="F37" s="16" t="str">
        <x:v>Κοινό των Ηπειρωτών</x:v>
      </x:c>
      <x:c r="G37" s="16" t="str">
        <x:v>Epirote League</x:v>
      </x:c>
      <x:c r="H37" s="14" t="str">
        <x:v>medium</x:v>
      </x:c>
      <x:c r="I37" s="14" t="str">
        <x:v>src-cambridge-96106a304cc6</x:v>
      </x:c>
      <x:c r="J37" s="16" t="str">
        <x:v>successor_el: Κοινό των Ηπειρωτών</x:v>
      </x:c>
      <x:c r="K37" s="14" t="str">
        <x:v>reviewed</x:v>
      </x:c>
    </x:row>
    <x:row r="38" ht="52" customHeight="1">
      <x:c r="A38" s="14" t="str">
        <x:v>rel-1b02370e9b25</x:v>
      </x:c>
      <x:c r="B38" s="14" t="str">
        <x:v>colony-neapolis-campania</x:v>
      </x:c>
      <x:c r="C38" s="14" t="str">
        <x:v>founded_from</x:v>
      </x:c>
      <x:c r="D38" s="14" t="str">
        <x:v>colony-cumae-campania</x:v>
      </x:c>
      <x:c r="E38" s="14"/>
      <x:c r="F38" s="16" t="str">
        <x:v>Κύμη Καμπανίας</x:v>
      </x:c>
      <x:c r="G38" s="16" t="str">
        <x:v>Cumae</x:v>
      </x:c>
      <x:c r="H38" s="14" t="str">
        <x:v>medium</x:v>
      </x:c>
      <x:c r="I38" s="14" t="str">
        <x:v>src-pleiades-433014</x:v>
      </x:c>
      <x:c r="J38" s="16" t="str">
        <x:v>metropolis_el: Κύμη Καμπανίας</x:v>
      </x:c>
      <x:c r="K38" s="14" t="str">
        <x:v>reviewed</x:v>
      </x:c>
    </x:row>
    <x:row r="39" ht="52" customHeight="1">
      <x:c r="A39" s="14" t="str">
        <x:v>rel-1bbe5532dbdc</x:v>
      </x:c>
      <x:c r="B39" s="14" t="str">
        <x:v>sanctuary-croton-hera-lacinia-sanctuary</x:v>
      </x:c>
      <x:c r="C39" s="14" t="str">
        <x:v>cult_of</x:v>
      </x:c>
      <x:c r="D39" s="14"/>
      <x:c r="E39" s="14" t="str">
        <x:v>deity_or_cult-era-lakinia</x:v>
      </x:c>
      <x:c r="F39" s="16" t="str">
        <x:v>Ήρα Λακινία</x:v>
      </x:c>
      <x:c r="G39" s="16" t="str">
        <x:v>Hera Lacinia</x:v>
      </x:c>
      <x:c r="H39" s="14" t="str">
        <x:v>medium</x:v>
      </x:c>
      <x:c r="I39" s="14" t="str">
        <x:v>src-pleiades-452332</x:v>
      </x:c>
      <x:c r="J39" s="16" t="str">
        <x:v>deity_or_cult_el: Ήρα Λακινία</x:v>
      </x:c>
      <x:c r="K39" s="14" t="str">
        <x:v>reviewed</x:v>
      </x:c>
    </x:row>
    <x:row r="40" ht="52" customHeight="1">
      <x:c r="A40" s="14" t="str">
        <x:v>rel-1cde586c00a0</x:v>
      </x:c>
      <x:c r="B40" s="14" t="str">
        <x:v>sanctuary-locri-mannella-persephone-sanctuary</x:v>
      </x:c>
      <x:c r="C40" s="14" t="str">
        <x:v>associated_with_settlement</x:v>
      </x:c>
      <x:c r="D40" s="14" t="str">
        <x:v>colony-locri-epizephyrii</x:v>
      </x:c>
      <x:c r="E40" s="14"/>
      <x:c r="F40" s="16" t="str">
        <x:v>Λοκροί Επιζεφύριοι</x:v>
      </x:c>
      <x:c r="G40" s="16" t="str">
        <x:v>Locri Epizephyrii</x:v>
      </x:c>
      <x:c r="H40" s="14" t="str">
        <x:v>high</x:v>
      </x:c>
      <x:c r="I40" s="14" t="str">
        <x:v>src-museoarcheologicoreggiocalabria-a34e7a2bfa16</x:v>
      </x:c>
      <x:c r="J40" s="16" t="str">
        <x:v>Ρητή επιμελητική σύνδεση του ιερού της Mannella με τους Επιζεφύριους Λοκρούς.</x:v>
      </x:c>
      <x:c r="K40" s="14" t="str">
        <x:v>reviewed</x:v>
      </x:c>
    </x:row>
    <x:row r="41" ht="52" customHeight="1">
      <x:c r="A41" s="14" t="str">
        <x:v>rel-1cfd9a22f9b1</x:v>
      </x:c>
      <x:c r="B41" s="14" t="str">
        <x:v>kingdom-cappadocia-ariarathid</x:v>
      </x:c>
      <x:c r="C41" s="14" t="str">
        <x:v>preceded_by</x:v>
      </x:c>
      <x:c r="D41" s="14"/>
      <x:c r="E41" s="14" t="str">
        <x:v>polity-achaimenidike-satrapeia-kappadokias</x:v>
      </x:c>
      <x:c r="F41" s="16" t="str">
        <x:v>Αχαιμενιδική σατραπεία Καππαδοκίας</x:v>
      </x:c>
      <x:c r="G41" s="16" t="str">
        <x:v>Achaemenid satrapy of Cappadocia</x:v>
      </x:c>
      <x:c r="H41" s="14" t="str">
        <x:v>medium</x:v>
      </x:c>
      <x:c r="I41" s="14" t="str">
        <x:v>src-iranicaonline-0624b0b64cf3</x:v>
      </x:c>
      <x:c r="J41" s="16" t="str">
        <x:v>predecessor_el: Αχαιμενιδική σατραπεία Καππαδοκίας</x:v>
      </x:c>
      <x:c r="K41" s="14" t="str">
        <x:v>reviewed</x:v>
      </x:c>
    </x:row>
    <x:row r="42" ht="52" customHeight="1">
      <x:c r="A42" s="14" t="str">
        <x:v>rel-1f8a32f05d76</x:v>
      </x:c>
      <x:c r="B42" s="14" t="str">
        <x:v>sanctuary-lindos-athena-sanctuary</x:v>
      </x:c>
      <x:c r="C42" s="14" t="str">
        <x:v>associated_with_settlement</x:v>
      </x:c>
      <x:c r="D42" s="14" t="str">
        <x:v>city-lindos</x:v>
      </x:c>
      <x:c r="E42" s="14"/>
      <x:c r="F42" s="16" t="str">
        <x:v>Λίνδος</x:v>
      </x:c>
      <x:c r="G42" s="16" t="str">
        <x:v>Lindos</x:v>
      </x:c>
      <x:c r="H42" s="14" t="str">
        <x:v>high</x:v>
      </x:c>
      <x:c r="I42" s="14" t="str">
        <x:v>src-pleiades-414067217</x:v>
      </x:c>
      <x:c r="J42" s="16" t="str">
        <x:v>Ρητή επιμελητική σύνδεση του ιερού της Αθηνάς Λινδίας με τη Λίνδο.</x:v>
      </x:c>
      <x:c r="K42" s="14" t="str">
        <x:v>reviewed</x:v>
      </x:c>
    </x:row>
    <x:row r="43" ht="52" customHeight="1">
      <x:c r="A43" s="14" t="str">
        <x:v>rel-1fbc4ff082bb</x:v>
      </x:c>
      <x:c r="B43" s="14" t="str">
        <x:v>kingdom-epirus-aeacid</x:v>
      </x:c>
      <x:c r="C43" s="14" t="str">
        <x:v>representative_center</x:v>
      </x:c>
      <x:c r="D43" s="14"/>
      <x:c r="E43" s="14" t="str">
        <x:v>settlement-dodone</x:v>
      </x:c>
      <x:c r="F43" s="16" t="str">
        <x:v>Δωδώνη</x:v>
      </x:c>
      <x:c r="G43" s="16" t="str">
        <x:v>Dodona</x:v>
      </x:c>
      <x:c r="H43" s="14" t="str">
        <x:v>high</x:v>
      </x:c>
      <x:c r="I43" s="14" t="str">
        <x:v>src-cambridge-96106a304cc6</x:v>
      </x:c>
      <x:c r="J43" s="16" t="str">
        <x:v>representative_center_el: Δωδώνη</x:v>
      </x:c>
      <x:c r="K43" s="14" t="str">
        <x:v>reviewed</x:v>
      </x:c>
    </x:row>
    <x:row r="44" ht="52" customHeight="1">
      <x:c r="A44" s="14" t="str">
        <x:v>rel-20e2c19b8bfa</x:v>
      </x:c>
      <x:c r="B44" s="14" t="str">
        <x:v>colony-amisus</x:v>
      </x:c>
      <x:c r="C44" s="14" t="str">
        <x:v>founded_from</x:v>
      </x:c>
      <x:c r="D44" s="14" t="str">
        <x:v>colony-miletus</x:v>
      </x:c>
      <x:c r="E44" s="14"/>
      <x:c r="F44" s="16" t="str">
        <x:v>Μίλητος</x:v>
      </x:c>
      <x:c r="G44" s="16" t="str">
        <x:v>Miletus</x:v>
      </x:c>
      <x:c r="H44" s="14" t="str">
        <x:v>medium</x:v>
      </x:c>
      <x:c r="I44" s="14" t="str">
        <x:v>src-pleiades-857024</x:v>
      </x:c>
      <x:c r="J44" s="16" t="str">
        <x:v>metropolis_el: Μίλητος</x:v>
      </x:c>
      <x:c r="K44" s="14" t="str">
        <x:v>reviewed</x:v>
      </x:c>
    </x:row>
    <x:row r="45" ht="52" customHeight="1">
      <x:c r="A45" s="14" t="str">
        <x:v>rel-218735b4d11c</x:v>
      </x:c>
      <x:c r="B45" s="14" t="str">
        <x:v>sanctuary-hierapolis-ploutonion</x:v>
      </x:c>
      <x:c r="C45" s="14" t="str">
        <x:v>cult_of</x:v>
      </x:c>
      <x:c r="D45" s="14"/>
      <x:c r="E45" s="14" t="str">
        <x:v>deity_or_cult-ployton-kai-kore</x:v>
      </x:c>
      <x:c r="F45" s="16" t="str">
        <x:v>Πλούτων και Κόρη</x:v>
      </x:c>
      <x:c r="G45" s="16" t="str">
        <x:v>Plouton and Kore</x:v>
      </x:c>
      <x:c r="H45" s="14" t="str">
        <x:v>medium</x:v>
      </x:c>
      <x:c r="I45" s="14" t="str">
        <x:v>src-pleiades-232079424</x:v>
      </x:c>
      <x:c r="J45" s="16" t="str">
        <x:v>deity_or_cult_el: Πλούτων και Κόρη</x:v>
      </x:c>
      <x:c r="K45" s="14" t="str">
        <x:v>reviewed</x:v>
      </x:c>
    </x:row>
    <x:row r="46" ht="52" customHeight="1">
      <x:c r="A46" s="14" t="str">
        <x:v>rel-21df7dff088c</x:v>
      </x:c>
      <x:c r="B46" s="14" t="str">
        <x:v>colony-corcyra</x:v>
      </x:c>
      <x:c r="C46" s="14" t="str">
        <x:v>founded_from</x:v>
      </x:c>
      <x:c r="D46" s="14" t="str">
        <x:v>city-corinth</x:v>
      </x:c>
      <x:c r="E46" s="14"/>
      <x:c r="F46" s="16" t="str">
        <x:v>Κόρινθος</x:v>
      </x:c>
      <x:c r="G46" s="16" t="str">
        <x:v>Corinth</x:v>
      </x:c>
      <x:c r="H46" s="14" t="str">
        <x:v>medium</x:v>
      </x:c>
      <x:c r="I46" s="14" t="str">
        <x:v>src-pleiades-530834</x:v>
      </x:c>
      <x:c r="J46" s="16" t="str">
        <x:v>metropolis_el: Κόρινθος</x:v>
      </x:c>
      <x:c r="K46" s="14" t="str">
        <x:v>reviewed</x:v>
      </x:c>
    </x:row>
    <x:row r="47" ht="52" customHeight="1">
      <x:c r="A47" s="14" t="str">
        <x:v>rel-21e7126b4806</x:v>
      </x:c>
      <x:c r="B47" s="14" t="str">
        <x:v>sanctuary-bassae-apollo-epikourios</x:v>
      </x:c>
      <x:c r="C47" s="14" t="str">
        <x:v>cult_of</x:v>
      </x:c>
      <x:c r="D47" s="14"/>
      <x:c r="E47" s="14" t="str">
        <x:v>deity_or_cult-apollon-epikoyrios</x:v>
      </x:c>
      <x:c r="F47" s="16" t="str">
        <x:v>Απόλλων Επικούριος</x:v>
      </x:c>
      <x:c r="G47" s="16" t="str">
        <x:v>Apollo Epicurius</x:v>
      </x:c>
      <x:c r="H47" s="14" t="str">
        <x:v>medium</x:v>
      </x:c>
      <x:c r="I47" s="14" t="str">
        <x:v>src-pleiades-570148</x:v>
      </x:c>
      <x:c r="J47" s="16" t="str">
        <x:v>deity_or_cult_el: Απόλλων Επικούριος</x:v>
      </x:c>
      <x:c r="K47" s="14" t="str">
        <x:v>reviewed</x:v>
      </x:c>
    </x:row>
    <x:row r="48" ht="52" customHeight="1">
      <x:c r="A48" s="14" t="str">
        <x:v>rel-22a9fe37e271</x:v>
      </x:c>
      <x:c r="B48" s="14" t="str">
        <x:v>kingdom-pylos-palatial</x:v>
      </x:c>
      <x:c r="C48" s="14" t="str">
        <x:v>preceded_by</x:v>
      </x:c>
      <x:c r="D48" s="14"/>
      <x:c r="E48" s="14" t="str">
        <x:v>polity-proimes-mykenaikes-koinotetes-tes-dytikes-messenias</x:v>
      </x:c>
      <x:c r="F48" s="16" t="str">
        <x:v>Πρώιμες μυκηναϊκές κοινότητες της δυτικής Μεσσηνίας</x:v>
      </x:c>
      <x:c r="G48" s="16" t="str">
        <x:v>Early Mycenaean communities of western Messinia</x:v>
      </x:c>
      <x:c r="H48" s="14" t="str">
        <x:v>medium</x:v>
      </x:c>
      <x:c r="I48" s="14" t="str">
        <x:v>src-odysseus-00e2d87ae4a8</x:v>
      </x:c>
      <x:c r="J48" s="16" t="str">
        <x:v>predecessor_el: Πρώιμες μυκηναϊκές κοινότητες της δυτικής Μεσσηνίας</x:v>
      </x:c>
      <x:c r="K48" s="14" t="str">
        <x:v>reviewed</x:v>
      </x:c>
    </x:row>
    <x:row r="49" ht="52" customHeight="1">
      <x:c r="A49" s="14" t="str">
        <x:v>rel-236bc9d43c4e</x:v>
      </x:c>
      <x:c r="B49" s="14" t="str">
        <x:v>kingdom-orchomenos-palatial</x:v>
      </x:c>
      <x:c r="C49" s="14" t="str">
        <x:v>ruled_by_dynasty</x:v>
      </x:c>
      <x:c r="D49" s="14"/>
      <x:c r="E49" s="14" t="str">
        <x:v>dynasty-agnoste-oi-minyes-anekoyn-kyrios-ste-mythike-paradose</x:v>
      </x:c>
      <x:c r="F49" s="16" t="str">
        <x:v>Άγνωστη· οι Μινύες ανήκουν κυρίως στη μυθική παράδοση</x:v>
      </x:c>
      <x:c r="G49" s="16" t="str">
        <x:v>Unknown; the Minyas belong mainly to the mythic tradition</x:v>
      </x:c>
      <x:c r="H49" s="14" t="str">
        <x:v>medium</x:v>
      </x:c>
      <x:c r="I49" s="14" t="str">
        <x:v>src-mthv-715d665b63b5</x:v>
      </x:c>
      <x:c r="J49" s="16" t="str">
        <x:v>dynasty_el: Άγνωστη· οι Μινύες ανήκουν κυρίως στη μυθική παράδοση</x:v>
      </x:c>
      <x:c r="K49" s="14" t="str">
        <x:v>reviewed</x:v>
      </x:c>
    </x:row>
    <x:row r="50" ht="52" customHeight="1">
      <x:c r="A50" s="14" t="str">
        <x:v>rel-243275dcc200</x:v>
      </x:c>
      <x:c r="B50" s="14" t="str">
        <x:v>kingdom-mycenae-palatial</x:v>
      </x:c>
      <x:c r="C50" s="14" t="str">
        <x:v>representative_center</x:v>
      </x:c>
      <x:c r="D50" s="14"/>
      <x:c r="E50" s="14" t="str">
        <x:v>settlement-mykenes</x:v>
      </x:c>
      <x:c r="F50" s="16" t="str">
        <x:v>Μυκήνες</x:v>
      </x:c>
      <x:c r="G50" s="16" t="str">
        <x:v>Mycenae</x:v>
      </x:c>
      <x:c r="H50" s="14" t="str">
        <x:v>high</x:v>
      </x:c>
      <x:c r="I50" s="14" t="str">
        <x:v>src-whc-6306f630553d</x:v>
      </x:c>
      <x:c r="J50" s="16" t="str">
        <x:v>representative_center_el: Μυκήνες</x:v>
      </x:c>
      <x:c r="K50" s="14" t="str">
        <x:v>reviewed</x:v>
      </x:c>
    </x:row>
    <x:row r="51" ht="52" customHeight="1">
      <x:c r="A51" s="14" t="str">
        <x:v>rel-274596958d0b</x:v>
      </x:c>
      <x:c r="B51" s="14" t="str">
        <x:v>sanctuary-rhodes-zeus-atabyrios-sanctuary</x:v>
      </x:c>
      <x:c r="C51" s="14" t="str">
        <x:v>cult_of</x:v>
      </x:c>
      <x:c r="D51" s="14"/>
      <x:c r="E51" s="14" t="str">
        <x:v>deity_or_cult-zeys-atabyrios</x:v>
      </x:c>
      <x:c r="F51" s="16" t="str">
        <x:v>Ζευς Αταβύριος</x:v>
      </x:c>
      <x:c r="G51" s="16" t="str">
        <x:v>Zeus Atabyrios</x:v>
      </x:c>
      <x:c r="H51" s="14" t="str">
        <x:v>medium</x:v>
      </x:c>
      <x:c r="I51" s="14" t="str">
        <x:v>src-pleiades-590099</x:v>
      </x:c>
      <x:c r="J51" s="16" t="str">
        <x:v>deity_or_cult_el: Ζευς Αταβύριος</x:v>
      </x:c>
      <x:c r="K51" s="14" t="str">
        <x:v>reviewed</x:v>
      </x:c>
    </x:row>
    <x:row r="52" ht="52" customHeight="1">
      <x:c r="A52" s="14" t="str">
        <x:v>rel-27b7262cd5e8</x:v>
      </x:c>
      <x:c r="B52" s="14" t="str">
        <x:v>sanctuary-palaepaphos-aphrodite-sanctuary</x:v>
      </x:c>
      <x:c r="C52" s="14" t="str">
        <x:v>cult_of</x:v>
      </x:c>
      <x:c r="D52" s="14"/>
      <x:c r="E52" s="14" t="str">
        <x:v>deity_or_cult-aphrodite-paphia</x:v>
      </x:c>
      <x:c r="F52" s="16" t="str">
        <x:v>Αφροδίτη Παφία</x:v>
      </x:c>
      <x:c r="G52" s="16" t="str">
        <x:v>Aphrodite Paphia</x:v>
      </x:c>
      <x:c r="H52" s="14" t="str">
        <x:v>medium</x:v>
      </x:c>
      <x:c r="I52" s="14" t="str">
        <x:v>src-pleiades-828989863</x:v>
      </x:c>
      <x:c r="J52" s="16" t="str">
        <x:v>deity_or_cult_el: Αφροδίτη Παφία</x:v>
      </x:c>
      <x:c r="K52" s="14" t="str">
        <x:v>reviewed</x:v>
      </x:c>
    </x:row>
    <x:row r="53" ht="52" customHeight="1">
      <x:c r="A53" s="14" t="str">
        <x:v>rel-285a72d0b590</x:v>
      </x:c>
      <x:c r="B53" s="14" t="str">
        <x:v>kingdom-ptolemaic-egypt</x:v>
      </x:c>
      <x:c r="C53" s="14" t="str">
        <x:v>preceded_by</x:v>
      </x:c>
      <x:c r="D53" s="14"/>
      <x:c r="E53" s="14" t="str">
        <x:v>polity-satrapeia-aigyptoy-tes-aytokratorias-toy-alexandroy</x:v>
      </x:c>
      <x:c r="F53" s="16" t="str">
        <x:v>Σατραπεία Αιγύπτου της αυτοκρατορίας του Αλεξάνδρου</x:v>
      </x:c>
      <x:c r="G53" s="16" t="str">
        <x:v>Egyptian satrapy of Alexander's empire</x:v>
      </x:c>
      <x:c r="H53" s="14" t="str">
        <x:v>medium</x:v>
      </x:c>
      <x:c r="I53" s="14" t="str">
        <x:v>src-metmuseum-9200258a95cb</x:v>
      </x:c>
      <x:c r="J53" s="16" t="str">
        <x:v>predecessor_el: Σατραπεία Αιγύπτου της αυτοκρατορίας του Αλεξάνδρου</x:v>
      </x:c>
      <x:c r="K53" s="14" t="str">
        <x:v>reviewed</x:v>
      </x:c>
    </x:row>
    <x:row r="54" ht="52" customHeight="1">
      <x:c r="A54" s="14" t="str">
        <x:v>rel-28d53fd5308e</x:v>
      </x:c>
      <x:c r="B54" s="14" t="str">
        <x:v>colony-byzantium</x:v>
      </x:c>
      <x:c r="C54" s="14" t="str">
        <x:v>founded_from</x:v>
      </x:c>
      <x:c r="D54" s="14" t="str">
        <x:v>city-megara</x:v>
      </x:c>
      <x:c r="E54" s="14"/>
      <x:c r="F54" s="16" t="str">
        <x:v>Μέγαρα</x:v>
      </x:c>
      <x:c r="G54" s="16" t="str">
        <x:v>Megara</x:v>
      </x:c>
      <x:c r="H54" s="14" t="str">
        <x:v>medium</x:v>
      </x:c>
      <x:c r="I54" s="14" t="str">
        <x:v>src-pleiades-520985</x:v>
      </x:c>
      <x:c r="J54" s="16" t="str">
        <x:v>metropolis_el: Μέγαρα</x:v>
      </x:c>
      <x:c r="K54" s="14" t="str">
        <x:v>reviewed</x:v>
      </x:c>
    </x:row>
    <x:row r="55" ht="52" customHeight="1">
      <x:c r="A55" s="14" t="str">
        <x:v>rel-296baa3bab8c</x:v>
      </x:c>
      <x:c r="B55" s="14" t="str">
        <x:v>kingdom-lysimachid</x:v>
      </x:c>
      <x:c r="C55" s="14" t="str">
        <x:v>ruled_by_dynasty</x:v>
      </x:c>
      <x:c r="D55" s="14"/>
      <x:c r="E55" s="14" t="str">
        <x:v>dynasty-lysimachides</x:v>
      </x:c>
      <x:c r="F55" s="16" t="str">
        <x:v>Λυσιμαχίδες</x:v>
      </x:c>
      <x:c r="G55" s="16" t="str">
        <x:v>Lysimachids</x:v>
      </x:c>
      <x:c r="H55" s="14" t="str">
        <x:v>medium</x:v>
      </x:c>
      <x:c r="I55" s="14" t="str">
        <x:v>src-pleiades-501458</x:v>
      </x:c>
      <x:c r="J55" s="16" t="str">
        <x:v>dynasty_el: Λυσιμαχίδες</x:v>
      </x:c>
      <x:c r="K55" s="14" t="str">
        <x:v>reviewed</x:v>
      </x:c>
    </x:row>
    <x:row r="56" ht="52" customHeight="1">
      <x:c r="A56" s="14" t="str">
        <x:v>rel-2c8ef8d9da86</x:v>
      </x:c>
      <x:c r="B56" s="14" t="str">
        <x:v>kingdom-cappadocia-ariarathid</x:v>
      </x:c>
      <x:c r="C56" s="14" t="str">
        <x:v>ruled_by_dynasty</x:v>
      </x:c>
      <x:c r="D56" s="14"/>
      <x:c r="E56" s="14" t="str">
        <x:v>dynasty-ariarathides</x:v>
      </x:c>
      <x:c r="F56" s="16" t="str">
        <x:v>Αριαραθίδες</x:v>
      </x:c>
      <x:c r="G56" s="16" t="str">
        <x:v>Ariarathids</x:v>
      </x:c>
      <x:c r="H56" s="14" t="str">
        <x:v>medium</x:v>
      </x:c>
      <x:c r="I56" s="14" t="str">
        <x:v>src-iranicaonline-0624b0b64cf3</x:v>
      </x:c>
      <x:c r="J56" s="16" t="str">
        <x:v>dynasty_el: Αριαραθίδες</x:v>
      </x:c>
      <x:c r="K56" s="14" t="str">
        <x:v>reviewed</x:v>
      </x:c>
    </x:row>
    <x:row r="57" ht="52" customHeight="1">
      <x:c r="A57" s="14" t="str">
        <x:v>rel-2cf124c88b18</x:v>
      </x:c>
      <x:c r="B57" s="14" t="str">
        <x:v>sanctuary-chersonesos-parthenos-sanctuary</x:v>
      </x:c>
      <x:c r="C57" s="14" t="str">
        <x:v>associated_with_settlement</x:v>
      </x:c>
      <x:c r="D57" s="14" t="str">
        <x:v>colony-chersonesus-taurica</x:v>
      </x:c>
      <x:c r="E57" s="14"/>
      <x:c r="F57" s="16" t="str">
        <x:v>Χερσόνησος Ταυρική</x:v>
      </x:c>
      <x:c r="G57" s="16" t="str">
        <x:v>Chersonesus Taurica</x:v>
      </x:c>
      <x:c r="H57" s="14" t="str">
        <x:v>high</x:v>
      </x:c>
      <x:c r="I57" s="14" t="str">
        <x:v>src-whc-329a28f5c851</x:v>
      </x:c>
      <x:c r="J57" s="16" t="str">
        <x:v>Ρητή επιμελητική σύνδεση του ιερού με την Ταυρική Χερσόνησο.</x:v>
      </x:c>
      <x:c r="K57" s="14" t="str">
        <x:v>reviewed</x:v>
      </x:c>
    </x:row>
    <x:row r="58" ht="52" customHeight="1">
      <x:c r="A58" s="14" t="str">
        <x:v>rel-2d26241359f0</x:v>
      </x:c>
      <x:c r="B58" s="14" t="str">
        <x:v>kingdom-commagene</x:v>
      </x:c>
      <x:c r="C58" s="14" t="str">
        <x:v>representative_center</x:v>
      </x:c>
      <x:c r="D58" s="14"/>
      <x:c r="E58" s="14" t="str">
        <x:v>settlement-samosata</x:v>
      </x:c>
      <x:c r="F58" s="16" t="str">
        <x:v>Σαμόσατα</x:v>
      </x:c>
      <x:c r="G58" s="16" t="str">
        <x:v>Samosata</x:v>
      </x:c>
      <x:c r="H58" s="14" t="str">
        <x:v>high</x:v>
      </x:c>
      <x:c r="I58" s="14" t="str">
        <x:v>src-whc-758c2c416617</x:v>
      </x:c>
      <x:c r="J58" s="16" t="str">
        <x:v>representative_center_el: Σαμόσατα</x:v>
      </x:c>
      <x:c r="K58" s="14" t="str">
        <x:v>reviewed</x:v>
      </x:c>
    </x:row>
    <x:row r="59" ht="52" customHeight="1">
      <x:c r="A59" s="14" t="str">
        <x:v>rel-2db42de70148</x:v>
      </x:c>
      <x:c r="B59" s="14" t="str">
        <x:v>sanctuary-akragas-concordia-temple-sanctuary</x:v>
      </x:c>
      <x:c r="C59" s="14" t="str">
        <x:v>cult_of</x:v>
      </x:c>
      <x:c r="D59" s="14"/>
      <x:c r="E59" s="14" t="str">
        <x:v>deity_or_cult-agnoste-archaia-aphierose</x:v>
      </x:c>
      <x:c r="F59" s="16" t="str">
        <x:v>Άγνωστη αρχαία αφιέρωση</x:v>
      </x:c>
      <x:c r="G59" s="16" t="str">
        <x:v>Unknown ancient dedication</x:v>
      </x:c>
      <x:c r="H59" s="14" t="str">
        <x:v>medium</x:v>
      </x:c>
      <x:c r="I59" s="14" t="str">
        <x:v>src-pleiades-943504072</x:v>
      </x:c>
      <x:c r="J59" s="16" t="str">
        <x:v>deity_or_cult_el: Άγνωστη αρχαία αφιέρωση</x:v>
      </x:c>
      <x:c r="K59" s="14" t="str">
        <x:v>reviewed</x:v>
      </x:c>
    </x:row>
    <x:row r="60" ht="52" customHeight="1">
      <x:c r="A60" s="14" t="str">
        <x:v>rel-2e02630eb1c2</x:v>
      </x:c>
      <x:c r="B60" s="14" t="str">
        <x:v>kingdom-indo-greek-late</x:v>
      </x:c>
      <x:c r="C60" s="14" t="str">
        <x:v>succeeded_by</x:v>
      </x:c>
      <x:c r="D60" s="14"/>
      <x:c r="E60" s="14" t="str">
        <x:v>polity-indoskythika-kai-indoparthika-basileia</x:v>
      </x:c>
      <x:c r="F60" s="16" t="str">
        <x:v>Ινδοσκυθικά και ινδοπαρθικά βασίλεια</x:v>
      </x:c>
      <x:c r="G60" s="16" t="str">
        <x:v>Indo-Scythian and Indo-Parthian kingdoms</x:v>
      </x:c>
      <x:c r="H60" s="14" t="str">
        <x:v>medium</x:v>
      </x:c>
      <x:c r="I60" s="14" t="str">
        <x:v>src-iranicaonline-612dff96c99c</x:v>
      </x:c>
      <x:c r="J60" s="16" t="str">
        <x:v>successor_el: Ινδοσκυθικά και ινδοπαρθικά βασίλεια</x:v>
      </x:c>
      <x:c r="K60" s="14" t="str">
        <x:v>reviewed</x:v>
      </x:c>
    </x:row>
    <x:row r="61" ht="52" customHeight="1">
      <x:c r="A61" s="14" t="str">
        <x:v>rel-2e9f610595d5</x:v>
      </x:c>
      <x:c r="B61" s="14" t="str">
        <x:v>kingdom-bithynia</x:v>
      </x:c>
      <x:c r="C61" s="14" t="str">
        <x:v>ruled_by_dynasty</x:v>
      </x:c>
      <x:c r="D61" s="14"/>
      <x:c r="E61" s="14" t="str">
        <x:v>dynasty-dynasteia-toy-zipoite-kai-ton-nikomedon</x:v>
      </x:c>
      <x:c r="F61" s="16" t="str">
        <x:v>Δυναστεία του Ζιποίτη και των Νικομηδών</x:v>
      </x:c>
      <x:c r="G61" s="16" t="str">
        <x:v>Dynasty of Zipoetes and the Nicomedes</x:v>
      </x:c>
      <x:c r="H61" s="14" t="str">
        <x:v>medium</x:v>
      </x:c>
      <x:c r="I61" s="14" t="str">
        <x:v>src-attalus-1b40f4436114</x:v>
      </x:c>
      <x:c r="J61" s="16" t="str">
        <x:v>dynasty_el: Δυναστεία του Ζιποίτη και των Νικομηδών</x:v>
      </x:c>
      <x:c r="K61" s="14" t="str">
        <x:v>reviewed</x:v>
      </x:c>
    </x:row>
    <x:row r="62" ht="52" customHeight="1">
      <x:c r="A62" s="14" t="str">
        <x:v>rel-2f08e052a65f</x:v>
      </x:c>
      <x:c r="B62" s="14" t="str">
        <x:v>colony-barca-cyrenaica</x:v>
      </x:c>
      <x:c r="C62" s="14" t="str">
        <x:v>founded_from</x:v>
      </x:c>
      <x:c r="D62" s="14" t="str">
        <x:v>colony-cyrene</x:v>
      </x:c>
      <x:c r="E62" s="14"/>
      <x:c r="F62" s="16" t="str">
        <x:v>Κυρήνη</x:v>
      </x:c>
      <x:c r="G62" s="16" t="str">
        <x:v>Cyrene</x:v>
      </x:c>
      <x:c r="H62" s="14" t="str">
        <x:v>medium</x:v>
      </x:c>
      <x:c r="I62" s="14" t="str">
        <x:v>src-pleiades-373750</x:v>
      </x:c>
      <x:c r="J62" s="16" t="str">
        <x:v>metropolis_el: Κυρήνη</x:v>
      </x:c>
      <x:c r="K62" s="14" t="str">
        <x:v>reviewed</x:v>
      </x:c>
    </x:row>
    <x:row r="63" ht="52" customHeight="1">
      <x:c r="A63" s="14" t="str">
        <x:v>rel-3000f9f3951c</x:v>
      </x:c>
      <x:c r="B63" s="14" t="str">
        <x:v>kingdom-cappadocia-ariarathid</x:v>
      </x:c>
      <x:c r="C63" s="14" t="str">
        <x:v>succeeded_by</x:v>
      </x:c>
      <x:c r="D63" s="14"/>
      <x:c r="E63" s="14" t="str">
        <x:v>polity-ystero-pelateiako-basileio-tes-kappadokias</x:v>
      </x:c>
      <x:c r="F63" s="16" t="str">
        <x:v>Ύστερο πελατειακό βασίλειο της Καππαδοκίας</x:v>
      </x:c>
      <x:c r="G63" s="16" t="str">
        <x:v>Late Client Kingdom of Cappadocia</x:v>
      </x:c>
      <x:c r="H63" s="14" t="str">
        <x:v>medium</x:v>
      </x:c>
      <x:c r="I63" s="14" t="str">
        <x:v>src-iranicaonline-0624b0b64cf3</x:v>
      </x:c>
      <x:c r="J63" s="16" t="str">
        <x:v>successor_el: Ύστερο πελατειακό βασίλειο της Καππαδοκίας</x:v>
      </x:c>
      <x:c r="K63" s="14" t="str">
        <x:v>reviewed</x:v>
      </x:c>
    </x:row>
    <x:row r="64" ht="52" customHeight="1">
      <x:c r="A64" s="14" t="str">
        <x:v>rel-3036314c2390</x:v>
      </x:c>
      <x:c r="B64" s="14" t="str">
        <x:v>kingdom-thebes-palatial</x:v>
      </x:c>
      <x:c r="C64" s="14" t="str">
        <x:v>ruled_by_dynasty</x:v>
      </x:c>
      <x:c r="D64" s="14"/>
      <x:c r="E64" s="14" t="str">
        <x:v>dynasty-agnoste-oi-labdakides-anekoyn-ste-mythike-paradose</x:v>
      </x:c>
      <x:c r="F64" s="16" t="str">
        <x:v>Άγνωστη· οι Λαβδακίδες ανήκουν στη μυθική παράδοση</x:v>
      </x:c>
      <x:c r="G64" s="16" t="str">
        <x:v>Unknown; the Labdacids belong to mythic tradition</x:v>
      </x:c>
      <x:c r="H64" s="14" t="str">
        <x:v>medium</x:v>
      </x:c>
      <x:c r="I64" s="14" t="str">
        <x:v>src-mthv-715d665b63b5</x:v>
      </x:c>
      <x:c r="J64" s="16" t="str">
        <x:v>dynasty_el: Άγνωστη· οι Λαβδακίδες ανήκουν στη μυθική παράδοση</x:v>
      </x:c>
      <x:c r="K64" s="14" t="str">
        <x:v>reviewed</x:v>
      </x:c>
    </x:row>
    <x:row r="65" ht="52" customHeight="1">
      <x:c r="A65" s="14" t="str">
        <x:v>rel-31d8dcfa97be</x:v>
      </x:c>
      <x:c r="B65" s="14" t="str">
        <x:v>kingdom-cappadocia-ariarathid</x:v>
      </x:c>
      <x:c r="C65" s="14" t="str">
        <x:v>representative_center</x:v>
      </x:c>
      <x:c r="D65" s="14"/>
      <x:c r="E65" s="14" t="str">
        <x:v>settlement-mazaka</x:v>
      </x:c>
      <x:c r="F65" s="16" t="str">
        <x:v>Μάζακα</x:v>
      </x:c>
      <x:c r="G65" s="16" t="str">
        <x:v>Mazaca</x:v>
      </x:c>
      <x:c r="H65" s="14" t="str">
        <x:v>high</x:v>
      </x:c>
      <x:c r="I65" s="14" t="str">
        <x:v>src-iranicaonline-0624b0b64cf3</x:v>
      </x:c>
      <x:c r="J65" s="16" t="str">
        <x:v>representative_center_el: Μάζακα</x:v>
      </x:c>
      <x:c r="K65" s="14" t="str">
        <x:v>reviewed</x:v>
      </x:c>
    </x:row>
    <x:row r="66" ht="52" customHeight="1">
      <x:c r="A66" s="14" t="str">
        <x:v>rel-320a5ccad39d</x:v>
      </x:c>
      <x:c r="B66" s="14" t="str">
        <x:v>colony-clazomenae</x:v>
      </x:c>
      <x:c r="C66" s="14" t="str">
        <x:v>founded_from</x:v>
      </x:c>
      <x:c r="D66" s="14"/>
      <x:c r="E66" s="14" t="str">
        <x:v>settlement-athena-ionike-paradose</x:v>
      </x:c>
      <x:c r="F66" s="16" t="str">
        <x:v>Αθήνα (ιωνική παράδοση)</x:v>
      </x:c>
      <x:c r="G66" s="16" t="str">
        <x:v>Athens (Ionic tradition)</x:v>
      </x:c>
      <x:c r="H66" s="14" t="str">
        <x:v>medium</x:v>
      </x:c>
      <x:c r="I66" s="14" t="str">
        <x:v>src-pleiades-550651</x:v>
      </x:c>
      <x:c r="J66" s="16" t="str">
        <x:v>metropolis_el: Αθήνα (ιωνική παράδοση)</x:v>
      </x:c>
      <x:c r="K66" s="14" t="str">
        <x:v>reviewed</x:v>
      </x:c>
    </x:row>
    <x:row r="67" ht="52" customHeight="1">
      <x:c r="A67" s="14" t="str">
        <x:v>rel-33ef4c50383d</x:v>
      </x:c>
      <x:c r="B67" s="14" t="str">
        <x:v>sanctuary-menelaion-sparta</x:v>
      </x:c>
      <x:c r="C67" s="14" t="str">
        <x:v>cult_of</x:v>
      </x:c>
      <x:c r="D67" s="14"/>
      <x:c r="E67" s="14" t="str">
        <x:v>deity_or_cult-elene-kai-menelaos</x:v>
      </x:c>
      <x:c r="F67" s="16" t="str">
        <x:v>Ελένη και Μενέλαος</x:v>
      </x:c>
      <x:c r="G67" s="16" t="str">
        <x:v>Helen and Menelaus</x:v>
      </x:c>
      <x:c r="H67" s="14" t="str">
        <x:v>medium</x:v>
      </x:c>
      <x:c r="I67" s="14" t="str">
        <x:v>src-pleiades-570477</x:v>
      </x:c>
      <x:c r="J67" s="16" t="str">
        <x:v>deity_or_cult_el: Ελένη και Μενέλαος</x:v>
      </x:c>
      <x:c r="K67" s="14" t="str">
        <x:v>reviewed</x:v>
      </x:c>
    </x:row>
    <x:row r="68" ht="52" customHeight="1">
      <x:c r="A68" s="14" t="str">
        <x:v>rel-34668547652b</x:v>
      </x:c>
      <x:c r="B68" s="14" t="str">
        <x:v>kingdom-macedon-antigonid</x:v>
      </x:c>
      <x:c r="C68" s="14" t="str">
        <x:v>representative_center</x:v>
      </x:c>
      <x:c r="D68" s="14" t="str">
        <x:v>city-pella</x:v>
      </x:c>
      <x:c r="E68" s="14"/>
      <x:c r="F68" s="16" t="str">
        <x:v>Πέλλα</x:v>
      </x:c>
      <x:c r="G68" s="16" t="str">
        <x:v>Pella</x:v>
      </x:c>
      <x:c r="H68" s="14" t="str">
        <x:v>high</x:v>
      </x:c>
      <x:c r="I68" s="14" t="str">
        <x:v>src-metmuseum-50fe20dc493f</x:v>
      </x:c>
      <x:c r="J68" s="16" t="str">
        <x:v>representative_center_el: Πέλλα</x:v>
      </x:c>
      <x:c r="K68" s="14" t="str">
        <x:v>reviewed</x:v>
      </x:c>
    </x:row>
    <x:row r="69" ht="52" customHeight="1">
      <x:c r="A69" s="14" t="str">
        <x:v>rel-34d296e3bd3e</x:v>
      </x:c>
      <x:c r="B69" s="14" t="str">
        <x:v>kingdom-macedon-antigonid</x:v>
      </x:c>
      <x:c r="C69" s="14" t="str">
        <x:v>succeeded_by</x:v>
      </x:c>
      <x:c r="D69" s="14"/>
      <x:c r="E69" s="14" t="str">
        <x:v>polity-romaikes-merides-tes-makedonias-kai-katopin-eparchia</x:v>
      </x:c>
      <x:c r="F69" s="16" t="str">
        <x:v>Ρωμαϊκές μερίδες της Μακεδονίας και κατόπιν επαρχία</x:v>
      </x:c>
      <x:c r="G69" s="16" t="str">
        <x:v>Roman districts of Macedonia and later the Roman province</x:v>
      </x:c>
      <x:c r="H69" s="14" t="str">
        <x:v>medium</x:v>
      </x:c>
      <x:c r="I69" s="14" t="str">
        <x:v>src-metmuseum-50fe20dc493f</x:v>
      </x:c>
      <x:c r="J69" s="16" t="str">
        <x:v>successor_el: Ρωμαϊκές μερίδες της Μακεδονίας και κατόπιν επαρχία</x:v>
      </x:c>
      <x:c r="K69" s="14" t="str">
        <x:v>reviewed</x:v>
      </x:c>
    </x:row>
    <x:row r="70" ht="52" customHeight="1">
      <x:c r="A70" s="14" t="str">
        <x:v>rel-353cbeda2417</x:v>
      </x:c>
      <x:c r="B70" s="14" t="str">
        <x:v>kingdom-pylos-palatial</x:v>
      </x:c>
      <x:c r="C70" s="14" t="str">
        <x:v>ruled_by_dynasty</x:v>
      </x:c>
      <x:c r="D70" s="14"/>
      <x:c r="E70" s="14" t="str">
        <x:v>dynasty-agnoste-oi-neleides-anekoyn-ste-mythike-paradose</x:v>
      </x:c>
      <x:c r="F70" s="16" t="str">
        <x:v>Άγνωστη· οι Νηλείδες ανήκουν στη μυθική παράδοση</x:v>
      </x:c>
      <x:c r="G70" s="16" t="str">
        <x:v>Unknown; the Neleids belong to mythic tradition</x:v>
      </x:c>
      <x:c r="H70" s="14" t="str">
        <x:v>medium</x:v>
      </x:c>
      <x:c r="I70" s="14" t="str">
        <x:v>src-odysseus-00e2d87ae4a8</x:v>
      </x:c>
      <x:c r="J70" s="16" t="str">
        <x:v>dynasty_el: Άγνωστη· οι Νηλείδες ανήκουν στη μυθική παράδοση</x:v>
      </x:c>
      <x:c r="K70" s="14" t="str">
        <x:v>reviewed</x:v>
      </x:c>
    </x:row>
    <x:row r="71" ht="52" customHeight="1">
      <x:c r="A71" s="14" t="str">
        <x:v>rel-36725706b7a9</x:v>
      </x:c>
      <x:c r="B71" s="14" t="str">
        <x:v>colony-cyme-aeolis</x:v>
      </x:c>
      <x:c r="C71" s="14" t="str">
        <x:v>founded_from</x:v>
      </x:c>
      <x:c r="D71" s="14"/>
      <x:c r="E71" s="14" t="str">
        <x:v>settlement-lokrida-kai-thessalia-aiolike-paradose</x:v>
      </x:c>
      <x:c r="F71" s="16" t="str">
        <x:v>Λοκρίδα και Θεσσαλία (αιολική παράδοση)</x:v>
      </x:c>
      <x:c r="G71" s="16" t="str">
        <x:v>Locris and Thessaly (Aeolian tradition)</x:v>
      </x:c>
      <x:c r="H71" s="14" t="str">
        <x:v>medium</x:v>
      </x:c>
      <x:c r="I71" s="14" t="str">
        <x:v>src-pleiades-550506</x:v>
      </x:c>
      <x:c r="J71" s="16" t="str">
        <x:v>metropolis_el: Λοκρίδα και Θεσσαλία (αιολική παράδοση)</x:v>
      </x:c>
      <x:c r="K71" s="14" t="str">
        <x:v>reviewed</x:v>
      </x:c>
    </x:row>
    <x:row r="72" ht="52" customHeight="1">
      <x:c r="A72" s="14" t="str">
        <x:v>rel-379310fc62aa</x:v>
      </x:c>
      <x:c r="B72" s="14" t="str">
        <x:v>kingdom-indo-greek-late</x:v>
      </x:c>
      <x:c r="C72" s="14" t="str">
        <x:v>preceded_by</x:v>
      </x:c>
      <x:c r="D72" s="14"/>
      <x:c r="E72" s="14" t="str">
        <x:v>polity-indoelleniko-basileio-toy-menandroy-kai-sygchrones-dynasteies</x:v>
      </x:c>
      <x:c r="F72" s="16" t="str">
        <x:v>Ινδοελληνικό βασίλειο του Μενάνδρου και σύγχρονες δυναστείες</x:v>
      </x:c>
      <x:c r="G72" s="16" t="str">
        <x:v>Indo-Greek kingdom of Menander and contemporaneous dynasties</x:v>
      </x:c>
      <x:c r="H72" s="14" t="str">
        <x:v>medium</x:v>
      </x:c>
      <x:c r="I72" s="14" t="str">
        <x:v>src-iranicaonline-612dff96c99c</x:v>
      </x:c>
      <x:c r="J72" s="16" t="str">
        <x:v>predecessor_el: Ινδοελληνικό βασίλειο του Μενάνδρου και σύγχρονες δυναστείες</x:v>
      </x:c>
      <x:c r="K72" s="14" t="str">
        <x:v>reviewed</x:v>
      </x:c>
    </x:row>
    <x:row r="73" ht="52" customHeight="1">
      <x:c r="A73" s="14" t="str">
        <x:v>rel-391e097c25a1</x:v>
      </x:c>
      <x:c r="B73" s="14" t="str">
        <x:v>sanctuary-perachora-heraion</x:v>
      </x:c>
      <x:c r="C73" s="14" t="str">
        <x:v>cult_of</x:v>
      </x:c>
      <x:c r="D73" s="14"/>
      <x:c r="E73" s="14" t="str">
        <x:v>deity_or_cult-era-akraia-kai-era-limenia</x:v>
      </x:c>
      <x:c r="F73" s="16" t="str">
        <x:v>Ήρα Ακραία και Ήρα Λιμενία</x:v>
      </x:c>
      <x:c r="G73" s="16" t="str">
        <x:v>Hera Akraia and Hera Limenia</x:v>
      </x:c>
      <x:c r="H73" s="14" t="str">
        <x:v>medium</x:v>
      </x:c>
      <x:c r="I73" s="14" t="str">
        <x:v>src-pleiades-570288</x:v>
      </x:c>
      <x:c r="J73" s="16" t="str">
        <x:v>deity_or_cult_el: Ήρα Ακραία και Ήρα Λιμενία</x:v>
      </x:c>
      <x:c r="K73" s="14" t="str">
        <x:v>reviewed</x:v>
      </x:c>
    </x:row>
    <x:row r="74" ht="52" customHeight="1">
      <x:c r="A74" s="14" t="str">
        <x:v>rel-39a8b2d8cd52</x:v>
      </x:c>
      <x:c r="B74" s="14" t="str">
        <x:v>sanctuary-kalapodi-artemis-apollo-sanctuary</x:v>
      </x:c>
      <x:c r="C74" s="14" t="str">
        <x:v>cult_of</x:v>
      </x:c>
      <x:c r="D74" s="14"/>
      <x:c r="E74" s="14" t="str">
        <x:v>deity_or_cult-artemis-elaphebolos-kai-apollon-abaios</x:v>
      </x:c>
      <x:c r="F74" s="16" t="str">
        <x:v>Άρτεμις Ελαφηβόλος και Απόλλων Αβαίος</x:v>
      </x:c>
      <x:c r="G74" s="16" t="str">
        <x:v>Artemis Elaphebolos and Apollo Abaios</x:v>
      </x:c>
      <x:c r="H74" s="14" t="str">
        <x:v>medium</x:v>
      </x:c>
      <x:c r="I74" s="14" t="str">
        <x:v>src-pleiades-955675680</x:v>
      </x:c>
      <x:c r="J74" s="16" t="str">
        <x:v>deity_or_cult_el: Άρτεμις Ελαφηβόλος και Απόλλων Αβαίος</x:v>
      </x:c>
      <x:c r="K74" s="14" t="str">
        <x:v>reviewed</x:v>
      </x:c>
    </x:row>
    <x:row r="75" ht="52" customHeight="1">
      <x:c r="A75" s="14" t="str">
        <x:v>rel-3a2e1882cc52</x:v>
      </x:c>
      <x:c r="B75" s="14" t="str">
        <x:v>sanctuary-kos-asklepieion</x:v>
      </x:c>
      <x:c r="C75" s="14" t="str">
        <x:v>associated_with_settlement</x:v>
      </x:c>
      <x:c r="D75" s="14" t="str">
        <x:v>city-kos-city</x:v>
      </x:c>
      <x:c r="E75" s="14"/>
      <x:c r="F75" s="16" t="str">
        <x:v>Κως</x:v>
      </x:c>
      <x:c r="G75" s="16" t="str">
        <x:v>Kos</x:v>
      </x:c>
      <x:c r="H75" s="14" t="str">
        <x:v>high</x:v>
      </x:c>
      <x:c r="I75" s="14" t="str">
        <x:v>src-pleiades-599528</x:v>
      </x:c>
      <x:c r="J75" s="16" t="str">
        <x:v>Ρητή επιμελητική σύνδεση του Ασκληπιείου με την Κω.</x:v>
      </x:c>
      <x:c r="K75" s="14" t="str">
        <x:v>reviewed</x:v>
      </x:c>
    </x:row>
    <x:row r="76" ht="52" customHeight="1">
      <x:c r="A76" s="14" t="str">
        <x:v>rel-3a7838686227</x:v>
      </x:c>
      <x:c r="B76" s="14" t="str">
        <x:v>sanctuary-akragas-concordia-temple-sanctuary</x:v>
      </x:c>
      <x:c r="C76" s="14" t="str">
        <x:v>associated_with_settlement</x:v>
      </x:c>
      <x:c r="D76" s="14" t="str">
        <x:v>colony-akragas</x:v>
      </x:c>
      <x:c r="E76" s="14"/>
      <x:c r="F76" s="16" t="str">
        <x:v>Ακράγαντας</x:v>
      </x:c>
      <x:c r="G76" s="16" t="str">
        <x:v>Akragas</x:v>
      </x:c>
      <x:c r="H76" s="14" t="str">
        <x:v>high</x:v>
      </x:c>
      <x:c r="I76" s="14" t="str">
        <x:v>src-pleiades-943504072</x:v>
      </x:c>
      <x:c r="J76" s="16" t="str">
        <x:v>Ρητή επιμελητική σύνδεση του ναού με τον Ακράγαντα.</x:v>
      </x:c>
      <x:c r="K76" s="14" t="str">
        <x:v>reviewed</x:v>
      </x:c>
    </x:row>
    <x:row r="77" ht="52" customHeight="1">
      <x:c r="A77" s="14" t="str">
        <x:v>rel-3b1e872830bf</x:v>
      </x:c>
      <x:c r="B77" s="14" t="str">
        <x:v>kingdom-greco-bactrian-diodotid</x:v>
      </x:c>
      <x:c r="C77" s="14" t="str">
        <x:v>succeeded_by</x:v>
      </x:c>
      <x:c r="D77" s="14"/>
      <x:c r="E77" s="14" t="str">
        <x:v>polity-ellenobaktriano-basileio-ton-eythydemidon</x:v>
      </x:c>
      <x:c r="F77" s="16" t="str">
        <x:v>Ελληνοβακτριανό Βασίλειο των Ευθυδημιδών</x:v>
      </x:c>
      <x:c r="G77" s="16" t="str">
        <x:v>Greco-Bactrian Kingdom of the Euthydemides</x:v>
      </x:c>
      <x:c r="H77" s="14" t="str">
        <x:v>medium</x:v>
      </x:c>
      <x:c r="I77" s="14" t="str">
        <x:v>src-metmuseum-50fe20dc493f</x:v>
      </x:c>
      <x:c r="J77" s="16" t="str">
        <x:v>successor_el: Ελληνοβακτριανό Βασίλειο των Ευθυδημιδών</x:v>
      </x:c>
      <x:c r="K77" s="14" t="str">
        <x:v>reviewed</x:v>
      </x:c>
    </x:row>
    <x:row r="78" ht="52" customHeight="1">
      <x:c r="A78" s="14" t="str">
        <x:v>rel-3c2d1504e7cf</x:v>
      </x:c>
      <x:c r="B78" s="14" t="str">
        <x:v>sanctuary-priene-athena-polias-sanctuary</x:v>
      </x:c>
      <x:c r="C78" s="14" t="str">
        <x:v>associated_with_settlement</x:v>
      </x:c>
      <x:c r="D78" s="14" t="str">
        <x:v>colony-priene</x:v>
      </x:c>
      <x:c r="E78" s="14"/>
      <x:c r="F78" s="16" t="str">
        <x:v>Πριήνη</x:v>
      </x:c>
      <x:c r="G78" s="16" t="str">
        <x:v>Priene</x:v>
      </x:c>
      <x:c r="H78" s="14" t="str">
        <x:v>high</x:v>
      </x:c>
      <x:c r="I78" s="14" t="str">
        <x:v>src-pleiades-298577312</x:v>
      </x:c>
      <x:c r="J78" s="16" t="str">
        <x:v>Ρητή επιμελητική σύνδεση του ιερού με την Πριήνη.</x:v>
      </x:c>
      <x:c r="K78" s="14" t="str">
        <x:v>reviewed</x:v>
      </x:c>
    </x:row>
    <x:row r="79" ht="52" customHeight="1">
      <x:c r="A79" s="14" t="str">
        <x:v>rel-3dcb89a8e837</x:v>
      </x:c>
      <x:c r="B79" s="14" t="str">
        <x:v>kingdom-thebes-palatial</x:v>
      </x:c>
      <x:c r="C79" s="14" t="str">
        <x:v>representative_center</x:v>
      </x:c>
      <x:c r="D79" s="14"/>
      <x:c r="E79" s="14" t="str">
        <x:v>settlement-kadmeia-theba</x:v>
      </x:c>
      <x:c r="F79" s="16" t="str">
        <x:v>Καδμεία, Θήβα</x:v>
      </x:c>
      <x:c r="G79" s="16" t="str">
        <x:v>Cadmeia, Thebes</x:v>
      </x:c>
      <x:c r="H79" s="14" t="str">
        <x:v>high</x:v>
      </x:c>
      <x:c r="I79" s="14" t="str">
        <x:v>src-mthv-715d665b63b5</x:v>
      </x:c>
      <x:c r="J79" s="16" t="str">
        <x:v>representative_center_el: Καδμεία, Θήβα</x:v>
      </x:c>
      <x:c r="K79" s="14" t="str">
        <x:v>reviewed</x:v>
      </x:c>
    </x:row>
    <x:row r="80" ht="52" customHeight="1">
      <x:c r="A80" s="14" t="str">
        <x:v>rel-3e40df4192c7</x:v>
      </x:c>
      <x:c r="B80" s="14" t="str">
        <x:v>colony-locri-epizephyrii</x:v>
      </x:c>
      <x:c r="C80" s="14" t="str">
        <x:v>founded_from</x:v>
      </x:c>
      <x:c r="D80" s="14"/>
      <x:c r="E80" s="14" t="str">
        <x:v>settlement-lokrida</x:v>
      </x:c>
      <x:c r="F80" s="16" t="str">
        <x:v>Λοκρίδα</x:v>
      </x:c>
      <x:c r="G80" s="16" t="str">
        <x:v>Locride</x:v>
      </x:c>
      <x:c r="H80" s="14" t="str">
        <x:v>medium</x:v>
      </x:c>
      <x:c r="I80" s="14" t="str">
        <x:v>src-pleiades-452369</x:v>
      </x:c>
      <x:c r="J80" s="16" t="str">
        <x:v>metropolis_el: Λοκρίδα</x:v>
      </x:c>
      <x:c r="K80" s="14" t="str">
        <x:v>reviewed</x:v>
      </x:c>
    </x:row>
    <x:row r="81" ht="52" customHeight="1">
      <x:c r="A81" s="14" t="str">
        <x:v>rel-3f4a773cb69a</x:v>
      </x:c>
      <x:c r="B81" s="14" t="str">
        <x:v>sanctuary-delos-apollo-sanctuary</x:v>
      </x:c>
      <x:c r="C81" s="14" t="str">
        <x:v>cult_of</x:v>
      </x:c>
      <x:c r="D81" s="14"/>
      <x:c r="E81" s="14" t="str">
        <x:v>deity_or_cult-apollon-artemis-kai-leto</x:v>
      </x:c>
      <x:c r="F81" s="16" t="str">
        <x:v>Απόλλων, Άρτεμις και Λητώ</x:v>
      </x:c>
      <x:c r="G81" s="16" t="str">
        <x:v>Apollo, Artemis and Leto</x:v>
      </x:c>
      <x:c r="H81" s="14" t="str">
        <x:v>medium</x:v>
      </x:c>
      <x:c r="I81" s="14" t="str">
        <x:v>src-pleiades-599506</x:v>
      </x:c>
      <x:c r="J81" s="16" t="str">
        <x:v>deity_or_cult_el: Απόλλων, Άρτεμις και Λητώ</x:v>
      </x:c>
      <x:c r="K81" s="14" t="str">
        <x:v>reviewed</x:v>
      </x:c>
    </x:row>
    <x:row r="82" ht="52" customHeight="1">
      <x:c r="A82" s="14" t="str">
        <x:v>rel-3ff81a9a0c53</x:v>
      </x:c>
      <x:c r="B82" s="14" t="str">
        <x:v>sanctuary-aegina-aphaia-sanctuary</x:v>
      </x:c>
      <x:c r="C82" s="14" t="str">
        <x:v>associated_with_settlement</x:v>
      </x:c>
      <x:c r="D82" s="14" t="str">
        <x:v>city-aegina-city</x:v>
      </x:c>
      <x:c r="E82" s="14"/>
      <x:c r="F82" s="16" t="str">
        <x:v>Αίγινα</x:v>
      </x:c>
      <x:c r="G82" s="16" t="str">
        <x:v>Aegina</x:v>
      </x:c>
      <x:c r="H82" s="14" t="str">
        <x:v>high</x:v>
      </x:c>
      <x:c r="I82" s="14" t="str">
        <x:v>src-pleiades-579872</x:v>
      </x:c>
      <x:c r="J82" s="16" t="str">
        <x:v>Ρητή επιμελητική σύνδεση του ιερού με την Αίγινα.</x:v>
      </x:c>
      <x:c r="K82" s="14" t="str">
        <x:v>reviewed</x:v>
      </x:c>
    </x:row>
    <x:row r="83" ht="52" customHeight="1">
      <x:c r="A83" s="14" t="str">
        <x:v>rel-40ba0a20500f</x:v>
      </x:c>
      <x:c r="B83" s="14" t="str">
        <x:v>kingdom-indo-greek-early</x:v>
      </x:c>
      <x:c r="C83" s="14" t="str">
        <x:v>representative_center</x:v>
      </x:c>
      <x:c r="D83" s="14"/>
      <x:c r="E83" s="14" t="str">
        <x:v>settlement-taxila</x:v>
      </x:c>
      <x:c r="F83" s="16" t="str">
        <x:v>Τάξιλα</x:v>
      </x:c>
      <x:c r="G83" s="16" t="str">
        <x:v>Taxila</x:v>
      </x:c>
      <x:c r="H83" s="14" t="str">
        <x:v>high</x:v>
      </x:c>
      <x:c r="I83" s="14" t="str">
        <x:v>src-iranicaonline-612dff96c99c</x:v>
      </x:c>
      <x:c r="J83" s="16" t="str">
        <x:v>representative_center_el: Τάξιλα</x:v>
      </x:c>
      <x:c r="K83" s="14" t="str">
        <x:v>reviewed</x:v>
      </x:c>
    </x:row>
    <x:row r="84" ht="52" customHeight="1">
      <x:c r="A84" s="14" t="str">
        <x:v>rel-4134d28b7dc5</x:v>
      </x:c>
      <x:c r="B84" s="14" t="str">
        <x:v>kingdom-bosporus-archaeanactid</x:v>
      </x:c>
      <x:c r="C84" s="14" t="str">
        <x:v>succeeded_by</x:v>
      </x:c>
      <x:c r="D84" s="14"/>
      <x:c r="E84" s="14" t="str">
        <x:v>polity-basileio-toy-kimmerioy-bosporoy-ton-spartokidon</x:v>
      </x:c>
      <x:c r="F84" s="16" t="str">
        <x:v>Βασίλειο του Κιμμερίου Βοσπόρου των Σπαρτοκιδών</x:v>
      </x:c>
      <x:c r="G84" s="16" t="str">
        <x:v>Kingdom of the Cimmerian Bosphorus of the Spartakids</x:v>
      </x:c>
      <x:c r="H84" s="14" t="str">
        <x:v>medium</x:v>
      </x:c>
      <x:c r="I84" s="14" t="str">
        <x:v>src-iranicaonline-4a607235e191</x:v>
      </x:c>
      <x:c r="J84" s="16" t="str">
        <x:v>successor_el: Βασίλειο του Κιμμερίου Βοσπόρου των Σπαρτοκιδών</x:v>
      </x:c>
      <x:c r="K84" s="14" t="str">
        <x:v>reviewed</x:v>
      </x:c>
    </x:row>
    <x:row r="85" ht="52" customHeight="1">
      <x:c r="A85" s="14" t="str">
        <x:v>rel-4254f3956c09</x:v>
      </x:c>
      <x:c r="B85" s="14" t="str">
        <x:v>colony-tragurion</x:v>
      </x:c>
      <x:c r="C85" s="14" t="str">
        <x:v>founded_from</x:v>
      </x:c>
      <x:c r="D85" s="14" t="str">
        <x:v>colony-issa-vis</x:v>
      </x:c>
      <x:c r="E85" s="14"/>
      <x:c r="F85" s="16" t="str">
        <x:v>Ίσσα</x:v>
      </x:c>
      <x:c r="G85" s="16" t="str">
        <x:v>Issa</x:v>
      </x:c>
      <x:c r="H85" s="14" t="str">
        <x:v>medium</x:v>
      </x:c>
      <x:c r="I85" s="14" t="str">
        <x:v>src-pleiades-197555</x:v>
      </x:c>
      <x:c r="J85" s="16" t="str">
        <x:v>metropolis_el: Ίσσα</x:v>
      </x:c>
      <x:c r="K85" s="14" t="str">
        <x:v>reviewed</x:v>
      </x:c>
    </x:row>
    <x:row r="86" ht="52" customHeight="1">
      <x:c r="A86" s="14" t="str">
        <x:v>rel-42b707ddf85b</x:v>
      </x:c>
      <x:c r="B86" s="14" t="str">
        <x:v>kingdom-bosporus-archaeanactid</x:v>
      </x:c>
      <x:c r="C86" s="14" t="str">
        <x:v>preceded_by</x:v>
      </x:c>
      <x:c r="D86" s="14"/>
      <x:c r="E86" s="14" t="str">
        <x:v>polity-symmachia-ellenikon-poleon-stis-dyo-pleyres-toy-stenoy</x:v>
      </x:c>
      <x:c r="F86" s="16" t="str">
        <x:v>Συμμαχία ελληνικών πόλεων στις δύο πλευρές του στενού</x:v>
      </x:c>
      <x:c r="G86" s="16" t="str">
        <x:v>Alliance of Greek cities on both sides of the strait</x:v>
      </x:c>
      <x:c r="H86" s="14" t="str">
        <x:v>medium</x:v>
      </x:c>
      <x:c r="I86" s="14" t="str">
        <x:v>src-iranicaonline-4a607235e191</x:v>
      </x:c>
      <x:c r="J86" s="16" t="str">
        <x:v>predecessor_el: Συμμαχία ελληνικών πόλεων στις δύο πλευρές του στενού</x:v>
      </x:c>
      <x:c r="K86" s="14" t="str">
        <x:v>reviewed</x:v>
      </x:c>
    </x:row>
    <x:row r="87" ht="52" customHeight="1">
      <x:c r="A87" s="14" t="str">
        <x:v>rel-432103b8cebc</x:v>
      </x:c>
      <x:c r="B87" s="14" t="str">
        <x:v>colony-naucratis</x:v>
      </x:c>
      <x:c r="C87" s="14" t="str">
        <x:v>founded_from</x:v>
      </x:c>
      <x:c r="D87" s="14"/>
      <x:c r="E87" s="14" t="str">
        <x:v>settlement-miletos-kai-alles-ellenikes-poleis</x:v>
      </x:c>
      <x:c r="F87" s="16" t="str">
        <x:v>Μίλητος και άλλες ελληνικές πόλεις</x:v>
      </x:c>
      <x:c r="G87" s="16" t="str">
        <x:v>Miletus and other Greek cities</x:v>
      </x:c>
      <x:c r="H87" s="14" t="str">
        <x:v>medium</x:v>
      </x:c>
      <x:c r="I87" s="14" t="str">
        <x:v>src-pleiades-727169</x:v>
      </x:c>
      <x:c r="J87" s="16" t="str">
        <x:v>metropolis_el: Μίλητος και άλλες ελληνικές πόλεις</x:v>
      </x:c>
      <x:c r="K87" s="14" t="str">
        <x:v>reviewed</x:v>
      </x:c>
    </x:row>
    <x:row r="88" ht="52" customHeight="1">
      <x:c r="A88" s="14" t="str">
        <x:v>rel-43ae4e370511</x:v>
      </x:c>
      <x:c r="B88" s="14" t="str">
        <x:v>kingdom-knossos-mycenaean</x:v>
      </x:c>
      <x:c r="C88" s="14" t="str">
        <x:v>preceded_by</x:v>
      </x:c>
      <x:c r="D88" s="14"/>
      <x:c r="E88" s="14" t="str">
        <x:v>polity-neoanaktoriko-minoiko-kratos-tes-knosoy</x:v>
      </x:c>
      <x:c r="F88" s="16" t="str">
        <x:v>Νεοανακτορικό μινωικό κράτος της Κνωσού</x:v>
      </x:c>
      <x:c r="G88" s="16" t="str">
        <x:v>Neopalatial Minoan state of Knossos</x:v>
      </x:c>
      <x:c r="H88" s="14" t="str">
        <x:v>medium</x:v>
      </x:c>
      <x:c r="I88" s="14" t="str">
        <x:v>src-odysseus-9e3ae0cba911</x:v>
      </x:c>
      <x:c r="J88" s="16" t="str">
        <x:v>predecessor_el: Νεοανακτορικό μινωικό κράτος της Κνωσού</x:v>
      </x:c>
      <x:c r="K88" s="14" t="str">
        <x:v>reviewed</x:v>
      </x:c>
    </x:row>
    <x:row r="89" ht="52" customHeight="1">
      <x:c r="A89" s="14" t="str">
        <x:v>rel-43b78c85da03</x:v>
      </x:c>
      <x:c r="B89" s="14" t="str">
        <x:v>kingdom-bosporus-spartocid</x:v>
      </x:c>
      <x:c r="C89" s="14" t="str">
        <x:v>representative_center</x:v>
      </x:c>
      <x:c r="D89" s="14"/>
      <x:c r="E89" s="14" t="str">
        <x:v>settlement-pantikapaion-kerts</x:v>
      </x:c>
      <x:c r="F89" s="16" t="str">
        <x:v>Παντικάπαιον, Κερτς</x:v>
      </x:c>
      <x:c r="G89" s="16" t="str">
        <x:v>Pantikapaion, Kerch</x:v>
      </x:c>
      <x:c r="H89" s="14" t="str">
        <x:v>high</x:v>
      </x:c>
      <x:c r="I89" s="14" t="str">
        <x:v>src-encyclopediaofukraine-237e86aa1350</x:v>
      </x:c>
      <x:c r="J89" s="16" t="str">
        <x:v>representative_center_el: Παντικάπαιον, Κερτς</x:v>
      </x:c>
      <x:c r="K89" s="14" t="str">
        <x:v>reviewed</x:v>
      </x:c>
    </x:row>
    <x:row r="90" ht="52" customHeight="1">
      <x:c r="A90" s="14" t="str">
        <x:v>rel-447cc0e11f12</x:v>
      </x:c>
      <x:c r="B90" s="14" t="str">
        <x:v>sanctuary-sounion-poseidon-sanctuary</x:v>
      </x:c>
      <x:c r="C90" s="14" t="str">
        <x:v>cult_of</x:v>
      </x:c>
      <x:c r="D90" s="14"/>
      <x:c r="E90" s="14" t="str">
        <x:v>deity_or_cult-poseidon-soynios</x:v>
      </x:c>
      <x:c r="F90" s="16" t="str">
        <x:v>Ποσειδών Σούνιος</x:v>
      </x:c>
      <x:c r="G90" s="16" t="str">
        <x:v>Poseidon Sounios</x:v>
      </x:c>
      <x:c r="H90" s="14" t="str">
        <x:v>medium</x:v>
      </x:c>
      <x:c r="I90" s="14" t="str">
        <x:v>src-pleiades-580086</x:v>
      </x:c>
      <x:c r="J90" s="16" t="str">
        <x:v>deity_or_cult_el: Ποσειδών Σούνιος</x:v>
      </x:c>
      <x:c r="K90" s="14" t="str">
        <x:v>reviewed</x:v>
      </x:c>
    </x:row>
    <x:row r="91" ht="52" customHeight="1">
      <x:c r="A91" s="14" t="str">
        <x:v>rel-46c1f9a8a190</x:v>
      </x:c>
      <x:c r="B91" s="14" t="str">
        <x:v>sanctuary-magnesia-artemis-leukophryene</x:v>
      </x:c>
      <x:c r="C91" s="14" t="str">
        <x:v>associated_with_settlement</x:v>
      </x:c>
      <x:c r="D91" s="14" t="str">
        <x:v>colony-magnesia-maeander</x:v>
      </x:c>
      <x:c r="E91" s="14"/>
      <x:c r="F91" s="16" t="str">
        <x:v>Μαγνησία του Μαιάνδρου</x:v>
      </x:c>
      <x:c r="G91" s="16" t="str">
        <x:v>Magnesia on the Maeander</x:v>
      </x:c>
      <x:c r="H91" s="14" t="str">
        <x:v>high</x:v>
      </x:c>
      <x:c r="I91" s="14" t="str">
        <x:v>src-pleiades-599778</x:v>
      </x:c>
      <x:c r="J91" s="16" t="str">
        <x:v>Ρητή επιμελητική σύνδεση του ιερού με τη Μαγνησία στον Μαίανδρο.</x:v>
      </x:c>
      <x:c r="K91" s="14" t="str">
        <x:v>reviewed</x:v>
      </x:c>
    </x:row>
    <x:row r="92" ht="52" customHeight="1">
      <x:c r="A92" s="14" t="str">
        <x:v>rel-46d4ea944798</x:v>
      </x:c>
      <x:c r="B92" s="14" t="str">
        <x:v>colony-magnesia-maeander</x:v>
      </x:c>
      <x:c r="C92" s="14" t="str">
        <x:v>founded_from</x:v>
      </x:c>
      <x:c r="D92" s="14"/>
      <x:c r="E92" s="14" t="str">
        <x:v>settlement-magnesia-thessalias</x:v>
      </x:c>
      <x:c r="F92" s="16" t="str">
        <x:v>Μαγνησία Θεσσαλίας</x:v>
      </x:c>
      <x:c r="G92" s="16" t="str">
        <x:v>Magnesia in Thessaly</x:v>
      </x:c>
      <x:c r="H92" s="14" t="str">
        <x:v>medium</x:v>
      </x:c>
      <x:c r="I92" s="14" t="str">
        <x:v>src-pleiades-599778</x:v>
      </x:c>
      <x:c r="J92" s="16" t="str">
        <x:v>metropolis_el: Μαγνησία Θεσσαλίας</x:v>
      </x:c>
      <x:c r="K92" s="14" t="str">
        <x:v>reviewed</x:v>
      </x:c>
    </x:row>
    <x:row r="93" ht="52" customHeight="1">
      <x:c r="A93" s="14" t="str">
        <x:v>rel-46da5d70e807</x:v>
      </x:c>
      <x:c r="B93" s="14" t="str">
        <x:v>sanctuary-athens-acropolis-sacred-center</x:v>
      </x:c>
      <x:c r="C93" s="14" t="str">
        <x:v>cult_of</x:v>
      </x:c>
      <x:c r="D93" s="14"/>
      <x:c r="E93" s="14" t="str">
        <x:v>deity_or_cult-athena-polias-athena-parthenos-kai-erechtheas</x:v>
      </x:c>
      <x:c r="F93" s="16" t="str">
        <x:v>Αθηνά Πολιάς, Αθηνά Παρθένος και Ερεχθέας</x:v>
      </x:c>
      <x:c r="G93" s="16" t="str">
        <x:v>Athena Polias, Athena Parthenos and Erechtheus</x:v>
      </x:c>
      <x:c r="H93" s="14" t="str">
        <x:v>medium</x:v>
      </x:c>
      <x:c r="I93" s="14" t="str">
        <x:v>src-pleiades-638356144</x:v>
      </x:c>
      <x:c r="J93" s="16" t="str">
        <x:v>deity_or_cult_el: Αθηνά Πολιάς, Αθηνά Παρθένος και Ερεχθέας</x:v>
      </x:c>
      <x:c r="K93" s="14" t="str">
        <x:v>reviewed</x:v>
      </x:c>
    </x:row>
    <x:row r="94" ht="52" customHeight="1">
      <x:c r="A94" s="14" t="str">
        <x:v>rel-46e184b4d147</x:v>
      </x:c>
      <x:c r="B94" s="14" t="str">
        <x:v>colony-naxos-sicily</x:v>
      </x:c>
      <x:c r="C94" s="14" t="str">
        <x:v>founded_from</x:v>
      </x:c>
      <x:c r="D94" s="14" t="str">
        <x:v>city-chalcis-euboea</x:v>
      </x:c>
      <x:c r="E94" s="14"/>
      <x:c r="F94" s="16" t="str">
        <x:v>Χαλκίδα</x:v>
      </x:c>
      <x:c r="G94" s="16" t="str">
        <x:v>Chalcis</x:v>
      </x:c>
      <x:c r="H94" s="14" t="str">
        <x:v>medium</x:v>
      </x:c>
      <x:c r="I94" s="14" t="str">
        <x:v>src-pleiades-462386</x:v>
      </x:c>
      <x:c r="J94" s="16" t="str">
        <x:v>metropolis_el: Χαλκίδα</x:v>
      </x:c>
      <x:c r="K94" s="14" t="str">
        <x:v>reviewed</x:v>
      </x:c>
    </x:row>
    <x:row r="95" ht="52" customHeight="1">
      <x:c r="A95" s="14" t="str">
        <x:v>rel-47832a23e784</x:v>
      </x:c>
      <x:c r="B95" s="14" t="str">
        <x:v>colony-abydos</x:v>
      </x:c>
      <x:c r="C95" s="14" t="str">
        <x:v>founded_from</x:v>
      </x:c>
      <x:c r="D95" s="14" t="str">
        <x:v>colony-miletus</x:v>
      </x:c>
      <x:c r="E95" s="14"/>
      <x:c r="F95" s="16" t="str">
        <x:v>Μίλητος</x:v>
      </x:c>
      <x:c r="G95" s="16" t="str">
        <x:v>Miletus</x:v>
      </x:c>
      <x:c r="H95" s="14" t="str">
        <x:v>medium</x:v>
      </x:c>
      <x:c r="I95" s="14" t="str">
        <x:v>src-pleiades-501325</x:v>
      </x:c>
      <x:c r="J95" s="16" t="str">
        <x:v>metropolis_el: Μίλητος</x:v>
      </x:c>
      <x:c r="K95" s="14" t="str">
        <x:v>reviewed</x:v>
      </x:c>
    </x:row>
    <x:row r="96" ht="52" customHeight="1">
      <x:c r="A96" s="14" t="str">
        <x:v>rel-47cc6c0175de</x:v>
      </x:c>
      <x:c r="B96" s="14" t="str">
        <x:v>kingdom-pylos-palatial</x:v>
      </x:c>
      <x:c r="C96" s="14" t="str">
        <x:v>representative_center</x:v>
      </x:c>
      <x:c r="D96" s="14"/>
      <x:c r="E96" s="14" t="str">
        <x:v>settlement-anaktoro-toy-nestora-ano-egklianos</x:v>
      </x:c>
      <x:c r="F96" s="16" t="str">
        <x:v>Ανάκτορο του Νέστορα, Άνω Εγκλιανός</x:v>
      </x:c>
      <x:c r="G96" s="16" t="str">
        <x:v>Palace of Nestor, Ano Eglianos</x:v>
      </x:c>
      <x:c r="H96" s="14" t="str">
        <x:v>high</x:v>
      </x:c>
      <x:c r="I96" s="14" t="str">
        <x:v>src-odysseus-00e2d87ae4a8</x:v>
      </x:c>
      <x:c r="J96" s="16" t="str">
        <x:v>representative_center_el: Ανάκτορο του Νέστορα, Άνω Εγκλιανός</x:v>
      </x:c>
      <x:c r="K96" s="14" t="str">
        <x:v>reviewed</x:v>
      </x:c>
    </x:row>
    <x:row r="97" ht="52" customHeight="1">
      <x:c r="A97" s="14" t="str">
        <x:v>rel-483b80872666</x:v>
      </x:c>
      <x:c r="B97" s="14" t="str">
        <x:v>colony-lampsacus</x:v>
      </x:c>
      <x:c r="C97" s="14" t="str">
        <x:v>founded_from</x:v>
      </x:c>
      <x:c r="D97" s="14" t="str">
        <x:v>colony-phocaea</x:v>
      </x:c>
      <x:c r="E97" s="14"/>
      <x:c r="F97" s="16" t="str">
        <x:v>Φώκαια</x:v>
      </x:c>
      <x:c r="G97" s="16" t="str">
        <x:v>Phocaea</x:v>
      </x:c>
      <x:c r="H97" s="14" t="str">
        <x:v>medium</x:v>
      </x:c>
      <x:c r="I97" s="14" t="str">
        <x:v>src-pleiades-501570</x:v>
      </x:c>
      <x:c r="J97" s="16" t="str">
        <x:v>metropolis_el: Φώκαια</x:v>
      </x:c>
      <x:c r="K97" s="14" t="str">
        <x:v>reviewed</x:v>
      </x:c>
    </x:row>
    <x:row r="98" ht="52" customHeight="1">
      <x:c r="A98" s="14" t="str">
        <x:v>rel-4860ad143937</x:v>
      </x:c>
      <x:c r="B98" s="14" t="str">
        <x:v>colony-epidamnos</x:v>
      </x:c>
      <x:c r="C98" s="14" t="str">
        <x:v>founded_from</x:v>
      </x:c>
      <x:c r="D98" s="14"/>
      <x:c r="E98" s="14" t="str">
        <x:v>settlement-kerkyra-kai-korinthos</x:v>
      </x:c>
      <x:c r="F98" s="16" t="str">
        <x:v>Κέρκυρα και Κόρινθος</x:v>
      </x:c>
      <x:c r="G98" s="16" t="str">
        <x:v>Corfu and Corinth</x:v>
      </x:c>
      <x:c r="H98" s="14" t="str">
        <x:v>medium</x:v>
      </x:c>
      <x:c r="I98" s="14" t="str">
        <x:v>src-pleiades-481818</x:v>
      </x:c>
      <x:c r="J98" s="16" t="str">
        <x:v>metropolis_el: Κέρκυρα και Κόρινθος</x:v>
      </x:c>
      <x:c r="K98" s="14" t="str">
        <x:v>reviewed</x:v>
      </x:c>
    </x:row>
    <x:row r="99" ht="52" customHeight="1">
      <x:c r="A99" s="14" t="str">
        <x:v>rel-4a40eac0cc5b</x:v>
      </x:c>
      <x:c r="B99" s="14" t="str">
        <x:v>kingdom-bosporus-spartocid</x:v>
      </x:c>
      <x:c r="C99" s="14" t="str">
        <x:v>preceded_by</x:v>
      </x:c>
      <x:c r="D99" s="14"/>
      <x:c r="E99" s="14" t="str">
        <x:v>polity-basileio-toy-kimmerioy-bosporoy-ton-archaianaktidon</x:v>
      </x:c>
      <x:c r="F99" s="16" t="str">
        <x:v>Βασίλειο του Κιμμερίου Βοσπόρου των Αρχαιανακτιδών</x:v>
      </x:c>
      <x:c r="G99" s="16" t="str">
        <x:v>Kingdom of the Cimmerian Bosphorus of the Archeanaktids</x:v>
      </x:c>
      <x:c r="H99" s="14" t="str">
        <x:v>medium</x:v>
      </x:c>
      <x:c r="I99" s="14" t="str">
        <x:v>src-encyclopediaofukraine-237e86aa1350</x:v>
      </x:c>
      <x:c r="J99" s="16" t="str">
        <x:v>predecessor_el: Βασίλειο του Κιμμερίου Βοσπόρου των Αρχαιανακτιδών</x:v>
      </x:c>
      <x:c r="K99" s="14" t="str">
        <x:v>reviewed</x:v>
      </x:c>
    </x:row>
    <x:row r="100" ht="52" customHeight="1">
      <x:c r="A100" s="14" t="str">
        <x:v>rel-4a587aa681b9</x:v>
      </x:c>
      <x:c r="B100" s="14" t="str">
        <x:v>kingdom-indo-greek-early</x:v>
      </x:c>
      <x:c r="C100" s="14" t="str">
        <x:v>succeeded_by</x:v>
      </x:c>
      <x:c r="D100" s="14"/>
      <x:c r="E100" s="14" t="str">
        <x:v>polity-indoelleniko-basileio-toy-menandroy-kai-antipales-grammes</x:v>
      </x:c>
      <x:c r="F100" s="16" t="str">
        <x:v>Ινδοελληνικό βασίλειο του Μενάνδρου και αντίπαλες γραμμές</x:v>
      </x:c>
      <x:c r="G100" s="16" t="str">
        <x:v>Menander's Indo-Hellenic Kingdom and Rival Lines</x:v>
      </x:c>
      <x:c r="H100" s="14" t="str">
        <x:v>medium</x:v>
      </x:c>
      <x:c r="I100" s="14" t="str">
        <x:v>src-iranicaonline-612dff96c99c</x:v>
      </x:c>
      <x:c r="J100" s="16" t="str">
        <x:v>successor_el: Ινδοελληνικό βασίλειο του Μενάνδρου και αντίπαλες γραμμές</x:v>
      </x:c>
      <x:c r="K100" s="14" t="str">
        <x:v>reviewed</x:v>
      </x:c>
    </x:row>
    <x:row r="101" ht="52" customHeight="1">
      <x:c r="A101" s="14" t="str">
        <x:v>rel-4ab40646f82a</x:v>
      </x:c>
      <x:c r="B101" s="14" t="str">
        <x:v>sanctuary-apollonia-pontica-apollo-ietros-sanctuary</x:v>
      </x:c>
      <x:c r="C101" s="14" t="str">
        <x:v>cult_of</x:v>
      </x:c>
      <x:c r="D101" s="14"/>
      <x:c r="E101" s="14" t="str">
        <x:v>deity_or_cult-apollon-ietros</x:v>
      </x:c>
      <x:c r="F101" s="16" t="str">
        <x:v>Απόλλων Ιητρός</x:v>
      </x:c>
      <x:c r="G101" s="16" t="str">
        <x:v>Apollo Iatros</x:v>
      </x:c>
      <x:c r="H101" s="14" t="str">
        <x:v>medium</x:v>
      </x:c>
      <x:c r="I101" s="14" t="str">
        <x:v>src-pleiades-216706</x:v>
      </x:c>
      <x:c r="J101" s="16" t="str">
        <x:v>deity_or_cult_el: Απόλλων Ιητρός</x:v>
      </x:c>
      <x:c r="K101" s="14" t="str">
        <x:v>reviewed</x:v>
      </x:c>
    </x:row>
    <x:row r="102" ht="52" customHeight="1">
      <x:c r="A102" s="14" t="str">
        <x:v>rel-4b31c8f09696</x:v>
      </x:c>
      <x:c r="B102" s="14" t="str">
        <x:v>kingdom-syracuse-hieron-ii</x:v>
      </x:c>
      <x:c r="C102" s="14" t="str">
        <x:v>ruled_by_dynasty</x:v>
      </x:c>
      <x:c r="D102" s="14"/>
      <x:c r="E102" s="14" t="str">
        <x:v>dynasty-ieron-b-kai-ieronides</x:v>
      </x:c>
      <x:c r="F102" s="16" t="str">
        <x:v>Ιέρων Β΄ και Ιερωνίδες</x:v>
      </x:c>
      <x:c r="G102" s="16" t="str">
        <x:v>Hieron II and the Hieronids</x:v>
      </x:c>
      <x:c r="H102" s="14" t="str">
        <x:v>medium</x:v>
      </x:c>
      <x:c r="I102" s="14" t="str">
        <x:v>src-britishmuseum-d101eb623c92</x:v>
      </x:c>
      <x:c r="J102" s="16" t="str">
        <x:v>dynasty_el: Ιέρων Β΄ και Ιερωνίδες</x:v>
      </x:c>
      <x:c r="K102" s="14" t="str">
        <x:v>reviewed</x:v>
      </x:c>
    </x:row>
    <x:row r="103" ht="52" customHeight="1">
      <x:c r="A103" s="14" t="str">
        <x:v>rel-4b59e25e223d</x:v>
      </x:c>
      <x:c r="B103" s="14" t="str">
        <x:v>sanctuary-samothrace-great-gods-sanctuary</x:v>
      </x:c>
      <x:c r="C103" s="14" t="str">
        <x:v>cult_of</x:v>
      </x:c>
      <x:c r="D103" s="14"/>
      <x:c r="E103" s="14" t="str">
        <x:v>deity_or_cult-megaloi-theoi-kabeiroi</x:v>
      </x:c>
      <x:c r="F103" s="16" t="str">
        <x:v>Μεγάλοι Θεοί/Κάβειροι</x:v>
      </x:c>
      <x:c r="G103" s="16" t="str">
        <x:v>Great Gods/Kabeiroi</x:v>
      </x:c>
      <x:c r="H103" s="14" t="str">
        <x:v>medium</x:v>
      </x:c>
      <x:c r="I103" s="14" t="str">
        <x:v>src-pleiades-501511</x:v>
      </x:c>
      <x:c r="J103" s="16" t="str">
        <x:v>deity_or_cult_el: Μεγάλοι Θεοί/Κάβειροι</x:v>
      </x:c>
      <x:c r="K103" s="14" t="str">
        <x:v>reviewed</x:v>
      </x:c>
    </x:row>
    <x:row r="104" ht="52" customHeight="1">
      <x:c r="A104" s="14" t="str">
        <x:v>rel-4c69be7af02a</x:v>
      </x:c>
      <x:c r="B104" s="14" t="str">
        <x:v>sanctuary-selinous-demeter-malophoros-sanctuary</x:v>
      </x:c>
      <x:c r="C104" s="14" t="str">
        <x:v>cult_of</x:v>
      </x:c>
      <x:c r="D104" s="14"/>
      <x:c r="E104" s="14" t="str">
        <x:v>deity_or_cult-demetra-malophoros</x:v>
      </x:c>
      <x:c r="F104" s="16" t="str">
        <x:v>Δήμητρα Μαλοφόρος</x:v>
      </x:c>
      <x:c r="G104" s="16" t="str">
        <x:v>Demeter Malophoros</x:v>
      </x:c>
      <x:c r="H104" s="14" t="str">
        <x:v>medium</x:v>
      </x:c>
      <x:c r="I104" s="14" t="str">
        <x:v>src-pleiades-502577471</x:v>
      </x:c>
      <x:c r="J104" s="16" t="str">
        <x:v>deity_or_cult_el: Δήμητρα Μαλοφόρος</x:v>
      </x:c>
      <x:c r="K104" s="14" t="str">
        <x:v>reviewed</x:v>
      </x:c>
    </x:row>
    <x:row r="105" ht="52" customHeight="1">
      <x:c r="A105" s="14" t="str">
        <x:v>rel-4e1dbab6054e</x:v>
      </x:c>
      <x:c r="B105" s="14" t="str">
        <x:v>sanctuary-samos-heraion</x:v>
      </x:c>
      <x:c r="C105" s="14" t="str">
        <x:v>associated_with_settlement</x:v>
      </x:c>
      <x:c r="D105" s="14" t="str">
        <x:v>city-samos-city</x:v>
      </x:c>
      <x:c r="E105" s="14"/>
      <x:c r="F105" s="16" t="str">
        <x:v>Σάμος</x:v>
      </x:c>
      <x:c r="G105" s="16" t="str">
        <x:v>Samos</x:v>
      </x:c>
      <x:c r="H105" s="14" t="str">
        <x:v>high</x:v>
      </x:c>
      <x:c r="I105" s="14" t="str">
        <x:v>src-pleiades-599641</x:v>
      </x:c>
      <x:c r="J105" s="16" t="str">
        <x:v>Ρητή επιμελητική σύνδεση του Ηραίου με τη Σάμο.</x:v>
      </x:c>
      <x:c r="K105" s="14" t="str">
        <x:v>reviewed</x:v>
      </x:c>
    </x:row>
    <x:row r="106" ht="52" customHeight="1">
      <x:c r="A106" s="14" t="str">
        <x:v>rel-4fa4954d9ab1</x:v>
      </x:c>
      <x:c r="B106" s="14" t="str">
        <x:v>sanctuary-croton-hera-lacinia-sanctuary</x:v>
      </x:c>
      <x:c r="C106" s="14" t="str">
        <x:v>associated_with_settlement</x:v>
      </x:c>
      <x:c r="D106" s="14" t="str">
        <x:v>colony-croton</x:v>
      </x:c>
      <x:c r="E106" s="14"/>
      <x:c r="F106" s="16" t="str">
        <x:v>Κρότων</x:v>
      </x:c>
      <x:c r="G106" s="16" t="str">
        <x:v>Croton</x:v>
      </x:c>
      <x:c r="H106" s="14" t="str">
        <x:v>high</x:v>
      </x:c>
      <x:c r="I106" s="14" t="str">
        <x:v>src-pleiades-452332</x:v>
      </x:c>
      <x:c r="J106" s="16" t="str">
        <x:v>Ρητή επιμελητική σύνδεση του ιερού της Ήρας Λακινίας με τον Κρότωνα.</x:v>
      </x:c>
      <x:c r="K106" s="14" t="str">
        <x:v>reviewed</x:v>
      </x:c>
    </x:row>
    <x:row r="107" ht="52" customHeight="1">
      <x:c r="A107" s="14" t="str">
        <x:v>rel-50693103bfc0</x:v>
      </x:c>
      <x:c r="B107" s="14" t="str">
        <x:v>kingdom-macedon-argead</x:v>
      </x:c>
      <x:c r="C107" s="14" t="str">
        <x:v>ruled_by_dynasty</x:v>
      </x:c>
      <x:c r="D107" s="14"/>
      <x:c r="E107" s="14" t="str">
        <x:v>dynasty-argeades-temenides</x:v>
      </x:c>
      <x:c r="F107" s="16" t="str">
        <x:v>Αργεάδες / Τημενίδες</x:v>
      </x:c>
      <x:c r="G107" s="16" t="str">
        <x:v>Argeads / Temenids</x:v>
      </x:c>
      <x:c r="H107" s="14" t="str">
        <x:v>medium</x:v>
      </x:c>
      <x:c r="I107" s="14" t="str">
        <x:v>src-whc-fd006971700c</x:v>
      </x:c>
      <x:c r="J107" s="16" t="str">
        <x:v>dynasty_el: Αργεάδες / Τημενίδες</x:v>
      </x:c>
      <x:c r="K107" s="14" t="str">
        <x:v>reviewed</x:v>
      </x:c>
    </x:row>
    <x:row r="108" ht="52" customHeight="1">
      <x:c r="A108" s="14" t="str">
        <x:v>rel-51caaa22908e</x:v>
      </x:c>
      <x:c r="B108" s="14" t="str">
        <x:v>colony-halicarnassus</x:v>
      </x:c>
      <x:c r="C108" s="14" t="str">
        <x:v>founded_from</x:v>
      </x:c>
      <x:c r="D108" s="14"/>
      <x:c r="E108" s="14" t="str">
        <x:v>settlement-troizena</x:v>
      </x:c>
      <x:c r="F108" s="16" t="str">
        <x:v>Τροιζήνα</x:v>
      </x:c>
      <x:c r="G108" s="16" t="str">
        <x:v>Troezen</x:v>
      </x:c>
      <x:c r="H108" s="14" t="str">
        <x:v>medium</x:v>
      </x:c>
      <x:c r="I108" s="14" t="str">
        <x:v>src-pleiades-599636</x:v>
      </x:c>
      <x:c r="J108" s="16" t="str">
        <x:v>metropolis_el: Τροιζήνα</x:v>
      </x:c>
      <x:c r="K108" s="14" t="str">
        <x:v>reviewed</x:v>
      </x:c>
    </x:row>
    <x:row r="109" ht="52" customHeight="1">
      <x:c r="A109" s="14" t="str">
        <x:v>rel-51d0d7ca6e0b</x:v>
      </x:c>
      <x:c r="B109" s="14" t="str">
        <x:v>kingdom-bosporus-archaeanactid</x:v>
      </x:c>
      <x:c r="C109" s="14" t="str">
        <x:v>representative_center</x:v>
      </x:c>
      <x:c r="D109" s="14"/>
      <x:c r="E109" s="14" t="str">
        <x:v>settlement-pantikapaion-kerts</x:v>
      </x:c>
      <x:c r="F109" s="16" t="str">
        <x:v>Παντικάπαιον, Κερτς</x:v>
      </x:c>
      <x:c r="G109" s="16" t="str">
        <x:v>Pantikapaion, Kerch</x:v>
      </x:c>
      <x:c r="H109" s="14" t="str">
        <x:v>high</x:v>
      </x:c>
      <x:c r="I109" s="14" t="str">
        <x:v>src-iranicaonline-4a607235e191</x:v>
      </x:c>
      <x:c r="J109" s="16" t="str">
        <x:v>representative_center_el: Παντικάπαιον, Κερτς</x:v>
      </x:c>
      <x:c r="K109" s="14" t="str">
        <x:v>reviewed</x:v>
      </x:c>
    </x:row>
    <x:row r="110" ht="52" customHeight="1">
      <x:c r="A110" s="14" t="str">
        <x:v>rel-51fe21cc2b88</x:v>
      </x:c>
      <x:c r="B110" s="14" t="str">
        <x:v>sanctuary-hyria-dionysos-sanctuary</x:v>
      </x:c>
      <x:c r="C110" s="14" t="str">
        <x:v>cult_of</x:v>
      </x:c>
      <x:c r="D110" s="14"/>
      <x:c r="E110" s="14" t="str">
        <x:v>deity_or_cult-dionysos</x:v>
      </x:c>
      <x:c r="F110" s="16" t="str">
        <x:v>Διόνυσος</x:v>
      </x:c>
      <x:c r="G110" s="16" t="str">
        <x:v>Dionysus</x:v>
      </x:c>
      <x:c r="H110" s="14" t="str">
        <x:v>medium</x:v>
      </x:c>
      <x:c r="I110" s="14" t="str">
        <x:v>src-pleiades-599661</x:v>
      </x:c>
      <x:c r="J110" s="16" t="str">
        <x:v>deity_or_cult_el: Διόνυσος</x:v>
      </x:c>
      <x:c r="K110" s="14" t="str">
        <x:v>reviewed</x:v>
      </x:c>
    </x:row>
    <x:row r="111" ht="52" customHeight="1">
      <x:c r="A111" s="14" t="str">
        <x:v>rel-525af1252c97</x:v>
      </x:c>
      <x:c r="B111" s="14" t="str">
        <x:v>colony-apollonia-pontica</x:v>
      </x:c>
      <x:c r="C111" s="14" t="str">
        <x:v>founded_from</x:v>
      </x:c>
      <x:c r="D111" s="14" t="str">
        <x:v>colony-miletus</x:v>
      </x:c>
      <x:c r="E111" s="14"/>
      <x:c r="F111" s="16" t="str">
        <x:v>Μίλητος</x:v>
      </x:c>
      <x:c r="G111" s="16" t="str">
        <x:v>Miletus</x:v>
      </x:c>
      <x:c r="H111" s="14" t="str">
        <x:v>medium</x:v>
      </x:c>
      <x:c r="I111" s="14" t="str">
        <x:v>src-pleiades-216706</x:v>
      </x:c>
      <x:c r="J111" s="16" t="str">
        <x:v>metropolis_el: Μίλητος</x:v>
      </x:c>
      <x:c r="K111" s="14" t="str">
        <x:v>reviewed</x:v>
      </x:c>
    </x:row>
    <x:row r="112" ht="52" customHeight="1">
      <x:c r="A112" s="14" t="str">
        <x:v>rel-526a5d6e2337</x:v>
      </x:c>
      <x:c r="B112" s="14" t="str">
        <x:v>colony-assos</x:v>
      </x:c>
      <x:c r="C112" s="14" t="str">
        <x:v>founded_from</x:v>
      </x:c>
      <x:c r="D112" s="14"/>
      <x:c r="E112" s="14" t="str">
        <x:v>settlement-methymna</x:v>
      </x:c>
      <x:c r="F112" s="16" t="str">
        <x:v>Μήθυμνα</x:v>
      </x:c>
      <x:c r="G112" s="16" t="str">
        <x:v>Methymna</x:v>
      </x:c>
      <x:c r="H112" s="14" t="str">
        <x:v>medium</x:v>
      </x:c>
      <x:c r="I112" s="14" t="str">
        <x:v>src-pleiades-550463</x:v>
      </x:c>
      <x:c r="J112" s="16" t="str">
        <x:v>metropolis_el: Μήθυμνα</x:v>
      </x:c>
      <x:c r="K112" s="14" t="str">
        <x:v>reviewed</x:v>
      </x:c>
    </x:row>
    <x:row r="113" ht="52" customHeight="1">
      <x:c r="A113" s="14" t="str">
        <x:v>rel-5328f65e601d</x:v>
      </x:c>
      <x:c r="B113" s="14" t="str">
        <x:v>kingdom-syracuse-agathocles</x:v>
      </x:c>
      <x:c r="C113" s="14" t="str">
        <x:v>preceded_by</x:v>
      </x:c>
      <x:c r="D113" s="14"/>
      <x:c r="E113" s="14" t="str">
        <x:v>polity-syrakoysia-pole-ypo-tyrannike-exoysia-toy-agathokle</x:v>
      </x:c>
      <x:c r="F113" s="16" t="str">
        <x:v>Συρακούσια πόλη υπό τυραννική εξουσία του Αγαθοκλή</x:v>
      </x:c>
      <x:c r="G113" s="16" t="str">
        <x:v>Syracuse city under the tyrannical rule of Agathocles</x:v>
      </x:c>
      <x:c r="H113" s="14" t="str">
        <x:v>medium</x:v>
      </x:c>
      <x:c r="I113" s="14" t="str">
        <x:v>src-britishmuseum-073d3f0a8ae4</x:v>
      </x:c>
      <x:c r="J113" s="16" t="str">
        <x:v>predecessor_el: Συρακούσια πόλη υπό τυραννική εξουσία του Αγαθοκλή</x:v>
      </x:c>
      <x:c r="K113" s="14" t="str">
        <x:v>reviewed</x:v>
      </x:c>
    </x:row>
    <x:row r="114" ht="52" customHeight="1">
      <x:c r="A114" s="14" t="str">
        <x:v>rel-548e5fe8b276</x:v>
      </x:c>
      <x:c r="B114" s="14" t="str">
        <x:v>kingdom-greco-bactrian-eucratid</x:v>
      </x:c>
      <x:c r="C114" s="14" t="str">
        <x:v>ruled_by_dynasty</x:v>
      </x:c>
      <x:c r="D114" s="14"/>
      <x:c r="E114" s="14" t="str">
        <x:v>dynasty-eykratides-kai-eliokleides</x:v>
      </x:c>
      <x:c r="F114" s="16" t="str">
        <x:v>Ευκρατίδες και Ήλιοκλείδες</x:v>
      </x:c>
      <x:c r="G114" s="16" t="str">
        <x:v>Eucratids and Heliocleids</x:v>
      </x:c>
      <x:c r="H114" s="14" t="str">
        <x:v>medium</x:v>
      </x:c>
      <x:c r="I114" s="14" t="str">
        <x:v>src-iranicaonline-2bb61f112fc3</x:v>
      </x:c>
      <x:c r="J114" s="16" t="str">
        <x:v>dynasty_el: Ευκρατίδες και Ήλιοκλείδες</x:v>
      </x:c>
      <x:c r="K114" s="14" t="str">
        <x:v>reviewed</x:v>
      </x:c>
    </x:row>
    <x:row r="115" ht="52" customHeight="1">
      <x:c r="A115" s="14" t="str">
        <x:v>rel-54fa1db06c88</x:v>
      </x:c>
      <x:c r="B115" s="14" t="str">
        <x:v>colony-phocaea</x:v>
      </x:c>
      <x:c r="C115" s="14" t="str">
        <x:v>founded_from</x:v>
      </x:c>
      <x:c r="D115" s="14"/>
      <x:c r="E115" s="14" t="str">
        <x:v>settlement-phokida-kai-athena-paradose</x:v>
      </x:c>
      <x:c r="F115" s="16" t="str">
        <x:v>Φωκίδα και Αθήνα (παράδοση)</x:v>
      </x:c>
      <x:c r="G115" s="16" t="str">
        <x:v>Phocis and Athens (tradition)</x:v>
      </x:c>
      <x:c r="H115" s="14" t="str">
        <x:v>medium</x:v>
      </x:c>
      <x:c r="I115" s="14" t="str">
        <x:v>src-pleiades-550823</x:v>
      </x:c>
      <x:c r="J115" s="16" t="str">
        <x:v>metropolis_el: Φωκίδα και Αθήνα (παράδοση)</x:v>
      </x:c>
      <x:c r="K115" s="14" t="str">
        <x:v>reviewed</x:v>
      </x:c>
    </x:row>
    <x:row r="116" ht="52" customHeight="1">
      <x:c r="A116" s="14" t="str">
        <x:v>rel-5526369c3d5c</x:v>
      </x:c>
      <x:c r="B116" s="14" t="str">
        <x:v>kingdom-salamis-cyprus</x:v>
      </x:c>
      <x:c r="C116" s="14" t="str">
        <x:v>succeeded_by</x:v>
      </x:c>
      <x:c r="D116" s="14"/>
      <x:c r="E116" s="14" t="str">
        <x:v>polity-ptolemaike-dioikese-tes-kyproy</x:v>
      </x:c>
      <x:c r="F116" s="16" t="str">
        <x:v>Πτολεμαϊκή διοίκηση της Κύπρου</x:v>
      </x:c>
      <x:c r="G116" s="16" t="str">
        <x:v>Ptolemaic administration of Cyprus</x:v>
      </x:c>
      <x:c r="H116" s="14" t="str">
        <x:v>medium</x:v>
      </x:c>
      <x:c r="I116" s="14" t="str">
        <x:v>src-uni-muenster-0a0030be4d2a</x:v>
      </x:c>
      <x:c r="J116" s="16" t="str">
        <x:v>successor_el: Πτολεμαϊκή διοίκηση της Κύπρου</x:v>
      </x:c>
      <x:c r="K116" s="14" t="str">
        <x:v>reviewed</x:v>
      </x:c>
    </x:row>
    <x:row r="117" ht="52" customHeight="1">
      <x:c r="A117" s="14" t="str">
        <x:v>rel-5707794c31a9</x:v>
      </x:c>
      <x:c r="B117" s="14" t="str">
        <x:v>kingdom-cyrene-battiad</x:v>
      </x:c>
      <x:c r="C117" s="14" t="str">
        <x:v>preceded_by</x:v>
      </x:c>
      <x:c r="D117" s="14"/>
      <x:c r="E117" s="14" t="str">
        <x:v>polity-apoikiake-egkatastase-theraion-kai-topikes-libykes-koinotetes</x:v>
      </x:c>
      <x:c r="F117" s="16" t="str">
        <x:v>Αποικιακή εγκατάσταση Θηραίων και τοπικές λιβυκές κοινότητες</x:v>
      </x:c>
      <x:c r="G117" s="16" t="str">
        <x:v>Colonial settlement of Thira and local Libyan communities</x:v>
      </x:c>
      <x:c r="H117" s="14" t="str">
        <x:v>medium</x:v>
      </x:c>
      <x:c r="I117" s="14" t="str">
        <x:v>src-whc-52a1efeb60e3</x:v>
      </x:c>
      <x:c r="J117" s="16" t="str">
        <x:v>predecessor_el: Αποικιακή εγκατάσταση Θηραίων και τοπικές λιβυκές κοινότητες</x:v>
      </x:c>
      <x:c r="K117" s="14" t="str">
        <x:v>reviewed</x:v>
      </x:c>
    </x:row>
    <x:row r="118" ht="52" customHeight="1">
      <x:c r="A118" s="14" t="str">
        <x:v>rel-570e08520613</x:v>
      </x:c>
      <x:c r="B118" s="14" t="str">
        <x:v>colony-erythrae-ionia</x:v>
      </x:c>
      <x:c r="C118" s="14" t="str">
        <x:v>founded_from</x:v>
      </x:c>
      <x:c r="D118" s="14"/>
      <x:c r="E118" s="14" t="str">
        <x:v>settlement-krete-kai-athena-paradose</x:v>
      </x:c>
      <x:c r="F118" s="16" t="str">
        <x:v>Κρήτη και Αθήνα (παράδοση)</x:v>
      </x:c>
      <x:c r="G118" s="16" t="str">
        <x:v>Crete and Athens (tradition)</x:v>
      </x:c>
      <x:c r="H118" s="14" t="str">
        <x:v>medium</x:v>
      </x:c>
      <x:c r="I118" s="14" t="str">
        <x:v>src-pleiades-550535</x:v>
      </x:c>
      <x:c r="J118" s="16" t="str">
        <x:v>metropolis_el: Κρήτη και Αθήνα (παράδοση)</x:v>
      </x:c>
      <x:c r="K118" s="14" t="str">
        <x:v>reviewed</x:v>
      </x:c>
    </x:row>
    <x:row r="119" ht="52" customHeight="1">
      <x:c r="A119" s="14" t="str">
        <x:v>rel-57bc09d4212c</x:v>
      </x:c>
      <x:c r="B119" s="14" t="str">
        <x:v>kingdom-cyrene-battiad</x:v>
      </x:c>
      <x:c r="C119" s="14" t="str">
        <x:v>ruled_by_dynasty</x:v>
      </x:c>
      <x:c r="D119" s="14"/>
      <x:c r="E119" s="14" t="str">
        <x:v>dynasty-battiades</x:v>
      </x:c>
      <x:c r="F119" s="16" t="str">
        <x:v>Βαττιάδες</x:v>
      </x:c>
      <x:c r="G119" s="16" t="str">
        <x:v>Battiads</x:v>
      </x:c>
      <x:c r="H119" s="14" t="str">
        <x:v>medium</x:v>
      </x:c>
      <x:c r="I119" s="14" t="str">
        <x:v>src-whc-52a1efeb60e3</x:v>
      </x:c>
      <x:c r="J119" s="16" t="str">
        <x:v>dynasty_el: Βαττιάδες</x:v>
      </x:c>
      <x:c r="K119" s="14" t="str">
        <x:v>reviewed</x:v>
      </x:c>
    </x:row>
    <x:row r="120" ht="52" customHeight="1">
      <x:c r="A120" s="14" t="str">
        <x:v>rel-5874896c6503</x:v>
      </x:c>
      <x:c r="B120" s="14" t="str">
        <x:v>sanctuary-eleusis-demeter-sanctuary</x:v>
      </x:c>
      <x:c r="C120" s="14" t="str">
        <x:v>cult_of</x:v>
      </x:c>
      <x:c r="D120" s="14"/>
      <x:c r="E120" s="14" t="str">
        <x:v>deity_or_cult-demetra-kai-kore-persephone</x:v>
      </x:c>
      <x:c r="F120" s="16" t="str">
        <x:v>Δήμητρα και Κόρη/Περσεφόνη</x:v>
      </x:c>
      <x:c r="G120" s="16" t="str">
        <x:v>Demeter and Kore/Persephone</x:v>
      </x:c>
      <x:c r="H120" s="14" t="str">
        <x:v>medium</x:v>
      </x:c>
      <x:c r="I120" s="14" t="str">
        <x:v>src-pleiades-579910</x:v>
      </x:c>
      <x:c r="J120" s="16" t="str">
        <x:v>deity_or_cult_el: Δήμητρα και Κόρη/Περσεφόνη</x:v>
      </x:c>
      <x:c r="K120" s="14" t="str">
        <x:v>reviewed</x:v>
      </x:c>
    </x:row>
    <x:row r="121" ht="52" customHeight="1">
      <x:c r="A121" s="14" t="str">
        <x:v>rel-589b4e518911</x:v>
      </x:c>
      <x:c r="B121" s="14" t="str">
        <x:v>kingdom-cyrene-battiad</x:v>
      </x:c>
      <x:c r="C121" s="14" t="str">
        <x:v>succeeded_by</x:v>
      </x:c>
      <x:c r="D121" s="14"/>
      <x:c r="E121" s="14" t="str">
        <x:v>polity-kyrenaike-politeia-me-me-monarchikoys-thesmoys</x:v>
      </x:c>
      <x:c r="F121" s="16" t="str">
        <x:v>Κυρηναϊκή πολιτεία με μη μοναρχικούς θεσμούς</x:v>
      </x:c>
      <x:c r="G121" s="16" t="str">
        <x:v>Cyrenaic state with non-monarchical institutions</x:v>
      </x:c>
      <x:c r="H121" s="14" t="str">
        <x:v>medium</x:v>
      </x:c>
      <x:c r="I121" s="14" t="str">
        <x:v>src-whc-52a1efeb60e3</x:v>
      </x:c>
      <x:c r="J121" s="16" t="str">
        <x:v>successor_el: Κυρηναϊκή πολιτεία με μη μοναρχικούς θεσμούς</x:v>
      </x:c>
      <x:c r="K121" s="14" t="str">
        <x:v>reviewed</x:v>
      </x:c>
    </x:row>
    <x:row r="122" ht="52" customHeight="1">
      <x:c r="A122" s="14" t="str">
        <x:v>rel-58bf4416a4d6</x:v>
      </x:c>
      <x:c r="B122" s="14" t="str">
        <x:v>kingdom-syracuse-hieron-ii</x:v>
      </x:c>
      <x:c r="C122" s="14" t="str">
        <x:v>representative_center</x:v>
      </x:c>
      <x:c r="D122" s="14" t="str">
        <x:v>colony-syracuse</x:v>
      </x:c>
      <x:c r="E122" s="14"/>
      <x:c r="F122" s="16" t="str">
        <x:v>Συρακούσες</x:v>
      </x:c>
      <x:c r="G122" s="16" t="str">
        <x:v>Syracuse</x:v>
      </x:c>
      <x:c r="H122" s="14" t="str">
        <x:v>high</x:v>
      </x:c>
      <x:c r="I122" s="14" t="str">
        <x:v>src-britishmuseum-d101eb623c92</x:v>
      </x:c>
      <x:c r="J122" s="16" t="str">
        <x:v>representative_center_el: Συρακούσες</x:v>
      </x:c>
      <x:c r="K122" s="14" t="str">
        <x:v>reviewed</x:v>
      </x:c>
    </x:row>
    <x:row r="123" ht="52" customHeight="1">
      <x:c r="A123" s="14" t="str">
        <x:v>rel-5a41bd5e2b92</x:v>
      </x:c>
      <x:c r="B123" s="14" t="str">
        <x:v>sanctuary-amyklaion-apollo-sanctuary</x:v>
      </x:c>
      <x:c r="C123" s="14" t="str">
        <x:v>cult_of</x:v>
      </x:c>
      <x:c r="D123" s="14"/>
      <x:c r="E123" s="14" t="str">
        <x:v>deity_or_cult-apollon-amyklaios-kai-yakinthos</x:v>
      </x:c>
      <x:c r="F123" s="16" t="str">
        <x:v>Απόλλων Αμυκλαίος και Υάκινθος</x:v>
      </x:c>
      <x:c r="G123" s="16" t="str">
        <x:v>Apollo Amyklaios and Hyakinthos</x:v>
      </x:c>
      <x:c r="H123" s="14" t="str">
        <x:v>medium</x:v>
      </x:c>
      <x:c r="I123" s="14" t="str">
        <x:v>src-pleiades-73644851</x:v>
      </x:c>
      <x:c r="J123" s="16" t="str">
        <x:v>deity_or_cult_el: Απόλλων Αμυκλαίος και Υάκινθος</x:v>
      </x:c>
      <x:c r="K123" s="14" t="str">
        <x:v>reviewed</x:v>
      </x:c>
    </x:row>
    <x:row r="124" ht="52" customHeight="1">
      <x:c r="A124" s="14" t="str">
        <x:v>rel-5ac65334080c</x:v>
      </x:c>
      <x:c r="B124" s="14" t="str">
        <x:v>kingdom-lysimachid</x:v>
      </x:c>
      <x:c r="C124" s="14" t="str">
        <x:v>succeeded_by</x:v>
      </x:c>
      <x:c r="D124" s="14"/>
      <x:c r="E124" s="14" t="str">
        <x:v>polity-seleykidiko-basileio-kai-anexarteta-mikrasiatika-krate</x:v>
      </x:c>
      <x:c r="F124" s="16" t="str">
        <x:v>Σελευκιδικό βασίλειο και ανεξάρτητα μικρασιατικά κράτη</x:v>
      </x:c>
      <x:c r="G124" s="16" t="str">
        <x:v>Seleucid kingdom and independent Asia Minor states</x:v>
      </x:c>
      <x:c r="H124" s="14" t="str">
        <x:v>medium</x:v>
      </x:c>
      <x:c r="I124" s="14" t="str">
        <x:v>src-pleiades-501458</x:v>
      </x:c>
      <x:c r="J124" s="16" t="str">
        <x:v>successor_el: Σελευκιδικό βασίλειο και ανεξάρτητα μικρασιατικά κράτη</x:v>
      </x:c>
      <x:c r="K124" s="14" t="str">
        <x:v>reviewed</x:v>
      </x:c>
    </x:row>
    <x:row r="125" ht="52" customHeight="1">
      <x:c r="A125" s="14" t="str">
        <x:v>rel-5aef66b5cef1</x:v>
      </x:c>
      <x:c r="B125" s="14" t="str">
        <x:v>kingdom-epirus-aeacid</x:v>
      </x:c>
      <x:c r="C125" s="14" t="str">
        <x:v>preceded_by</x:v>
      </x:c>
      <x:c r="D125" s="14"/>
      <x:c r="E125" s="14" t="str">
        <x:v>polity-molossikes-phyletikes-egemonies</x:v>
      </x:c>
      <x:c r="F125" s="16" t="str">
        <x:v>Μολοσσικές φυλετικές ηγεμονίες</x:v>
      </x:c>
      <x:c r="G125" s="16" t="str">
        <x:v>Molossian tribal hegemonies</x:v>
      </x:c>
      <x:c r="H125" s="14" t="str">
        <x:v>medium</x:v>
      </x:c>
      <x:c r="I125" s="14" t="str">
        <x:v>src-cambridge-96106a304cc6</x:v>
      </x:c>
      <x:c r="J125" s="16" t="str">
        <x:v>predecessor_el: Μολοσσικές φυλετικές ηγεμονίες</x:v>
      </x:c>
      <x:c r="K125" s="14" t="str">
        <x:v>reviewed</x:v>
      </x:c>
    </x:row>
    <x:row r="126" ht="52" customHeight="1">
      <x:c r="A126" s="14" t="str">
        <x:v>rel-5ea00ed5a02a</x:v>
      </x:c>
      <x:c r="B126" s="14" t="str">
        <x:v>kingdom-salamis-cyprus</x:v>
      </x:c>
      <x:c r="C126" s="14" t="str">
        <x:v>preceded_by</x:v>
      </x:c>
      <x:c r="D126" s="14"/>
      <x:c r="E126" s="14" t="str">
        <x:v>polity-ystere-epoche-toy-chalkoy-sten-egkome-kai-proimes-kypriakes-egemonies</x:v>
      </x:c>
      <x:c r="F126" s="16" t="str">
        <x:v>Ύστερη εποχή του Χαλκού στην Έγκωμη και πρώιμες κυπριακές ηγεμονίες</x:v>
      </x:c>
      <x:c r="G126" s="16" t="str">
        <x:v>Late Bronze Age in Engomi and early Cypriot hegemonies</x:v>
      </x:c>
      <x:c r="H126" s="14" t="str">
        <x:v>medium</x:v>
      </x:c>
      <x:c r="I126" s="14" t="str">
        <x:v>src-uni-muenster-0a0030be4d2a</x:v>
      </x:c>
      <x:c r="J126" s="16" t="str">
        <x:v>predecessor_el: Ύστερη εποχή του Χαλκού στην Έγκωμη και πρώιμες κυπριακές ηγεμονίες</x:v>
      </x:c>
      <x:c r="K126" s="14" t="str">
        <x:v>reviewed</x:v>
      </x:c>
    </x:row>
    <x:row r="127" ht="52" customHeight="1">
      <x:c r="A127" s="14" t="str">
        <x:v>rel-5f5020ab127a</x:v>
      </x:c>
      <x:c r="B127" s="14" t="str">
        <x:v>sanctuary-tinos-poseidon-amphitrite-sanctuary</x:v>
      </x:c>
      <x:c r="C127" s="14" t="str">
        <x:v>cult_of</x:v>
      </x:c>
      <x:c r="D127" s="14"/>
      <x:c r="E127" s="14" t="str">
        <x:v>deity_or_cult-poseidon-iatros-kai-amphitrite</x:v>
      </x:c>
      <x:c r="F127" s="16" t="str">
        <x:v>Ποσειδών Ιατρός και Αμφιτρίτη</x:v>
      </x:c>
      <x:c r="G127" s="16" t="str">
        <x:v>Poseidon Iatros and Amphitrite</x:v>
      </x:c>
      <x:c r="H127" s="14" t="str">
        <x:v>medium</x:v>
      </x:c>
      <x:c r="I127" s="14" t="str">
        <x:v>src-pleiades-590006</x:v>
      </x:c>
      <x:c r="J127" s="16" t="str">
        <x:v>deity_or_cult_el: Ποσειδών Ιατρός και Αμφιτρίτη</x:v>
      </x:c>
      <x:c r="K127" s="14" t="str">
        <x:v>reviewed</x:v>
      </x:c>
    </x:row>
    <x:row r="128" ht="52" customHeight="1">
      <x:c r="A128" s="14" t="str">
        <x:v>rel-6118a77807f4</x:v>
      </x:c>
      <x:c r="B128" s="14" t="str">
        <x:v>sanctuary-tegea-athena-alea-sanctuary</x:v>
      </x:c>
      <x:c r="C128" s="14" t="str">
        <x:v>associated_with_settlement</x:v>
      </x:c>
      <x:c r="D128" s="14" t="str">
        <x:v>city-tegea</x:v>
      </x:c>
      <x:c r="E128" s="14"/>
      <x:c r="F128" s="16" t="str">
        <x:v>Τεγέα</x:v>
      </x:c>
      <x:c r="G128" s="16" t="str">
        <x:v>Tegea</x:v>
      </x:c>
      <x:c r="H128" s="14" t="str">
        <x:v>high</x:v>
      </x:c>
      <x:c r="I128" s="14" t="str">
        <x:v>src-pleiades-372843530</x:v>
      </x:c>
      <x:c r="J128" s="16" t="str">
        <x:v>Ρητή επιμελητική σύνδεση του ιερού της Αθηνάς Αλέας με την Τεγέα.</x:v>
      </x:c>
      <x:c r="K128" s="14" t="str">
        <x:v>reviewed</x:v>
      </x:c>
    </x:row>
    <x:row r="129" ht="52" customHeight="1">
      <x:c r="A129" s="14" t="str">
        <x:v>rel-6146957040f2</x:v>
      </x:c>
      <x:c r="B129" s="14" t="str">
        <x:v>colony-philippi</x:v>
      </x:c>
      <x:c r="C129" s="14" t="str">
        <x:v>founded_from</x:v>
      </x:c>
      <x:c r="D129" s="14"/>
      <x:c r="E129" s="14" t="str">
        <x:v>settlement-thasos</x:v>
      </x:c>
      <x:c r="F129" s="16" t="str">
        <x:v>Θάσος</x:v>
      </x:c>
      <x:c r="G129" s="16" t="str">
        <x:v>Thassos</x:v>
      </x:c>
      <x:c r="H129" s="14" t="str">
        <x:v>medium</x:v>
      </x:c>
      <x:c r="I129" s="14" t="str">
        <x:v>src-pleiades-501482</x:v>
      </x:c>
      <x:c r="J129" s="16" t="str">
        <x:v>metropolis_el: Θάσος</x:v>
      </x:c>
      <x:c r="K129" s="14" t="str">
        <x:v>reviewed</x:v>
      </x:c>
    </x:row>
    <x:row r="130" ht="52" customHeight="1">
      <x:c r="A130" s="14" t="str">
        <x:v>rel-615be726c0ef</x:v>
      </x:c>
      <x:c r="B130" s="14" t="str">
        <x:v>sanctuary-aegina-aphaia-sanctuary</x:v>
      </x:c>
      <x:c r="C130" s="14" t="str">
        <x:v>cult_of</x:v>
      </x:c>
      <x:c r="D130" s="14"/>
      <x:c r="E130" s="14" t="str">
        <x:v>deity_or_cult-aphaia</x:v>
      </x:c>
      <x:c r="F130" s="16" t="str">
        <x:v>Αφαία</x:v>
      </x:c>
      <x:c r="G130" s="16" t="str">
        <x:v>Aphaia</x:v>
      </x:c>
      <x:c r="H130" s="14" t="str">
        <x:v>medium</x:v>
      </x:c>
      <x:c r="I130" s="14" t="str">
        <x:v>src-pleiades-579872</x:v>
      </x:c>
      <x:c r="J130" s="16" t="str">
        <x:v>deity_or_cult_el: Αφαία</x:v>
      </x:c>
      <x:c r="K130" s="14" t="str">
        <x:v>reviewed</x:v>
      </x:c>
    </x:row>
    <x:row r="131" ht="52" customHeight="1">
      <x:c r="A131" s="14" t="str">
        <x:v>rel-644f2cc56cfa</x:v>
      </x:c>
      <x:c r="B131" s="14" t="str">
        <x:v>sanctuary-pergamon-asklepieion</x:v>
      </x:c>
      <x:c r="C131" s="14" t="str">
        <x:v>associated_with_settlement</x:v>
      </x:c>
      <x:c r="D131" s="14" t="str">
        <x:v>city-pergamum</x:v>
      </x:c>
      <x:c r="E131" s="14"/>
      <x:c r="F131" s="16" t="str">
        <x:v>Πέργαμος</x:v>
      </x:c>
      <x:c r="G131" s="16" t="str">
        <x:v>Pergamum</x:v>
      </x:c>
      <x:c r="H131" s="14" t="str">
        <x:v>high</x:v>
      </x:c>
      <x:c r="I131" s="14" t="str">
        <x:v>src-pleiades-550459</x:v>
      </x:c>
      <x:c r="J131" s="16" t="str">
        <x:v>Ρητή επιμελητική σύνδεση του Ασκληπιείου με την Πέργαμο.</x:v>
      </x:c>
      <x:c r="K131" s="14" t="str">
        <x:v>reviewed</x:v>
      </x:c>
    </x:row>
    <x:row r="132" ht="52" customHeight="1">
      <x:c r="A132" s="14" t="str">
        <x:v>rel-646b7354d7fd</x:v>
      </x:c>
      <x:c r="B132" s="14" t="str">
        <x:v>kingdom-alexander-empire</x:v>
      </x:c>
      <x:c r="C132" s="14" t="str">
        <x:v>representative_center</x:v>
      </x:c>
      <x:c r="D132" s="14"/>
      <x:c r="E132" s="14" t="str">
        <x:v>settlement-babylona</x:v>
      </x:c>
      <x:c r="F132" s="16" t="str">
        <x:v>Βαβυλώνα</x:v>
      </x:c>
      <x:c r="G132" s="16" t="str">
        <x:v>Babylon</x:v>
      </x:c>
      <x:c r="H132" s="14" t="str">
        <x:v>high</x:v>
      </x:c>
      <x:c r="I132" s="14" t="str">
        <x:v>src-metmuseum-89019924e8c3</x:v>
      </x:c>
      <x:c r="J132" s="16" t="str">
        <x:v>representative_center_el: Βαβυλώνα</x:v>
      </x:c>
      <x:c r="K132" s="14" t="str">
        <x:v>reviewed</x:v>
      </x:c>
    </x:row>
    <x:row r="133" ht="52" customHeight="1">
      <x:c r="A133" s="14" t="str">
        <x:v>rel-6493752b57a3</x:v>
      </x:c>
      <x:c r="B133" s="14" t="str">
        <x:v>sanctuary-lagina-hekate-sanctuary</x:v>
      </x:c>
      <x:c r="C133" s="14" t="str">
        <x:v>cult_of</x:v>
      </x:c>
      <x:c r="D133" s="14"/>
      <x:c r="E133" s="14" t="str">
        <x:v>deity_or_cult-ekate</x:v>
      </x:c>
      <x:c r="F133" s="16" t="str">
        <x:v>Εκάτη</x:v>
      </x:c>
      <x:c r="G133" s="16" t="str">
        <x:v>Hecate</x:v>
      </x:c>
      <x:c r="H133" s="14" t="str">
        <x:v>medium</x:v>
      </x:c>
      <x:c r="I133" s="14" t="str">
        <x:v>src-pleiades-376215160</x:v>
      </x:c>
      <x:c r="J133" s="16" t="str">
        <x:v>deity_or_cult_el: Εκάτη</x:v>
      </x:c>
      <x:c r="K133" s="14" t="str">
        <x:v>reviewed</x:v>
      </x:c>
    </x:row>
    <x:row r="134" ht="52" customHeight="1">
      <x:c r="A134" s="14" t="str">
        <x:v>rel-649ee4d30cac</x:v>
      </x:c>
      <x:c r="B134" s="14" t="str">
        <x:v>kingdom-bosporus-mithridatic</x:v>
      </x:c>
      <x:c r="C134" s="14" t="str">
        <x:v>preceded_by</x:v>
      </x:c>
      <x:c r="D134" s="14"/>
      <x:c r="E134" s="14" t="str">
        <x:v>polity-basileio-toy-kimmerioy-bosporoy-ton-spartokidon</x:v>
      </x:c>
      <x:c r="F134" s="16" t="str">
        <x:v>Βασίλειο του Κιμμερίου Βοσπόρου των Σπαρτοκιδών</x:v>
      </x:c>
      <x:c r="G134" s="16" t="str">
        <x:v>Kingdom of the Cimmerian Bosphorus of the Spartakids</x:v>
      </x:c>
      <x:c r="H134" s="14" t="str">
        <x:v>medium</x:v>
      </x:c>
      <x:c r="I134" s="14" t="str">
        <x:v>src-iranicaonline-4a607235e191</x:v>
      </x:c>
      <x:c r="J134" s="16" t="str">
        <x:v>predecessor_el: Βασίλειο του Κιμμερίου Βοσπόρου των Σπαρτοκιδών</x:v>
      </x:c>
      <x:c r="K134" s="14" t="str">
        <x:v>reviewed</x:v>
      </x:c>
    </x:row>
    <x:row r="135" ht="52" customHeight="1">
      <x:c r="A135" s="14" t="str">
        <x:v>rel-65f85c2412ac</x:v>
      </x:c>
      <x:c r="B135" s="14" t="str">
        <x:v>colony-emporion-iberia</x:v>
      </x:c>
      <x:c r="C135" s="14" t="str">
        <x:v>founded_from</x:v>
      </x:c>
      <x:c r="D135" s="14" t="str">
        <x:v>colony-massalia</x:v>
      </x:c>
      <x:c r="E135" s="14"/>
      <x:c r="F135" s="16" t="str">
        <x:v>Μασσαλία</x:v>
      </x:c>
      <x:c r="G135" s="16" t="str">
        <x:v>Massalia</x:v>
      </x:c>
      <x:c r="H135" s="14" t="str">
        <x:v>medium</x:v>
      </x:c>
      <x:c r="I135" s="14" t="str">
        <x:v>src-pleiades-246382</x:v>
      </x:c>
      <x:c r="J135" s="16" t="str">
        <x:v>metropolis_el: Μασσαλία</x:v>
      </x:c>
      <x:c r="K135" s="14" t="str">
        <x:v>reviewed</x:v>
      </x:c>
    </x:row>
    <x:row r="136" ht="52" customHeight="1">
      <x:c r="A136" s="14" t="str">
        <x:v>rel-6623861469d3</x:v>
      </x:c>
      <x:c r="B136" s="14" t="str">
        <x:v>kingdom-lysimachid</x:v>
      </x:c>
      <x:c r="C136" s="14" t="str">
        <x:v>preceded_by</x:v>
      </x:c>
      <x:c r="D136" s="14"/>
      <x:c r="E136" s="14" t="str">
        <x:v>polity-thrakike-satrapeia-tes-aytokratorias-toy-alexandroy</x:v>
      </x:c>
      <x:c r="F136" s="16" t="str">
        <x:v>Θρακική σατραπεία της αυτοκρατορίας του Αλεξάνδρου</x:v>
      </x:c>
      <x:c r="G136" s="16" t="str">
        <x:v>Thracian satrapy of Alexander's empire</x:v>
      </x:c>
      <x:c r="H136" s="14" t="str">
        <x:v>medium</x:v>
      </x:c>
      <x:c r="I136" s="14" t="str">
        <x:v>src-pleiades-501458</x:v>
      </x:c>
      <x:c r="J136" s="16" t="str">
        <x:v>predecessor_el: Θρακική σατραπεία της αυτοκρατορίας του Αλεξάνδρου</x:v>
      </x:c>
      <x:c r="K136" s="14" t="str">
        <x:v>reviewed</x:v>
      </x:c>
    </x:row>
    <x:row r="137" ht="52" customHeight="1">
      <x:c r="A137" s="14" t="str">
        <x:v>rel-67097cf69b8e</x:v>
      </x:c>
      <x:c r="B137" s="14" t="str">
        <x:v>kingdom-orchomenos-palatial</x:v>
      </x:c>
      <x:c r="C137" s="14" t="str">
        <x:v>succeeded_by</x:v>
      </x:c>
      <x:c r="D137" s="14"/>
      <x:c r="E137" s="14" t="str">
        <x:v>polity-metanaktorikes-boiotikes-koinotetes</x:v>
      </x:c>
      <x:c r="F137" s="16" t="str">
        <x:v>Μετανακτορικές βοιωτικές κοινότητες</x:v>
      </x:c>
      <x:c r="G137" s="16" t="str">
        <x:v>Post-palatial Boeotian communities</x:v>
      </x:c>
      <x:c r="H137" s="14" t="str">
        <x:v>medium</x:v>
      </x:c>
      <x:c r="I137" s="14" t="str">
        <x:v>src-mthv-715d665b63b5</x:v>
      </x:c>
      <x:c r="J137" s="16" t="str">
        <x:v>successor_el: Μετανακτορικές βοιωτικές κοινότητες</x:v>
      </x:c>
      <x:c r="K137" s="14" t="str">
        <x:v>reviewed</x:v>
      </x:c>
    </x:row>
    <x:row r="138" ht="52" customHeight="1">
      <x:c r="A138" s="14" t="str">
        <x:v>rel-67260a53116a</x:v>
      </x:c>
      <x:c r="B138" s="14" t="str">
        <x:v>sanctuary-metapontum-tavole-palatine-heraion</x:v>
      </x:c>
      <x:c r="C138" s="14" t="str">
        <x:v>associated_with_settlement</x:v>
      </x:c>
      <x:c r="D138" s="14" t="str">
        <x:v>colony-metapontum</x:v>
      </x:c>
      <x:c r="E138" s="14"/>
      <x:c r="F138" s="16" t="str">
        <x:v>Μεταπόντιο</x:v>
      </x:c>
      <x:c r="G138" s="16" t="str">
        <x:v>Metapontum</x:v>
      </x:c>
      <x:c r="H138" s="14" t="str">
        <x:v>high</x:v>
      </x:c>
      <x:c r="I138" s="14" t="str">
        <x:v>src-pleiades-442611</x:v>
      </x:c>
      <x:c r="J138" s="16" t="str">
        <x:v>Ρητή επιμελητική σύνδεση του Ηραίου με το Μεταπόντιο.</x:v>
      </x:c>
      <x:c r="K138" s="14" t="str">
        <x:v>reviewed</x:v>
      </x:c>
    </x:row>
    <x:row r="139" ht="52" customHeight="1">
      <x:c r="A139" s="14" t="str">
        <x:v>rel-674045afe315</x:v>
      </x:c>
      <x:c r="B139" s="14" t="str">
        <x:v>kingdom-attalid-pergamon</x:v>
      </x:c>
      <x:c r="C139" s="14" t="str">
        <x:v>representative_center</x:v>
      </x:c>
      <x:c r="D139" s="14" t="str">
        <x:v>city-pergamum</x:v>
      </x:c>
      <x:c r="E139" s="14"/>
      <x:c r="F139" s="16" t="str">
        <x:v>Πέργαμος</x:v>
      </x:c>
      <x:c r="G139" s="16" t="str">
        <x:v>Pergamum</x:v>
      </x:c>
      <x:c r="H139" s="14" t="str">
        <x:v>high</x:v>
      </x:c>
      <x:c r="I139" s="14" t="str">
        <x:v>src-metmuseum-50fe20dc493f</x:v>
      </x:c>
      <x:c r="J139" s="16" t="str">
        <x:v>representative_center_el: Πέργαμος</x:v>
      </x:c>
      <x:c r="K139" s="14" t="str">
        <x:v>reviewed</x:v>
      </x:c>
    </x:row>
    <x:row r="140" ht="52" customHeight="1">
      <x:c r="A140" s="14" t="str">
        <x:v>rel-684d284266eb</x:v>
      </x:c>
      <x:c r="B140" s="14" t="str">
        <x:v>kingdom-ptolemaic-egypt</x:v>
      </x:c>
      <x:c r="C140" s="14" t="str">
        <x:v>representative_center</x:v>
      </x:c>
      <x:c r="D140" s="14" t="str">
        <x:v>city-alexandria-egypt</x:v>
      </x:c>
      <x:c r="E140" s="14"/>
      <x:c r="F140" s="16" t="str">
        <x:v>Αλεξάνδρεια</x:v>
      </x:c>
      <x:c r="G140" s="16" t="str">
        <x:v>Alexandria</x:v>
      </x:c>
      <x:c r="H140" s="14" t="str">
        <x:v>high</x:v>
      </x:c>
      <x:c r="I140" s="14" t="str">
        <x:v>src-metmuseum-9200258a95cb</x:v>
      </x:c>
      <x:c r="J140" s="16" t="str">
        <x:v>representative_center_el: Αλεξάνδρεια</x:v>
      </x:c>
      <x:c r="K140" s="14" t="str">
        <x:v>reviewed</x:v>
      </x:c>
    </x:row>
    <x:row r="141" ht="52" customHeight="1">
      <x:c r="A141" s="14" t="str">
        <x:v>rel-68d7d1ac8ffa</x:v>
      </x:c>
      <x:c r="B141" s="14" t="str">
        <x:v>colony-poseidonia</x:v>
      </x:c>
      <x:c r="C141" s="14" t="str">
        <x:v>founded_from</x:v>
      </x:c>
      <x:c r="D141" s="14" t="str">
        <x:v>colony-sybaris</x:v>
      </x:c>
      <x:c r="E141" s="14"/>
      <x:c r="F141" s="16" t="str">
        <x:v>Σύβαρις</x:v>
      </x:c>
      <x:c r="G141" s="16" t="str">
        <x:v>Sybaris</x:v>
      </x:c>
      <x:c r="H141" s="14" t="str">
        <x:v>medium</x:v>
      </x:c>
      <x:c r="I141" s="14" t="str">
        <x:v>src-pleiades-442733</x:v>
      </x:c>
      <x:c r="J141" s="16" t="str">
        <x:v>metropolis_el: Σύβαρις</x:v>
      </x:c>
      <x:c r="K141" s="14" t="str">
        <x:v>reviewed</x:v>
      </x:c>
    </x:row>
    <x:row r="142" ht="52" customHeight="1">
      <x:c r="A142" s="14" t="str">
        <x:v>rel-69c50c87ae6d</x:v>
      </x:c>
      <x:c r="B142" s="14" t="str">
        <x:v>sanctuary-cyrene-zeus-sanctuary</x:v>
      </x:c>
      <x:c r="C142" s="14" t="str">
        <x:v>associated_with_settlement</x:v>
      </x:c>
      <x:c r="D142" s="14" t="str">
        <x:v>colony-cyrene</x:v>
      </x:c>
      <x:c r="E142" s="14"/>
      <x:c r="F142" s="16" t="str">
        <x:v>Κυρήνη</x:v>
      </x:c>
      <x:c r="G142" s="16" t="str">
        <x:v>Cyrene</x:v>
      </x:c>
      <x:c r="H142" s="14" t="str">
        <x:v>high</x:v>
      </x:c>
      <x:c r="I142" s="14" t="str">
        <x:v>src-pleiades-103565779</x:v>
      </x:c>
      <x:c r="J142" s="16" t="str">
        <x:v>Ρητή επιμελητική σύνδεση του ναού του Δία με την Κυρήνη.</x:v>
      </x:c>
      <x:c r="K142" s="14" t="str">
        <x:v>reviewed</x:v>
      </x:c>
    </x:row>
    <x:row r="143" ht="52" customHeight="1">
      <x:c r="A143" s="14" t="str">
        <x:v>rel-6a29658284ae</x:v>
      </x:c>
      <x:c r="B143" s="14" t="str">
        <x:v>kingdom-cyrene-magas</x:v>
      </x:c>
      <x:c r="C143" s="14" t="str">
        <x:v>succeeded_by</x:v>
      </x:c>
      <x:c r="D143" s="14"/>
      <x:c r="E143" s="14" t="str">
        <x:v>polity-bracheia-diadoche-demetrioy-toy-kalloy-kai-epanentaxe-stoys-ptolemaioys</x:v>
      </x:c>
      <x:c r="F143" s="16" t="str">
        <x:v>Βραχεία διαδοχή Δημητρίου του Καλλού και επανένταξη στους Πτολεμαίους</x:v>
      </x:c>
      <x:c r="G143" s="16" t="str">
        <x:v>Brief succession of Demetrius the Fair and reintegration into the Ptolemaic kingdom</x:v>
      </x:c>
      <x:c r="H143" s="14" t="str">
        <x:v>medium</x:v>
      </x:c>
      <x:c r="I143" s="14" t="str">
        <x:v>src-persee-a9866e5e43d7</x:v>
      </x:c>
      <x:c r="J143" s="16" t="str">
        <x:v>successor_el: Βραχεία διαδοχή Δημητρίου του Καλλού και επανένταξη στους Πτολεμαίους</x:v>
      </x:c>
      <x:c r="K143" s="14" t="str">
        <x:v>reviewed</x:v>
      </x:c>
    </x:row>
    <x:row r="144" ht="52" customHeight="1">
      <x:c r="A144" s="14" t="str">
        <x:v>rel-6a9c72f09372</x:v>
      </x:c>
      <x:c r="B144" s="14" t="str">
        <x:v>colony-tanais</x:v>
      </x:c>
      <x:c r="C144" s="14" t="str">
        <x:v>founded_from</x:v>
      </x:c>
      <x:c r="D144" s="14"/>
      <x:c r="E144" s="14" t="str">
        <x:v>settlement-pantikapaio-bosporos</x:v>
      </x:c>
      <x:c r="F144" s="16" t="str">
        <x:v>Παντικάπαιο / Βόσπορος</x:v>
      </x:c>
      <x:c r="G144" s="16" t="str">
        <x:v>Panticapaeum / Bosporus</x:v>
      </x:c>
      <x:c r="H144" s="14" t="str">
        <x:v>medium</x:v>
      </x:c>
      <x:c r="I144" s="14" t="str">
        <x:v>src-pleiades-825397</x:v>
      </x:c>
      <x:c r="J144" s="16" t="str">
        <x:v>metropolis_el: Παντικάπαιο / Βόσπορος</x:v>
      </x:c>
      <x:c r="K144" s="14" t="str">
        <x:v>reviewed</x:v>
      </x:c>
    </x:row>
    <x:row r="145" ht="52" customHeight="1">
      <x:c r="A145" s="14" t="str">
        <x:v>rel-6d1c1f9f1f2b</x:v>
      </x:c>
      <x:c r="B145" s="14" t="str">
        <x:v>colony-selinus</x:v>
      </x:c>
      <x:c r="C145" s="14" t="str">
        <x:v>founded_from</x:v>
      </x:c>
      <x:c r="D145" s="14" t="str">
        <x:v>colony-megara-hyblaea</x:v>
      </x:c>
      <x:c r="E145" s="14"/>
      <x:c r="F145" s="16" t="str">
        <x:v>Μέγαρα Υβλαία</x:v>
      </x:c>
      <x:c r="G145" s="16" t="str">
        <x:v>Megara Hyblaea</x:v>
      </x:c>
      <x:c r="H145" s="14" t="str">
        <x:v>medium</x:v>
      </x:c>
      <x:c r="I145" s="14" t="str">
        <x:v>src-pleiades-462489</x:v>
      </x:c>
      <x:c r="J145" s="16" t="str">
        <x:v>metropolis_el: Μέγαρα Υβλαία</x:v>
      </x:c>
      <x:c r="K145" s="14" t="str">
        <x:v>reviewed</x:v>
      </x:c>
    </x:row>
    <x:row r="146" ht="52" customHeight="1">
      <x:c r="A146" s="14" t="str">
        <x:v>rel-6d64a942c42e</x:v>
      </x:c>
      <x:c r="B146" s="14" t="str">
        <x:v>sanctuary-lemnos-kabeirion</x:v>
      </x:c>
      <x:c r="C146" s="14" t="str">
        <x:v>cult_of</x:v>
      </x:c>
      <x:c r="D146" s="14"/>
      <x:c r="E146" s="14" t="str">
        <x:v>deity_or_cult-kabeiroi-kai-ephaistos</x:v>
      </x:c>
      <x:c r="F146" s="16" t="str">
        <x:v>Κάβειροι και Ήφαιστος</x:v>
      </x:c>
      <x:c r="G146" s="16" t="str">
        <x:v>Kabeiroi and Hephaistos</x:v>
      </x:c>
      <x:c r="H146" s="14" t="str">
        <x:v>medium</x:v>
      </x:c>
      <x:c r="I146" s="14" t="str">
        <x:v>src-pleiades-550604</x:v>
      </x:c>
      <x:c r="J146" s="16" t="str">
        <x:v>deity_or_cult_el: Κάβειροι και Ήφαιστος</x:v>
      </x:c>
      <x:c r="K146" s="14" t="str">
        <x:v>reviewed</x:v>
      </x:c>
    </x:row>
    <x:row r="147" ht="52" customHeight="1">
      <x:c r="A147" s="14" t="str">
        <x:v>rel-6d7426002650</x:v>
      </x:c>
      <x:c r="B147" s="14" t="str">
        <x:v>colony-tomis</x:v>
      </x:c>
      <x:c r="C147" s="14" t="str">
        <x:v>founded_from</x:v>
      </x:c>
      <x:c r="D147" s="14" t="str">
        <x:v>colony-miletus</x:v>
      </x:c>
      <x:c r="E147" s="14"/>
      <x:c r="F147" s="16" t="str">
        <x:v>Μίλητος</x:v>
      </x:c>
      <x:c r="G147" s="16" t="str">
        <x:v>Miletus</x:v>
      </x:c>
      <x:c r="H147" s="14" t="str">
        <x:v>medium</x:v>
      </x:c>
      <x:c r="I147" s="14" t="str">
        <x:v>src-pleiades-217016</x:v>
      </x:c>
      <x:c r="J147" s="16" t="str">
        <x:v>metropolis_el: Μίλητος</x:v>
      </x:c>
      <x:c r="K147" s="14" t="str">
        <x:v>reviewed</x:v>
      </x:c>
    </x:row>
    <x:row r="148" ht="52" customHeight="1">
      <x:c r="A148" s="14" t="str">
        <x:v>rel-6fc3de27406c</x:v>
      </x:c>
      <x:c r="B148" s="14" t="str">
        <x:v>kingdom-mycenae-palatial</x:v>
      </x:c>
      <x:c r="C148" s="14" t="str">
        <x:v>preceded_by</x:v>
      </x:c>
      <x:c r="D148" s="14"/>
      <x:c r="E148" s="14" t="str">
        <x:v>polity-mesoelladikes-kai-proimes-mykenaikes-egemonies</x:v>
      </x:c>
      <x:c r="F148" s="16" t="str">
        <x:v>Μεσοελλαδικές και πρώιμες μυκηναϊκές ηγεμονίες</x:v>
      </x:c>
      <x:c r="G148" s="16" t="str">
        <x:v>Middle Helladic and early Mycenaean hegemonies</x:v>
      </x:c>
      <x:c r="H148" s="14" t="str">
        <x:v>medium</x:v>
      </x:c>
      <x:c r="I148" s="14" t="str">
        <x:v>src-whc-6306f630553d</x:v>
      </x:c>
      <x:c r="J148" s="16" t="str">
        <x:v>predecessor_el: Μεσοελλαδικές και πρώιμες μυκηναϊκές ηγεμονίες</x:v>
      </x:c>
      <x:c r="K148" s="14" t="str">
        <x:v>reviewed</x:v>
      </x:c>
    </x:row>
    <x:row r="149" ht="52" customHeight="1">
      <x:c r="A149" s="14" t="str">
        <x:v>rel-715115938d40</x:v>
      </x:c>
      <x:c r="B149" s="14" t="str">
        <x:v>colony-iasos</x:v>
      </x:c>
      <x:c r="C149" s="14" t="str">
        <x:v>founded_from</x:v>
      </x:c>
      <x:c r="D149" s="14"/>
      <x:c r="E149" s="14" t="str">
        <x:v>settlement-argos-paradose</x:v>
      </x:c>
      <x:c r="F149" s="16" t="str">
        <x:v>Άργος (παράδοση)</x:v>
      </x:c>
      <x:c r="G149" s="16" t="str">
        <x:v>Argos (tradition)</x:v>
      </x:c>
      <x:c r="H149" s="14" t="str">
        <x:v>medium</x:v>
      </x:c>
      <x:c r="I149" s="14" t="str">
        <x:v>src-pleiades-599664</x:v>
      </x:c>
      <x:c r="J149" s="16" t="str">
        <x:v>metropolis_el: Άργος (παράδοση)</x:v>
      </x:c>
      <x:c r="K149" s="14" t="str">
        <x:v>reviewed</x:v>
      </x:c>
    </x:row>
    <x:row r="150" ht="52" customHeight="1">
      <x:c r="A150" s="14" t="str">
        <x:v>rel-7358c2d9e74b</x:v>
      </x:c>
      <x:c r="B150" s="14" t="str">
        <x:v>kingdom-indo-greek-menandrid</x:v>
      </x:c>
      <x:c r="C150" s="14" t="str">
        <x:v>ruled_by_dynasty</x:v>
      </x:c>
      <x:c r="D150" s="14"/>
      <x:c r="E150" s="14" t="str">
        <x:v>dynasty-oikos-toy-menandroy-kai-agathokleias</x:v>
      </x:c>
      <x:c r="F150" s="16" t="str">
        <x:v>Οίκος του Μενάνδρου και Αγαθοκλείας</x:v>
      </x:c>
      <x:c r="G150" s="16" t="str">
        <x:v>House of Menander and Agathokleia</x:v>
      </x:c>
      <x:c r="H150" s="14" t="str">
        <x:v>medium</x:v>
      </x:c>
      <x:c r="I150" s="14" t="str">
        <x:v>src-iranicaonline-612dff96c99c</x:v>
      </x:c>
      <x:c r="J150" s="16" t="str">
        <x:v>dynasty_el: Οίκος του Μενάνδρου και Αγαθοκλείας</x:v>
      </x:c>
      <x:c r="K150" s="14" t="str">
        <x:v>reviewed</x:v>
      </x:c>
    </x:row>
    <x:row r="151" ht="52" customHeight="1">
      <x:c r="A151" s="14" t="str">
        <x:v>rel-735b4262ce89</x:v>
      </x:c>
      <x:c r="B151" s="14" t="str">
        <x:v>sanctuary-metapontum-tavole-palatine-heraion</x:v>
      </x:c>
      <x:c r="C151" s="14" t="str">
        <x:v>cult_of</x:v>
      </x:c>
      <x:c r="D151" s="14"/>
      <x:c r="E151" s="14" t="str">
        <x:v>deity_or_cult-era</x:v>
      </x:c>
      <x:c r="F151" s="16" t="str">
        <x:v>Ήρα</x:v>
      </x:c>
      <x:c r="G151" s="16" t="str">
        <x:v>Hera</x:v>
      </x:c>
      <x:c r="H151" s="14" t="str">
        <x:v>medium</x:v>
      </x:c>
      <x:c r="I151" s="14" t="str">
        <x:v>src-pleiades-442611</x:v>
      </x:c>
      <x:c r="J151" s="16" t="str">
        <x:v>deity_or_cult_el: Ήρα</x:v>
      </x:c>
      <x:c r="K151" s="14" t="str">
        <x:v>reviewed</x:v>
      </x:c>
    </x:row>
    <x:row r="152" ht="52" customHeight="1">
      <x:c r="A152" s="14" t="str">
        <x:v>rel-7569c4e003bb</x:v>
      </x:c>
      <x:c r="B152" s="14" t="str">
        <x:v>colony-dioscurias</x:v>
      </x:c>
      <x:c r="C152" s="14" t="str">
        <x:v>founded_from</x:v>
      </x:c>
      <x:c r="D152" s="14"/>
      <x:c r="E152" s="14" t="str">
        <x:v>settlement-miletos-paradose</x:v>
      </x:c>
      <x:c r="F152" s="16" t="str">
        <x:v>Μίλητος (παράδοση)</x:v>
      </x:c>
      <x:c r="G152" s="16" t="str">
        <x:v>Miletus (tradition)</x:v>
      </x:c>
      <x:c r="H152" s="14" t="str">
        <x:v>medium</x:v>
      </x:c>
      <x:c r="I152" s="14" t="str">
        <x:v>src-pleiades-857107</x:v>
      </x:c>
      <x:c r="J152" s="16" t="str">
        <x:v>metropolis_el: Μίλητος (παράδοση)</x:v>
      </x:c>
      <x:c r="K152" s="14" t="str">
        <x:v>reviewed</x:v>
      </x:c>
    </x:row>
    <x:row r="153" ht="52" customHeight="1">
      <x:c r="A153" s="14" t="str">
        <x:v>rel-79ad2c0b43e3</x:v>
      </x:c>
      <x:c r="B153" s="14" t="str">
        <x:v>sanctuary-olympia-zeus-sanctuary</x:v>
      </x:c>
      <x:c r="C153" s="14" t="str">
        <x:v>cult_of</x:v>
      </x:c>
      <x:c r="D153" s="14"/>
      <x:c r="E153" s="14" t="str">
        <x:v>deity_or_cult-dias-olympios-kai-era</x:v>
      </x:c>
      <x:c r="F153" s="16" t="str">
        <x:v>Δίας Ολύμπιος και Ήρα</x:v>
      </x:c>
      <x:c r="G153" s="16" t="str">
        <x:v>Olympian Zeus and Hera</x:v>
      </x:c>
      <x:c r="H153" s="14" t="str">
        <x:v>medium</x:v>
      </x:c>
      <x:c r="I153" s="14" t="str">
        <x:v>src-pleiades-570531</x:v>
      </x:c>
      <x:c r="J153" s="16" t="str">
        <x:v>deity_or_cult_el: Δίας Ολύμπιος και Ήρα</x:v>
      </x:c>
      <x:c r="K153" s="14" t="str">
        <x:v>reviewed</x:v>
      </x:c>
    </x:row>
    <x:row r="154" ht="52" customHeight="1">
      <x:c r="A154" s="14" t="str">
        <x:v>rel-79cc20b604e3</x:v>
      </x:c>
      <x:c r="B154" s="14" t="str">
        <x:v>sanctuary-alexandria-serapeum</x:v>
      </x:c>
      <x:c r="C154" s="14" t="str">
        <x:v>associated_with_settlement</x:v>
      </x:c>
      <x:c r="D154" s="14" t="str">
        <x:v>city-alexandria-egypt</x:v>
      </x:c>
      <x:c r="E154" s="14"/>
      <x:c r="F154" s="16" t="str">
        <x:v>Αλεξάνδρεια</x:v>
      </x:c>
      <x:c r="G154" s="16" t="str">
        <x:v>Alexandria</x:v>
      </x:c>
      <x:c r="H154" s="14" t="str">
        <x:v>high</x:v>
      </x:c>
      <x:c r="I154" s="14" t="str">
        <x:v>src-pleiades-182618516</x:v>
      </x:c>
      <x:c r="J154" s="16" t="str">
        <x:v>Ρητή επιμελητική σύνδεση του Σεραπείου με την Αλεξάνδρεια.</x:v>
      </x:c>
      <x:c r="K154" s="14" t="str">
        <x:v>reviewed</x:v>
      </x:c>
    </x:row>
    <x:row r="155" ht="52" customHeight="1">
      <x:c r="A155" s="14" t="str">
        <x:v>rel-7df708283cbd</x:v>
      </x:c>
      <x:c r="B155" s="14" t="str">
        <x:v>kingdom-cyrene-magas</x:v>
      </x:c>
      <x:c r="C155" s="14" t="str">
        <x:v>ruled_by_dynasty</x:v>
      </x:c>
      <x:c r="D155" s="14"/>
      <x:c r="E155" s="14" t="str">
        <x:v>dynasty-magas-bracheia-diadoche-demetrioy-toy-kalloy</x:v>
      </x:c>
      <x:c r="F155" s="16" t="str">
        <x:v>Μάγας· βραχεία διαδοχή Δημητρίου του Καλλού</x:v>
      </x:c>
      <x:c r="G155" s="16" t="str">
        <x:v>Magas; brief succession of Demetrius the Fair</x:v>
      </x:c>
      <x:c r="H155" s="14" t="str">
        <x:v>medium</x:v>
      </x:c>
      <x:c r="I155" s="14" t="str">
        <x:v>src-persee-a9866e5e43d7</x:v>
      </x:c>
      <x:c r="J155" s="16" t="str">
        <x:v>dynasty_el: Μάγας· βραχεία διαδοχή Δημητρίου του Καλλού</x:v>
      </x:c>
      <x:c r="K155" s="14" t="str">
        <x:v>reviewed</x:v>
      </x:c>
    </x:row>
    <x:row r="156" ht="52" customHeight="1">
      <x:c r="A156" s="14" t="str">
        <x:v>rel-7f67bfcceb49</x:v>
      </x:c>
      <x:c r="B156" s="14" t="str">
        <x:v>kingdom-bosporus-spartocid</x:v>
      </x:c>
      <x:c r="C156" s="14" t="str">
        <x:v>ruled_by_dynasty</x:v>
      </x:c>
      <x:c r="D156" s="14"/>
      <x:c r="E156" s="14" t="str">
        <x:v>dynasty-spartokides</x:v>
      </x:c>
      <x:c r="F156" s="16" t="str">
        <x:v>Σπαρτοκίδες</x:v>
      </x:c>
      <x:c r="G156" s="16" t="str">
        <x:v>Spartocids</x:v>
      </x:c>
      <x:c r="H156" s="14" t="str">
        <x:v>medium</x:v>
      </x:c>
      <x:c r="I156" s="14" t="str">
        <x:v>src-encyclopediaofukraine-237e86aa1350</x:v>
      </x:c>
      <x:c r="J156" s="16" t="str">
        <x:v>dynasty_el: Σπαρτοκίδες</x:v>
      </x:c>
      <x:c r="K156" s="14" t="str">
        <x:v>reviewed</x:v>
      </x:c>
    </x:row>
    <x:row r="157" ht="52" customHeight="1">
      <x:c r="A157" s="14" t="str">
        <x:v>rel-805954d090b9</x:v>
      </x:c>
      <x:c r="B157" s="14" t="str">
        <x:v>kingdom-bosporus-mithridatic</x:v>
      </x:c>
      <x:c r="C157" s="14" t="str">
        <x:v>succeeded_by</x:v>
      </x:c>
      <x:c r="D157" s="14"/>
      <x:c r="E157" s="14" t="str">
        <x:v>polity-romaika-exartemeno-basileio-toy-bosporoy</x:v>
      </x:c>
      <x:c r="F157" s="16" t="str">
        <x:v>Ρωμαϊκά εξαρτημένο Βασίλειο του Βοσπόρου</x:v>
      </x:c>
      <x:c r="G157" s="16" t="str">
        <x:v>Roman dependent Kingdom of the Bosphorus</x:v>
      </x:c>
      <x:c r="H157" s="14" t="str">
        <x:v>medium</x:v>
      </x:c>
      <x:c r="I157" s="14" t="str">
        <x:v>src-iranicaonline-4a607235e191</x:v>
      </x:c>
      <x:c r="J157" s="16" t="str">
        <x:v>successor_el: Ρωμαϊκά εξαρτημένο Βασίλειο του Βοσπόρου</x:v>
      </x:c>
      <x:c r="K157" s="14" t="str">
        <x:v>reviewed</x:v>
      </x:c>
    </x:row>
    <x:row r="158" ht="52" customHeight="1">
      <x:c r="A158" s="14" t="str">
        <x:v>rel-81355fef28b0</x:v>
      </x:c>
      <x:c r="B158" s="14" t="str">
        <x:v>sanctuary-sardis-artemis-sanctuary</x:v>
      </x:c>
      <x:c r="C158" s="14" t="str">
        <x:v>cult_of</x:v>
      </x:c>
      <x:c r="D158" s="14"/>
      <x:c r="E158" s="14" t="str">
        <x:v>deity_or_cult-artemis-kai-aytokratorike-latreia</x:v>
      </x:c>
      <x:c r="F158" s="16" t="str">
        <x:v>Άρτεμις και αυτοκρατορική λατρεία</x:v>
      </x:c>
      <x:c r="G158" s="16" t="str">
        <x:v>Artemis and Imperial Cult</x:v>
      </x:c>
      <x:c r="H158" s="14" t="str">
        <x:v>medium</x:v>
      </x:c>
      <x:c r="I158" s="14" t="str">
        <x:v>src-pleiades-66376536</x:v>
      </x:c>
      <x:c r="J158" s="16" t="str">
        <x:v>deity_or_cult_el: Άρτεμις και αυτοκρατορική λατρεία</x:v>
      </x:c>
      <x:c r="K158" s="14" t="str">
        <x:v>reviewed</x:v>
      </x:c>
    </x:row>
    <x:row r="159" ht="52" customHeight="1">
      <x:c r="A159" s="14" t="str">
        <x:v>rel-825953fdcb2b</x:v>
      </x:c>
      <x:c r="B159" s="14" t="str">
        <x:v>kingdom-macedon-kassandrid</x:v>
      </x:c>
      <x:c r="C159" s="14" t="str">
        <x:v>ruled_by_dynasty</x:v>
      </x:c>
      <x:c r="D159" s="14"/>
      <x:c r="E159" s="14" t="str">
        <x:v>dynasty-antipatrides-kassandrides</x:v>
      </x:c>
      <x:c r="F159" s="16" t="str">
        <x:v>Αντιπατρίδες / Κασσανδρίδες</x:v>
      </x:c>
      <x:c r="G159" s="16" t="str">
        <x:v>Antipatrids / Kassandrids</x:v>
      </x:c>
      <x:c r="H159" s="14" t="str">
        <x:v>medium</x:v>
      </x:c>
      <x:c r="I159" s="14" t="str">
        <x:v>src-metmuseum-50fe20dc493f</x:v>
      </x:c>
      <x:c r="J159" s="16" t="str">
        <x:v>dynasty_el: Αντιπατρίδες / Κασσανδρίδες</x:v>
      </x:c>
      <x:c r="K159" s="14" t="str">
        <x:v>reviewed</x:v>
      </x:c>
    </x:row>
    <x:row r="160" ht="52" customHeight="1">
      <x:c r="A160" s="14" t="str">
        <x:v>rel-829e99838093</x:v>
      </x:c>
      <x:c r="B160" s="14" t="str">
        <x:v>kingdom-pontus-mithridatid</x:v>
      </x:c>
      <x:c r="C160" s="14" t="str">
        <x:v>preceded_by</x:v>
      </x:c>
      <x:c r="D160" s="14"/>
      <x:c r="E160" s="14" t="str">
        <x:v>polity-kappadokike-satrapeia-kai-periphereiakes-dynasteies</x:v>
      </x:c>
      <x:c r="F160" s="16" t="str">
        <x:v>Καππαδοκική σατραπεία και περιφερειακές δυναστείες</x:v>
      </x:c>
      <x:c r="G160" s="16" t="str">
        <x:v>Cappadocian satrapy and regional dynasties</x:v>
      </x:c>
      <x:c r="H160" s="14" t="str">
        <x:v>medium</x:v>
      </x:c>
      <x:c r="I160" s="14" t="str">
        <x:v>src-metmuseum-50fe20dc493f</x:v>
      </x:c>
      <x:c r="J160" s="16" t="str">
        <x:v>predecessor_el: Καππαδοκική σατραπεία και περιφερειακές δυναστείες</x:v>
      </x:c>
      <x:c r="K160" s="14" t="str">
        <x:v>reviewed</x:v>
      </x:c>
    </x:row>
    <x:row r="161" ht="52" customHeight="1">
      <x:c r="A161" s="14" t="str">
        <x:v>rel-84a806c5fa13</x:v>
      </x:c>
      <x:c r="B161" s="14" t="str">
        <x:v>colony-massalia</x:v>
      </x:c>
      <x:c r="C161" s="14" t="str">
        <x:v>founded_from</x:v>
      </x:c>
      <x:c r="D161" s="14" t="str">
        <x:v>colony-phocaea</x:v>
      </x:c>
      <x:c r="E161" s="14"/>
      <x:c r="F161" s="16" t="str">
        <x:v>Φώκαια</x:v>
      </x:c>
      <x:c r="G161" s="16" t="str">
        <x:v>Phocaea</x:v>
      </x:c>
      <x:c r="H161" s="14" t="str">
        <x:v>medium</x:v>
      </x:c>
      <x:c r="I161" s="14" t="str">
        <x:v>src-pleiades-148127</x:v>
      </x:c>
      <x:c r="J161" s="16" t="str">
        <x:v>metropolis_el: Φώκαια</x:v>
      </x:c>
      <x:c r="K161" s="14" t="str">
        <x:v>reviewed</x:v>
      </x:c>
    </x:row>
    <x:row r="162" ht="52" customHeight="1">
      <x:c r="A162" s="14" t="str">
        <x:v>rel-851f304c7bd5</x:v>
      </x:c>
      <x:c r="B162" s="14" t="str">
        <x:v>colony-gela</x:v>
      </x:c>
      <x:c r="C162" s="14" t="str">
        <x:v>founded_from</x:v>
      </x:c>
      <x:c r="D162" s="14"/>
      <x:c r="E162" s="14" t="str">
        <x:v>settlement-rodos-kai-krete</x:v>
      </x:c>
      <x:c r="F162" s="16" t="str">
        <x:v>Ρόδος και Κρήτη</x:v>
      </x:c>
      <x:c r="G162" s="16" t="str">
        <x:v>Rhodes and Crete</x:v>
      </x:c>
      <x:c r="H162" s="14" t="str">
        <x:v>medium</x:v>
      </x:c>
      <x:c r="I162" s="14" t="str">
        <x:v>src-pleiades-462214</x:v>
      </x:c>
      <x:c r="J162" s="16" t="str">
        <x:v>metropolis_el: Ρόδος και Κρήτη</x:v>
      </x:c>
      <x:c r="K162" s="14" t="str">
        <x:v>reviewed</x:v>
      </x:c>
    </x:row>
    <x:row r="163" ht="52" customHeight="1">
      <x:c r="A163" s="14" t="str">
        <x:v>rel-852b3bd1a370</x:v>
      </x:c>
      <x:c r="B163" s="14" t="str">
        <x:v>sanctuary-samos-heraion</x:v>
      </x:c>
      <x:c r="C163" s="14" t="str">
        <x:v>cult_of</x:v>
      </x:c>
      <x:c r="D163" s="14"/>
      <x:c r="E163" s="14" t="str">
        <x:v>deity_or_cult-era-samia</x:v>
      </x:c>
      <x:c r="F163" s="16" t="str">
        <x:v>Ήρα Σαμία</x:v>
      </x:c>
      <x:c r="G163" s="16" t="str">
        <x:v>Samian Hera</x:v>
      </x:c>
      <x:c r="H163" s="14" t="str">
        <x:v>medium</x:v>
      </x:c>
      <x:c r="I163" s="14" t="str">
        <x:v>src-pleiades-599641</x:v>
      </x:c>
      <x:c r="J163" s="16" t="str">
        <x:v>deity_or_cult_el: Ήρα Σαμία</x:v>
      </x:c>
      <x:c r="K163" s="14" t="str">
        <x:v>reviewed</x:v>
      </x:c>
    </x:row>
    <x:row r="164" ht="52" customHeight="1">
      <x:c r="A164" s="14" t="str">
        <x:v>rel-87376708b0bc</x:v>
      </x:c>
      <x:c r="B164" s="14" t="str">
        <x:v>kingdom-ptolemaic-egypt</x:v>
      </x:c>
      <x:c r="C164" s="14" t="str">
        <x:v>ruled_by_dynasty</x:v>
      </x:c>
      <x:c r="D164" s="14"/>
      <x:c r="E164" s="14" t="str">
        <x:v>dynasty-ptolemaioi-lagides</x:v>
      </x:c>
      <x:c r="F164" s="16" t="str">
        <x:v>Πτολεμαίοι / Λαγίδες</x:v>
      </x:c>
      <x:c r="G164" s="16" t="str">
        <x:v>Ptolemies / Lagids</x:v>
      </x:c>
      <x:c r="H164" s="14" t="str">
        <x:v>medium</x:v>
      </x:c>
      <x:c r="I164" s="14" t="str">
        <x:v>src-metmuseum-9200258a95cb</x:v>
      </x:c>
      <x:c r="J164" s="16" t="str">
        <x:v>dynasty_el: Πτολεμαίοι / Λαγίδες</x:v>
      </x:c>
      <x:c r="K164" s="14" t="str">
        <x:v>reviewed</x:v>
      </x:c>
    </x:row>
    <x:row r="165" ht="52" customHeight="1">
      <x:c r="A165" s="14" t="str">
        <x:v>rel-874d8d910565</x:v>
      </x:c>
      <x:c r="B165" s="14" t="str">
        <x:v>kingdom-iolcos-palatial</x:v>
      </x:c>
      <x:c r="C165" s="14" t="str">
        <x:v>succeeded_by</x:v>
      </x:c>
      <x:c r="D165" s="14"/>
      <x:c r="E165" s="14" t="str">
        <x:v>polity-metanaktorikes-thessalikes-koinotetes</x:v>
      </x:c>
      <x:c r="F165" s="16" t="str">
        <x:v>Μετανακτορικές θεσσαλικές κοινότητες</x:v>
      </x:c>
      <x:c r="G165" s="16" t="str">
        <x:v>Post-palatial Thessalian communities</x:v>
      </x:c>
      <x:c r="H165" s="14" t="str">
        <x:v>medium</x:v>
      </x:c>
      <x:c r="I165" s="14" t="str">
        <x:v>src-odysseus-589898851f92</x:v>
      </x:c>
      <x:c r="J165" s="16" t="str">
        <x:v>successor_el: Μετανακτορικές θεσσαλικές κοινότητες</x:v>
      </x:c>
      <x:c r="K165" s="14" t="str">
        <x:v>reviewed</x:v>
      </x:c>
    </x:row>
    <x:row r="166" ht="52" customHeight="1">
      <x:c r="A166" s="14" t="str">
        <x:v>rel-876ede119e3a</x:v>
      </x:c>
      <x:c r="B166" s="14" t="str">
        <x:v>sanctuary-brauron-artemis-sanctuary</x:v>
      </x:c>
      <x:c r="C166" s="14" t="str">
        <x:v>cult_of</x:v>
      </x:c>
      <x:c r="D166" s="14"/>
      <x:c r="E166" s="14" t="str">
        <x:v>deity_or_cult-artemis-brayronia-kai-iphigeneia</x:v>
      </x:c>
      <x:c r="F166" s="16" t="str">
        <x:v>Άρτεμις Βραυρωνία και Ιφιγένεια</x:v>
      </x:c>
      <x:c r="G166" s="16" t="str">
        <x:v>Artemis Brauronia and Iphigenia</x:v>
      </x:c>
      <x:c r="H166" s="14" t="str">
        <x:v>medium</x:v>
      </x:c>
      <x:c r="I166" s="14" t="str">
        <x:v>src-pleiades-579879</x:v>
      </x:c>
      <x:c r="J166" s="16" t="str">
        <x:v>deity_or_cult_el: Άρτεμις Βραυρωνία και Ιφιγένεια</x:v>
      </x:c>
      <x:c r="K166" s="14" t="str">
        <x:v>reviewed</x:v>
      </x:c>
    </x:row>
    <x:row r="167" ht="52" customHeight="1">
      <x:c r="A167" s="14" t="str">
        <x:v>rel-87f68a77a361</x:v>
      </x:c>
      <x:c r="B167" s="14" t="str">
        <x:v>sanctuary-selinous-demeter-malophoros-sanctuary</x:v>
      </x:c>
      <x:c r="C167" s="14" t="str">
        <x:v>associated_with_settlement</x:v>
      </x:c>
      <x:c r="D167" s="14" t="str">
        <x:v>colony-selinus</x:v>
      </x:c>
      <x:c r="E167" s="14"/>
      <x:c r="F167" s="16" t="str">
        <x:v>Σελινούντας</x:v>
      </x:c>
      <x:c r="G167" s="16" t="str">
        <x:v>Selinus</x:v>
      </x:c>
      <x:c r="H167" s="14" t="str">
        <x:v>high</x:v>
      </x:c>
      <x:c r="I167" s="14" t="str">
        <x:v>src-pleiades-502577471</x:v>
      </x:c>
      <x:c r="J167" s="16" t="str">
        <x:v>Ρητή επιμελητική σύνδεση του ιερού της Μαλοφόρου με τον Σελινούντα.</x:v>
      </x:c>
      <x:c r="K167" s="14" t="str">
        <x:v>reviewed</x:v>
      </x:c>
    </x:row>
    <x:row r="168" ht="52" customHeight="1">
      <x:c r="A168" s="14" t="str">
        <x:v>rel-8802ca1f0aaa</x:v>
      </x:c>
      <x:c r="B168" s="14" t="str">
        <x:v>kingdom-commagene</x:v>
      </x:c>
      <x:c r="C168" s="14" t="str">
        <x:v>preceded_by</x:v>
      </x:c>
      <x:c r="D168" s="14"/>
      <x:c r="E168" s="14" t="str">
        <x:v>polity-seleykidike-satrapeia-kommagenes</x:v>
      </x:c>
      <x:c r="F168" s="16" t="str">
        <x:v>Σελευκιδική σατραπεία Κομμαγηνής</x:v>
      </x:c>
      <x:c r="G168" s="16" t="str">
        <x:v>Seleucid satrapy of Commagene</x:v>
      </x:c>
      <x:c r="H168" s="14" t="str">
        <x:v>medium</x:v>
      </x:c>
      <x:c r="I168" s="14" t="str">
        <x:v>src-whc-758c2c416617</x:v>
      </x:c>
      <x:c r="J168" s="16" t="str">
        <x:v>predecessor_el: Σελευκιδική σατραπεία Κομμαγηνής</x:v>
      </x:c>
      <x:c r="K168" s="14" t="str">
        <x:v>reviewed</x:v>
      </x:c>
    </x:row>
    <x:row r="169" ht="52" customHeight="1">
      <x:c r="A169" s="14" t="str">
        <x:v>rel-88d260f508d3</x:v>
      </x:c>
      <x:c r="B169" s="14" t="str">
        <x:v>sanctuary-letoon-lycian-sanctuary</x:v>
      </x:c>
      <x:c r="C169" s="14" t="str">
        <x:v>cult_of</x:v>
      </x:c>
      <x:c r="D169" s="14"/>
      <x:c r="E169" s="14" t="str">
        <x:v>deity_or_cult-leto-apollon-kai-artemis</x:v>
      </x:c>
      <x:c r="F169" s="16" t="str">
        <x:v>Λητώ, Απόλλων και Άρτεμις</x:v>
      </x:c>
      <x:c r="G169" s="16" t="str">
        <x:v>Leto, Apollo and Artemis</x:v>
      </x:c>
      <x:c r="H169" s="14" t="str">
        <x:v>medium</x:v>
      </x:c>
      <x:c r="I169" s="14" t="str">
        <x:v>src-pleiades-638958</x:v>
      </x:c>
      <x:c r="J169" s="16" t="str">
        <x:v>deity_or_cult_el: Λητώ, Απόλλων και Άρτεμις</x:v>
      </x:c>
      <x:c r="K169" s="14" t="str">
        <x:v>reviewed</x:v>
      </x:c>
    </x:row>
    <x:row r="170" ht="52" customHeight="1">
      <x:c r="A170" s="14" t="str">
        <x:v>rel-8a013ce85862</x:v>
      </x:c>
      <x:c r="B170" s="14" t="str">
        <x:v>sanctuary-lindos-athena-sanctuary</x:v>
      </x:c>
      <x:c r="C170" s="14" t="str">
        <x:v>cult_of</x:v>
      </x:c>
      <x:c r="D170" s="14"/>
      <x:c r="E170" s="14" t="str">
        <x:v>deity_or_cult-athena-lindia</x:v>
      </x:c>
      <x:c r="F170" s="16" t="str">
        <x:v>Αθηνά Λινδία</x:v>
      </x:c>
      <x:c r="G170" s="16" t="str">
        <x:v>Athena Lindia</x:v>
      </x:c>
      <x:c r="H170" s="14" t="str">
        <x:v>medium</x:v>
      </x:c>
      <x:c r="I170" s="14" t="str">
        <x:v>src-pleiades-414067217</x:v>
      </x:c>
      <x:c r="J170" s="16" t="str">
        <x:v>deity_or_cult_el: Αθηνά Λινδία</x:v>
      </x:c>
      <x:c r="K170" s="14" t="str">
        <x:v>reviewed</x:v>
      </x:c>
    </x:row>
    <x:row r="171" ht="52" customHeight="1">
      <x:c r="A171" s="14" t="str">
        <x:v>rel-8ad3d53dc913</x:v>
      </x:c>
      <x:c r="B171" s="14" t="str">
        <x:v>kingdom-indo-greek-early</x:v>
      </x:c>
      <x:c r="C171" s="14" t="str">
        <x:v>preceded_by</x:v>
      </x:c>
      <x:c r="D171" s="14"/>
      <x:c r="E171" s="14" t="str">
        <x:v>polity-ellenobaktriane-epektase-notia-toy-indokoys</x:v>
      </x:c>
      <x:c r="F171" s="16" t="str">
        <x:v>Ελληνοβακτριανή επέκταση νότια του Ινδοκούς</x:v>
      </x:c>
      <x:c r="G171" s="16" t="str">
        <x:v>Greco-Bactrian expansion south of the Hindu Kush</x:v>
      </x:c>
      <x:c r="H171" s="14" t="str">
        <x:v>medium</x:v>
      </x:c>
      <x:c r="I171" s="14" t="str">
        <x:v>src-iranicaonline-612dff96c99c</x:v>
      </x:c>
      <x:c r="J171" s="16" t="str">
        <x:v>predecessor_el: Ελληνοβακτριανή επέκταση νότια του Ινδοκούς</x:v>
      </x:c>
      <x:c r="K171" s="14" t="str">
        <x:v>reviewed</x:v>
      </x:c>
    </x:row>
    <x:row r="172" ht="52" customHeight="1">
      <x:c r="A172" s="14" t="str">
        <x:v>rel-8c165342d1de</x:v>
      </x:c>
      <x:c r="B172" s="14" t="str">
        <x:v>kingdom-syracuse-agathocles</x:v>
      </x:c>
      <x:c r="C172" s="14" t="str">
        <x:v>representative_center</x:v>
      </x:c>
      <x:c r="D172" s="14" t="str">
        <x:v>colony-syracuse</x:v>
      </x:c>
      <x:c r="E172" s="14"/>
      <x:c r="F172" s="16" t="str">
        <x:v>Συρακούσες</x:v>
      </x:c>
      <x:c r="G172" s="16" t="str">
        <x:v>Syracuse</x:v>
      </x:c>
      <x:c r="H172" s="14" t="str">
        <x:v>high</x:v>
      </x:c>
      <x:c r="I172" s="14" t="str">
        <x:v>src-britishmuseum-073d3f0a8ae4</x:v>
      </x:c>
      <x:c r="J172" s="16" t="str">
        <x:v>representative_center_el: Συρακούσες</x:v>
      </x:c>
      <x:c r="K172" s="14" t="str">
        <x:v>reviewed</x:v>
      </x:c>
    </x:row>
    <x:row r="173" ht="52" customHeight="1">
      <x:c r="A173" s="14" t="str">
        <x:v>rel-8c18a75399cb</x:v>
      </x:c>
      <x:c r="B173" s="14" t="str">
        <x:v>sanctuary-nemea-zeus-sanctuary</x:v>
      </x:c>
      <x:c r="C173" s="14" t="str">
        <x:v>cult_of</x:v>
      </x:c>
      <x:c r="D173" s="14"/>
      <x:c r="E173" s="14" t="str">
        <x:v>deity_or_cult-zeys-nemeios</x:v>
      </x:c>
      <x:c r="F173" s="16" t="str">
        <x:v>Ζευς Νέμειος</x:v>
      </x:c>
      <x:c r="G173" s="16" t="str">
        <x:v>Nemean Zeus</x:v>
      </x:c>
      <x:c r="H173" s="14" t="str">
        <x:v>medium</x:v>
      </x:c>
      <x:c r="I173" s="14" t="str">
        <x:v>src-pleiades-570504</x:v>
      </x:c>
      <x:c r="J173" s="16" t="str">
        <x:v>deity_or_cult_el: Ζευς Νέμειος</x:v>
      </x:c>
      <x:c r="K173" s="14" t="str">
        <x:v>reviewed</x:v>
      </x:c>
    </x:row>
    <x:row r="174" ht="52" customHeight="1">
      <x:c r="A174" s="14" t="str">
        <x:v>rel-8c924ef3dc9a</x:v>
      </x:c>
      <x:c r="B174" s="14" t="str">
        <x:v>colony-chersonesus-taurica</x:v>
      </x:c>
      <x:c r="C174" s="14" t="str">
        <x:v>founded_from</x:v>
      </x:c>
      <x:c r="D174" s="14" t="str">
        <x:v>colony-heraclea-pontica</x:v>
      </x:c>
      <x:c r="E174" s="14"/>
      <x:c r="F174" s="16" t="str">
        <x:v>Ηράκλεια Ποντική</x:v>
      </x:c>
      <x:c r="G174" s="16" t="str">
        <x:v>Heraclea Pontica</x:v>
      </x:c>
      <x:c r="H174" s="14" t="str">
        <x:v>medium</x:v>
      </x:c>
      <x:c r="I174" s="14" t="str">
        <x:v>src-pleiades-226564</x:v>
      </x:c>
      <x:c r="J174" s="16" t="str">
        <x:v>metropolis_el: Ηράκλεια Ποντική</x:v>
      </x:c>
      <x:c r="K174" s="14" t="str">
        <x:v>reviewed</x:v>
      </x:c>
    </x:row>
    <x:row r="175" ht="52" customHeight="1">
      <x:c r="A175" s="14" t="str">
        <x:v>rel-8d3cc8053ccd</x:v>
      </x:c>
      <x:c r="B175" s="14" t="str">
        <x:v>sanctuary-delphi-apollo-sanctuary</x:v>
      </x:c>
      <x:c r="C175" s="14" t="str">
        <x:v>cult_of</x:v>
      </x:c>
      <x:c r="D175" s="14"/>
      <x:c r="E175" s="14" t="str">
        <x:v>deity_or_cult-apollon-pythios</x:v>
      </x:c>
      <x:c r="F175" s="16" t="str">
        <x:v>Απόλλων Πύθιος</x:v>
      </x:c>
      <x:c r="G175" s="16" t="str">
        <x:v>Apollo Pythios</x:v>
      </x:c>
      <x:c r="H175" s="14" t="str">
        <x:v>medium</x:v>
      </x:c>
      <x:c r="I175" s="14" t="str">
        <x:v>src-pleiades-540726</x:v>
      </x:c>
      <x:c r="J175" s="16" t="str">
        <x:v>deity_or_cult_el: Απόλλων Πύθιος</x:v>
      </x:c>
      <x:c r="K175" s="14" t="str">
        <x:v>reviewed</x:v>
      </x:c>
    </x:row>
    <x:row r="176" ht="52" customHeight="1">
      <x:c r="A176" s="14" t="str">
        <x:v>rel-903b23fcf7cc</x:v>
      </x:c>
      <x:c r="B176" s="14" t="str">
        <x:v>kingdom-macedon-kassandrid</x:v>
      </x:c>
      <x:c r="C176" s="14" t="str">
        <x:v>succeeded_by</x:v>
      </x:c>
      <x:c r="D176" s="14"/>
      <x:c r="E176" s="14" t="str">
        <x:v>polity-bracheies-basileies-demetrioy-pyrroy-kai-lysimachoy</x:v>
      </x:c>
      <x:c r="F176" s="16" t="str">
        <x:v>Βραχείες βασιλείες Δημητρίου, Πύρρου και Λυσιμάχου</x:v>
      </x:c>
      <x:c r="G176" s="16" t="str">
        <x:v>Short reigns of Demetrius, Pyrrhus and Lysimachus</x:v>
      </x:c>
      <x:c r="H176" s="14" t="str">
        <x:v>medium</x:v>
      </x:c>
      <x:c r="I176" s="14" t="str">
        <x:v>src-metmuseum-50fe20dc493f</x:v>
      </x:c>
      <x:c r="J176" s="16" t="str">
        <x:v>successor_el: Βραχείες βασιλείες Δημητρίου, Πύρρου και Λυσιμάχου</x:v>
      </x:c>
      <x:c r="K176" s="14" t="str">
        <x:v>reviewed</x:v>
      </x:c>
    </x:row>
    <x:row r="177" ht="52" customHeight="1">
      <x:c r="A177" s="14" t="str">
        <x:v>rel-90ccf2bb71f3</x:v>
      </x:c>
      <x:c r="B177" s="14" t="str">
        <x:v>colony-ephesus</x:v>
      </x:c>
      <x:c r="C177" s="14" t="str">
        <x:v>founded_from</x:v>
      </x:c>
      <x:c r="D177" s="14"/>
      <x:c r="E177" s="14" t="str">
        <x:v>settlement-athena-ionike-paradose</x:v>
      </x:c>
      <x:c r="F177" s="16" t="str">
        <x:v>Αθήνα (ιωνική παράδοση)</x:v>
      </x:c>
      <x:c r="G177" s="16" t="str">
        <x:v>Athens (Ionic tradition)</x:v>
      </x:c>
      <x:c r="H177" s="14" t="str">
        <x:v>medium</x:v>
      </x:c>
      <x:c r="I177" s="14" t="str">
        <x:v>src-pleiades-599612</x:v>
      </x:c>
      <x:c r="J177" s="16" t="str">
        <x:v>metropolis_el: Αθήνα (ιωνική παράδοση)</x:v>
      </x:c>
      <x:c r="K177" s="14" t="str">
        <x:v>reviewed</x:v>
      </x:c>
    </x:row>
    <x:row r="178" ht="52" customHeight="1">
      <x:c r="A178" s="14" t="str">
        <x:v>rel-9110eb86012d</x:v>
      </x:c>
      <x:c r="B178" s="14" t="str">
        <x:v>colony-metapontum</x:v>
      </x:c>
      <x:c r="C178" s="14" t="str">
        <x:v>founded_from</x:v>
      </x:c>
      <x:c r="D178" s="14"/>
      <x:c r="E178" s="14" t="str">
        <x:v>settlement-achaia</x:v>
      </x:c>
      <x:c r="F178" s="16" t="str">
        <x:v>Αχαΐα</x:v>
      </x:c>
      <x:c r="G178" s="16" t="str">
        <x:v>Achaia</x:v>
      </x:c>
      <x:c r="H178" s="14" t="str">
        <x:v>medium</x:v>
      </x:c>
      <x:c r="I178" s="14" t="str">
        <x:v>src-pleiades-442658</x:v>
      </x:c>
      <x:c r="J178" s="16" t="str">
        <x:v>metropolis_el: Αχαΐα</x:v>
      </x:c>
      <x:c r="K178" s="14" t="str">
        <x:v>reviewed</x:v>
      </x:c>
    </x:row>
    <x:row r="179" ht="52" customHeight="1">
      <x:c r="A179" s="14" t="str">
        <x:v>rel-93279ebe08e9</x:v>
      </x:c>
      <x:c r="B179" s="14" t="str">
        <x:v>sanctuary-argive-heraion</x:v>
      </x:c>
      <x:c r="C179" s="14" t="str">
        <x:v>associated_with_settlement</x:v>
      </x:c>
      <x:c r="D179" s="14" t="str">
        <x:v>city-argos</x:v>
      </x:c>
      <x:c r="E179" s="14"/>
      <x:c r="F179" s="16" t="str">
        <x:v>Άργος</x:v>
      </x:c>
      <x:c r="G179" s="16" t="str">
        <x:v>Argos</x:v>
      </x:c>
      <x:c r="H179" s="14" t="str">
        <x:v>medium</x:v>
      </x:c>
      <x:c r="I179" s="14" t="str">
        <x:v>src-pleiades-570289</x:v>
      </x:c>
      <x:c r="J179" s="16" t="str">
        <x:v>Το Αργείο Ηραίο συνδέεται επιμελητικά με το Άργος χωρίς να θεωρείται αστικό μνημείο.</x:v>
      </x:c>
      <x:c r="K179" s="14" t="str">
        <x:v>reviewed</x:v>
      </x:c>
    </x:row>
    <x:row r="180" ht="52" customHeight="1">
      <x:c r="A180" s="14" t="str">
        <x:v>rel-938b038654f1</x:v>
      </x:c>
      <x:c r="B180" s="14" t="str">
        <x:v>kingdom-bithynia</x:v>
      </x:c>
      <x:c r="C180" s="14" t="str">
        <x:v>succeeded_by</x:v>
      </x:c>
      <x:c r="D180" s="14"/>
      <x:c r="E180" s="14" t="str">
        <x:v>polity-romaike-eparchia-bithynia</x:v>
      </x:c>
      <x:c r="F180" s="16" t="str">
        <x:v>Ρωμαϊκή επαρχία Βιθυνία</x:v>
      </x:c>
      <x:c r="G180" s="16" t="str">
        <x:v>Roman province of Bithynia</x:v>
      </x:c>
      <x:c r="H180" s="14" t="str">
        <x:v>medium</x:v>
      </x:c>
      <x:c r="I180" s="14" t="str">
        <x:v>src-attalus-1b40f4436114</x:v>
      </x:c>
      <x:c r="J180" s="16" t="str">
        <x:v>successor_el: Ρωμαϊκή επαρχία Βιθυνία</x:v>
      </x:c>
      <x:c r="K180" s="14" t="str">
        <x:v>reviewed</x:v>
      </x:c>
    </x:row>
    <x:row r="181" ht="52" customHeight="1">
      <x:c r="A181" s="14" t="str">
        <x:v>rel-93af4470cc67</x:v>
      </x:c>
      <x:c r="B181" s="14" t="str">
        <x:v>colony-cyzicus</x:v>
      </x:c>
      <x:c r="C181" s="14" t="str">
        <x:v>founded_from</x:v>
      </x:c>
      <x:c r="D181" s="14" t="str">
        <x:v>colony-miletus</x:v>
      </x:c>
      <x:c r="E181" s="14"/>
      <x:c r="F181" s="16" t="str">
        <x:v>Μίλητος</x:v>
      </x:c>
      <x:c r="G181" s="16" t="str">
        <x:v>Miletus</x:v>
      </x:c>
      <x:c r="H181" s="14" t="str">
        <x:v>medium</x:v>
      </x:c>
      <x:c r="I181" s="14" t="str">
        <x:v>src-pleiades-511218</x:v>
      </x:c>
      <x:c r="J181" s="16" t="str">
        <x:v>metropolis_el: Μίλητος</x:v>
      </x:c>
      <x:c r="K181" s="14" t="str">
        <x:v>reviewed</x:v>
      </x:c>
    </x:row>
    <x:row r="182" ht="52" customHeight="1">
      <x:c r="A182" s="14" t="str">
        <x:v>rel-947c84c9b0aa</x:v>
      </x:c>
      <x:c r="B182" s="14" t="str">
        <x:v>kingdom-bosporus-mithridatic</x:v>
      </x:c>
      <x:c r="C182" s="14" t="str">
        <x:v>representative_center</x:v>
      </x:c>
      <x:c r="D182" s="14"/>
      <x:c r="E182" s="14" t="str">
        <x:v>settlement-pantikapaion-kerts</x:v>
      </x:c>
      <x:c r="F182" s="16" t="str">
        <x:v>Παντικάπαιον, Κερτς</x:v>
      </x:c>
      <x:c r="G182" s="16" t="str">
        <x:v>Pantikapaion, Kerch</x:v>
      </x:c>
      <x:c r="H182" s="14" t="str">
        <x:v>high</x:v>
      </x:c>
      <x:c r="I182" s="14" t="str">
        <x:v>src-iranicaonline-4a607235e191</x:v>
      </x:c>
      <x:c r="J182" s="16" t="str">
        <x:v>representative_center_el: Παντικάπαιον, Κερτς</x:v>
      </x:c>
      <x:c r="K182" s="14" t="str">
        <x:v>reviewed</x:v>
      </x:c>
    </x:row>
    <x:row r="183" ht="52" customHeight="1">
      <x:c r="A183" s="14" t="str">
        <x:v>rel-951251156010</x:v>
      </x:c>
      <x:c r="B183" s="14" t="str">
        <x:v>kingdom-alexander-empire</x:v>
      </x:c>
      <x:c r="C183" s="14" t="str">
        <x:v>succeeded_by</x:v>
      </x:c>
      <x:c r="D183" s="14"/>
      <x:c r="E183" s="14" t="str">
        <x:v>polity-metalexandreia-antibasileia-kai-basileia-ton-diadochon</x:v>
      </x:c>
      <x:c r="F183" s="16" t="str">
        <x:v>Μεταλεξάνδρεια αντιβασιλεία και βασίλεια των Διαδόχων</x:v>
      </x:c>
      <x:c r="G183" s="16" t="str">
        <x:v>Post-Alexandrian viceroyalty and successor kingdoms</x:v>
      </x:c>
      <x:c r="H183" s="14" t="str">
        <x:v>medium</x:v>
      </x:c>
      <x:c r="I183" s="14" t="str">
        <x:v>src-metmuseum-89019924e8c3</x:v>
      </x:c>
      <x:c r="J183" s="16" t="str">
        <x:v>successor_el: Μεταλεξάνδρεια αντιβασιλεία και βασίλεια των Διαδόχων</x:v>
      </x:c>
      <x:c r="K183" s="14" t="str">
        <x:v>reviewed</x:v>
      </x:c>
    </x:row>
    <x:row r="184" ht="52" customHeight="1">
      <x:c r="A184" s="14" t="str">
        <x:v>rel-9606cfba3239</x:v>
      </x:c>
      <x:c r="B184" s="14" t="str">
        <x:v>colony-myrina-aeolis</x:v>
      </x:c>
      <x:c r="C184" s="14" t="str">
        <x:v>founded_from</x:v>
      </x:c>
      <x:c r="D184" s="14"/>
      <x:c r="E184" s="14" t="str">
        <x:v>settlement-kyme-aiolike-paradose</x:v>
      </x:c>
      <x:c r="F184" s="16" t="str">
        <x:v>Κύμη (αιολική παράδοση)</x:v>
      </x:c>
      <x:c r="G184" s="16" t="str">
        <x:v>Cyme (Aeolian tradition)</x:v>
      </x:c>
      <x:c r="H184" s="14" t="str">
        <x:v>medium</x:v>
      </x:c>
      <x:c r="I184" s="14" t="str">
        <x:v>src-pleiades-550756</x:v>
      </x:c>
      <x:c r="J184" s="16" t="str">
        <x:v>metropolis_el: Κύμη (αιολική παράδοση)</x:v>
      </x:c>
      <x:c r="K184" s="14" t="str">
        <x:v>reviewed</x:v>
      </x:c>
    </x:row>
    <x:row r="185" ht="52" customHeight="1">
      <x:c r="A185" s="14" t="str">
        <x:v>rel-961e23983788</x:v>
      </x:c>
      <x:c r="B185" s="14" t="str">
        <x:v>kingdom-paphos-cyprus</x:v>
      </x:c>
      <x:c r="C185" s="14" t="str">
        <x:v>succeeded_by</x:v>
      </x:c>
      <x:c r="D185" s="14"/>
      <x:c r="E185" s="14" t="str">
        <x:v>polity-ptolemaike-dioikese-tes-kyproy</x:v>
      </x:c>
      <x:c r="F185" s="16" t="str">
        <x:v>Πτολεμαϊκή διοίκηση της Κύπρου</x:v>
      </x:c>
      <x:c r="G185" s="16" t="str">
        <x:v>Ptolemaic administration of Cyprus</x:v>
      </x:c>
      <x:c r="H185" s="14" t="str">
        <x:v>medium</x:v>
      </x:c>
      <x:c r="I185" s="14" t="str">
        <x:v>src-websites-d5246844b076</x:v>
      </x:c>
      <x:c r="J185" s="16" t="str">
        <x:v>successor_el: Πτολεμαϊκή διοίκηση της Κύπρου</x:v>
      </x:c>
      <x:c r="K185" s="14" t="str">
        <x:v>reviewed</x:v>
      </x:c>
    </x:row>
    <x:row r="186" ht="52" customHeight="1">
      <x:c r="A186" s="14" t="str">
        <x:v>rel-96241e6062c8</x:v>
      </x:c>
      <x:c r="B186" s="14" t="str">
        <x:v>colony-sybaris</x:v>
      </x:c>
      <x:c r="C186" s="14" t="str">
        <x:v>founded_from</x:v>
      </x:c>
      <x:c r="D186" s="14"/>
      <x:c r="E186" s="14" t="str">
        <x:v>settlement-achaia</x:v>
      </x:c>
      <x:c r="F186" s="16" t="str">
        <x:v>Αχαΐα</x:v>
      </x:c>
      <x:c r="G186" s="16" t="str">
        <x:v>Achaia</x:v>
      </x:c>
      <x:c r="H186" s="14" t="str">
        <x:v>medium</x:v>
      </x:c>
      <x:c r="I186" s="14" t="str">
        <x:v>src-pleiades-452457</x:v>
      </x:c>
      <x:c r="J186" s="16" t="str">
        <x:v>metropolis_el: Αχαΐα</x:v>
      </x:c>
      <x:c r="K186" s="14" t="str">
        <x:v>reviewed</x:v>
      </x:c>
    </x:row>
    <x:row r="187" ht="52" customHeight="1">
      <x:c r="A187" s="14" t="str">
        <x:v>rel-96871869d286</x:v>
      </x:c>
      <x:c r="B187" s="14" t="str">
        <x:v>colony-issa-vis</x:v>
      </x:c>
      <x:c r="C187" s="14" t="str">
        <x:v>founded_from</x:v>
      </x:c>
      <x:c r="D187" s="14" t="str">
        <x:v>colony-syracuse</x:v>
      </x:c>
      <x:c r="E187" s="14"/>
      <x:c r="F187" s="16" t="str">
        <x:v>Συρακούσες</x:v>
      </x:c>
      <x:c r="G187" s="16" t="str">
        <x:v>Syracuse</x:v>
      </x:c>
      <x:c r="H187" s="14" t="str">
        <x:v>medium</x:v>
      </x:c>
      <x:c r="I187" s="14" t="str">
        <x:v>src-armus-4dde844bac8f</x:v>
      </x:c>
      <x:c r="J187" s="16" t="str">
        <x:v>metropolis_el: Συρακούσες</x:v>
      </x:c>
      <x:c r="K187" s="14" t="str">
        <x:v>reviewed</x:v>
      </x:c>
    </x:row>
    <x:row r="188" ht="52" customHeight="1">
      <x:c r="A188" s="14" t="str">
        <x:v>rel-96d0a04427af</x:v>
      </x:c>
      <x:c r="B188" s="14" t="str">
        <x:v>sanctuary-dodona-zeus-oracle</x:v>
      </x:c>
      <x:c r="C188" s="14" t="str">
        <x:v>cult_of</x:v>
      </x:c>
      <x:c r="D188" s="14"/>
      <x:c r="E188" s="14" t="str">
        <x:v>deity_or_cult-dias-naios-kai-dione</x:v>
      </x:c>
      <x:c r="F188" s="16" t="str">
        <x:v>Δίας Νάιος και Διώνη</x:v>
      </x:c>
      <x:c r="G188" s="16" t="str">
        <x:v>Zeus Naios and Dione</x:v>
      </x:c>
      <x:c r="H188" s="14" t="str">
        <x:v>medium</x:v>
      </x:c>
      <x:c r="I188" s="14" t="str">
        <x:v>src-pleiades-530843</x:v>
      </x:c>
      <x:c r="J188" s="16" t="str">
        <x:v>deity_or_cult_el: Δίας Νάιος και Διώνη</x:v>
      </x:c>
      <x:c r="K188" s="14" t="str">
        <x:v>reviewed</x:v>
      </x:c>
    </x:row>
    <x:row r="189" ht="52" customHeight="1">
      <x:c r="A189" s="14" t="str">
        <x:v>rel-974ccf01580a</x:v>
      </x:c>
      <x:c r="B189" s="14" t="str">
        <x:v>kingdom-greco-bactrian-diodotid</x:v>
      </x:c>
      <x:c r="C189" s="14" t="str">
        <x:v>representative_center</x:v>
      </x:c>
      <x:c r="D189" s="14"/>
      <x:c r="E189" s="14" t="str">
        <x:v>settlement-baktra</x:v>
      </x:c>
      <x:c r="F189" s="16" t="str">
        <x:v>Βάκτρα</x:v>
      </x:c>
      <x:c r="G189" s="16" t="str">
        <x:v>Bactra</x:v>
      </x:c>
      <x:c r="H189" s="14" t="str">
        <x:v>high</x:v>
      </x:c>
      <x:c r="I189" s="14" t="str">
        <x:v>src-metmuseum-50fe20dc493f</x:v>
      </x:c>
      <x:c r="J189" s="16" t="str">
        <x:v>representative_center_el: Βάκτρα</x:v>
      </x:c>
      <x:c r="K189" s="14" t="str">
        <x:v>reviewed</x:v>
      </x:c>
    </x:row>
    <x:row r="190" ht="52" customHeight="1">
      <x:c r="A190" s="14" t="str">
        <x:v>rel-97e527b87974</x:v>
      </x:c>
      <x:c r="B190" s="14" t="str">
        <x:v>colony-rhegion</x:v>
      </x:c>
      <x:c r="C190" s="14" t="str">
        <x:v>founded_from</x:v>
      </x:c>
      <x:c r="D190" s="14" t="str">
        <x:v>city-chalcis-euboea</x:v>
      </x:c>
      <x:c r="E190" s="14"/>
      <x:c r="F190" s="16" t="str">
        <x:v>Χαλκίδα</x:v>
      </x:c>
      <x:c r="G190" s="16" t="str">
        <x:v>Chalcis</x:v>
      </x:c>
      <x:c r="H190" s="14" t="str">
        <x:v>medium</x:v>
      </x:c>
      <x:c r="I190" s="14" t="str">
        <x:v>src-pleiades-452416</x:v>
      </x:c>
      <x:c r="J190" s="16" t="str">
        <x:v>metropolis_el: Χαλκίδα</x:v>
      </x:c>
      <x:c r="K190" s="14" t="str">
        <x:v>reviewed</x:v>
      </x:c>
    </x:row>
    <x:row r="191" ht="52" customHeight="1">
      <x:c r="A191" s="14" t="str">
        <x:v>rel-980c81530bda</x:v>
      </x:c>
      <x:c r="B191" s="14" t="str">
        <x:v>colony-pharos-hvar</x:v>
      </x:c>
      <x:c r="C191" s="14" t="str">
        <x:v>founded_from</x:v>
      </x:c>
      <x:c r="D191" s="14"/>
      <x:c r="E191" s="14" t="str">
        <x:v>settlement-paros</x:v>
      </x:c>
      <x:c r="F191" s="16" t="str">
        <x:v>Πάρος</x:v>
      </x:c>
      <x:c r="G191" s="16" t="str">
        <x:v>Paros</x:v>
      </x:c>
      <x:c r="H191" s="14" t="str">
        <x:v>medium</x:v>
      </x:c>
      <x:c r="I191" s="14" t="str">
        <x:v>src-pleiades-197433</x:v>
      </x:c>
      <x:c r="J191" s="16" t="str">
        <x:v>metropolis_el: Πάρος</x:v>
      </x:c>
      <x:c r="K191" s="14" t="str">
        <x:v>reviewed</x:v>
      </x:c>
    </x:row>
    <x:row r="192" ht="52" customHeight="1">
      <x:c r="A192" s="14" t="str">
        <x:v>rel-99d9b6041bc5</x:v>
      </x:c>
      <x:c r="B192" s="14" t="str">
        <x:v>kingdom-commagene</x:v>
      </x:c>
      <x:c r="C192" s="14" t="str">
        <x:v>ruled_by_dynasty</x:v>
      </x:c>
      <x:c r="D192" s="14"/>
      <x:c r="E192" s="14" t="str">
        <x:v>dynasty-orontides-erbandides</x:v>
      </x:c>
      <x:c r="F192" s="16" t="str">
        <x:v>Οροντίδες / Ερβανδίδες</x:v>
      </x:c>
      <x:c r="G192" s="16" t="str">
        <x:v>Orontids / Ervandids</x:v>
      </x:c>
      <x:c r="H192" s="14" t="str">
        <x:v>medium</x:v>
      </x:c>
      <x:c r="I192" s="14" t="str">
        <x:v>src-whc-758c2c416617</x:v>
      </x:c>
      <x:c r="J192" s="16" t="str">
        <x:v>dynasty_el: Οροντίδες / Ερβανδίδες</x:v>
      </x:c>
      <x:c r="K192" s="14" t="str">
        <x:v>reviewed</x:v>
      </x:c>
    </x:row>
    <x:row r="193" ht="52" customHeight="1">
      <x:c r="A193" s="14" t="str">
        <x:v>rel-9c12609f8462</x:v>
      </x:c>
      <x:c r="B193" s="14" t="str">
        <x:v>sanctuary-olbia-apollo-delphinios-sanctuary</x:v>
      </x:c>
      <x:c r="C193" s="14" t="str">
        <x:v>associated_with_settlement</x:v>
      </x:c>
      <x:c r="D193" s="14" t="str">
        <x:v>colony-olbia-pontica</x:v>
      </x:c>
      <x:c r="E193" s="14"/>
      <x:c r="F193" s="16" t="str">
        <x:v>Ολβία Ποντική</x:v>
      </x:c>
      <x:c r="G193" s="16" t="str">
        <x:v>Olbia Pontica</x:v>
      </x:c>
      <x:c r="H193" s="14" t="str">
        <x:v>high</x:v>
      </x:c>
      <x:c r="I193" s="14" t="str">
        <x:v>src-penn-a97aa05ea214</x:v>
      </x:c>
      <x:c r="J193" s="16" t="str">
        <x:v>Ρητή επιμελητική σύνδεση του ιερού με την Ολβία Ποντική.</x:v>
      </x:c>
      <x:c r="K193" s="14" t="str">
        <x:v>reviewed</x:v>
      </x:c>
    </x:row>
    <x:row r="194" ht="52" customHeight="1">
      <x:c r="A194" s="14" t="str">
        <x:v>rel-9c974cc417db</x:v>
      </x:c>
      <x:c r="B194" s="14" t="str">
        <x:v>kingdom-cappadocia-late-client</x:v>
      </x:c>
      <x:c r="C194" s="14" t="str">
        <x:v>representative_center</x:v>
      </x:c>
      <x:c r="D194" s="14"/>
      <x:c r="E194" s="14" t="str">
        <x:v>settlement-mazaka</x:v>
      </x:c>
      <x:c r="F194" s="16" t="str">
        <x:v>Μάζακα</x:v>
      </x:c>
      <x:c r="G194" s="16" t="str">
        <x:v>Mazaca</x:v>
      </x:c>
      <x:c r="H194" s="14" t="str">
        <x:v>high</x:v>
      </x:c>
      <x:c r="I194" s="14" t="str">
        <x:v>src-iranicaonline-0624b0b64cf3</x:v>
      </x:c>
      <x:c r="J194" s="16" t="str">
        <x:v>representative_center_el: Μάζακα</x:v>
      </x:c>
      <x:c r="K194" s="14" t="str">
        <x:v>reviewed</x:v>
      </x:c>
    </x:row>
    <x:row r="195" ht="52" customHeight="1">
      <x:c r="A195" s="14" t="str">
        <x:v>rel-9d483bede49d</x:v>
      </x:c>
      <x:c r="B195" s="14" t="str">
        <x:v>sanctuary-ephesus-artemis-sanctuary</x:v>
      </x:c>
      <x:c r="C195" s="14" t="str">
        <x:v>cult_of</x:v>
      </x:c>
      <x:c r="D195" s="14"/>
      <x:c r="E195" s="14" t="str">
        <x:v>deity_or_cult-artemis-ephesia</x:v>
      </x:c>
      <x:c r="F195" s="16" t="str">
        <x:v>Άρτεμις Εφεσία</x:v>
      </x:c>
      <x:c r="G195" s="16" t="str">
        <x:v>Artemis Ephesia</x:v>
      </x:c>
      <x:c r="H195" s="14" t="str">
        <x:v>medium</x:v>
      </x:c>
      <x:c r="I195" s="14" t="str">
        <x:v>src-pleiades-873985034</x:v>
      </x:c>
      <x:c r="J195" s="16" t="str">
        <x:v>deity_or_cult_el: Άρτεμις Εφεσία</x:v>
      </x:c>
      <x:c r="K195" s="14" t="str">
        <x:v>reviewed</x:v>
      </x:c>
    </x:row>
    <x:row r="196" ht="52" customHeight="1">
      <x:c r="A196" s="14" t="str">
        <x:v>rel-9e655ee83f66</x:v>
      </x:c>
      <x:c r="B196" s="14" t="str">
        <x:v>kingdom-bithynia</x:v>
      </x:c>
      <x:c r="C196" s="14" t="str">
        <x:v>representative_center</x:v>
      </x:c>
      <x:c r="D196" s="14"/>
      <x:c r="E196" s="14" t="str">
        <x:v>settlement-nikomedeia</x:v>
      </x:c>
      <x:c r="F196" s="16" t="str">
        <x:v>Νικομήδεια</x:v>
      </x:c>
      <x:c r="G196" s="16" t="str">
        <x:v>Nicomedia</x:v>
      </x:c>
      <x:c r="H196" s="14" t="str">
        <x:v>high</x:v>
      </x:c>
      <x:c r="I196" s="14" t="str">
        <x:v>src-attalus-1b40f4436114</x:v>
      </x:c>
      <x:c r="J196" s="16" t="str">
        <x:v>representative_center_el: Νικομήδεια</x:v>
      </x:c>
      <x:c r="K196" s="14" t="str">
        <x:v>reviewed</x:v>
      </x:c>
    </x:row>
    <x:row r="197" ht="52" customHeight="1">
      <x:c r="A197" s="14" t="str">
        <x:v>rel-a051e8a0892e</x:v>
      </x:c>
      <x:c r="B197" s="14" t="str">
        <x:v>sanctuary-syracuse-apollo-sanctuary</x:v>
      </x:c>
      <x:c r="C197" s="14" t="str">
        <x:v>associated_with_settlement</x:v>
      </x:c>
      <x:c r="D197" s="14" t="str">
        <x:v>colony-syracuse</x:v>
      </x:c>
      <x:c r="E197" s="14"/>
      <x:c r="F197" s="16" t="str">
        <x:v>Συρακούσες</x:v>
      </x:c>
      <x:c r="G197" s="16" t="str">
        <x:v>Syracuse</x:v>
      </x:c>
      <x:c r="H197" s="14" t="str">
        <x:v>high</x:v>
      </x:c>
      <x:c r="I197" s="14" t="str">
        <x:v>src-pleiades-418729933</x:v>
      </x:c>
      <x:c r="J197" s="16" t="str">
        <x:v>Ρητή επιμελητική σύνδεση του ναού του Απόλλωνα με τις Συρακούσες.</x:v>
      </x:c>
      <x:c r="K197" s="14" t="str">
        <x:v>reviewed</x:v>
      </x:c>
    </x:row>
    <x:row r="198" ht="52" customHeight="1">
      <x:c r="A198" s="14" t="str">
        <x:v>rel-a1a7ff102678</x:v>
      </x:c>
      <x:c r="B198" s="14" t="str">
        <x:v>kingdom-paphos-cyprus</x:v>
      </x:c>
      <x:c r="C198" s="14" t="str">
        <x:v>preceded_by</x:v>
      </x:c>
      <x:c r="D198" s="14"/>
      <x:c r="E198" s="14" t="str">
        <x:v>polity-ystere-epoche-toy-chalkoy-kai-proime-politeiake-sygkrotese-tes-palaipaphoy</x:v>
      </x:c>
      <x:c r="F198" s="16" t="str">
        <x:v>Ύστερη εποχή του Χαλκού και πρώιμη πολιτειακή συγκρότηση της Παλαίπαφου</x:v>
      </x:c>
      <x:c r="G198" s="16" t="str">
        <x:v>Late Bronze Age and early state formation of Palaipafos</x:v>
      </x:c>
      <x:c r="H198" s="14" t="str">
        <x:v>medium</x:v>
      </x:c>
      <x:c r="I198" s="14" t="str">
        <x:v>src-websites-d5246844b076</x:v>
      </x:c>
      <x:c r="J198" s="16" t="str">
        <x:v>predecessor_el: Ύστερη εποχή του Χαλκού και πρώιμη πολιτειακή συγκρότηση της Παλαίπαφου</x:v>
      </x:c>
      <x:c r="K198" s="14" t="str">
        <x:v>reviewed</x:v>
      </x:c>
    </x:row>
    <x:row r="199" ht="52" customHeight="1">
      <x:c r="A199" s="14" t="str">
        <x:v>rel-a38c10bd5ec9</x:v>
      </x:c>
      <x:c r="B199" s="14" t="str">
        <x:v>kingdom-greco-bactrian-diodotid</x:v>
      </x:c>
      <x:c r="C199" s="14" t="str">
        <x:v>preceded_by</x:v>
      </x:c>
      <x:c r="D199" s="14"/>
      <x:c r="E199" s="14" t="str">
        <x:v>polity-seleykidike-satrapeia-baktrianes</x:v>
      </x:c>
      <x:c r="F199" s="16" t="str">
        <x:v>Σελευκιδική σατραπεία Βακτριανής</x:v>
      </x:c>
      <x:c r="G199" s="16" t="str">
        <x:v>Seleucid satrapy of Bactria</x:v>
      </x:c>
      <x:c r="H199" s="14" t="str">
        <x:v>medium</x:v>
      </x:c>
      <x:c r="I199" s="14" t="str">
        <x:v>src-metmuseum-50fe20dc493f</x:v>
      </x:c>
      <x:c r="J199" s="16" t="str">
        <x:v>predecessor_el: Σελευκιδική σατραπεία Βακτριανής</x:v>
      </x:c>
      <x:c r="K199" s="14" t="str">
        <x:v>reviewed</x:v>
      </x:c>
    </x:row>
    <x:row r="200" ht="52" customHeight="1">
      <x:c r="A200" s="14" t="str">
        <x:v>rel-a47925bfe191</x:v>
      </x:c>
      <x:c r="B200" s="14" t="str">
        <x:v>sanctuary-golgoi-aphrodite-sanctuary</x:v>
      </x:c>
      <x:c r="C200" s="14" t="str">
        <x:v>cult_of</x:v>
      </x:c>
      <x:c r="D200" s="14"/>
      <x:c r="E200" s="14" t="str">
        <x:v>deity_or_cult-aphrodite-golgia</x:v>
      </x:c>
      <x:c r="F200" s="16" t="str">
        <x:v>Αφροδίτη Γολγία</x:v>
      </x:c>
      <x:c r="G200" s="16" t="str">
        <x:v>Aphrodite Golgia</x:v>
      </x:c>
      <x:c r="H200" s="14" t="str">
        <x:v>medium</x:v>
      </x:c>
      <x:c r="I200" s="14" t="str">
        <x:v>src-pleiades-707470</x:v>
      </x:c>
      <x:c r="J200" s="16" t="str">
        <x:v>deity_or_cult_el: Αφροδίτη Γολγία</x:v>
      </x:c>
      <x:c r="K200" s="14" t="str">
        <x:v>reviewed</x:v>
      </x:c>
    </x:row>
    <x:row r="201" ht="52" customHeight="1">
      <x:c r="A201" s="14" t="str">
        <x:v>rel-a47c18fb3ea8</x:v>
      </x:c>
      <x:c r="B201" s="14" t="str">
        <x:v>kingdom-mycenae-palatial</x:v>
      </x:c>
      <x:c r="C201" s="14" t="str">
        <x:v>succeeded_by</x:v>
      </x:c>
      <x:c r="D201" s="14"/>
      <x:c r="E201" s="14" t="str">
        <x:v>polity-metanaktorikes-koinotetes-tes-argolidas</x:v>
      </x:c>
      <x:c r="F201" s="16" t="str">
        <x:v>Μετανακτορικές κοινότητες της Αργολίδας</x:v>
      </x:c>
      <x:c r="G201" s="16" t="str">
        <x:v>Post-palatial communities of Argolis</x:v>
      </x:c>
      <x:c r="H201" s="14" t="str">
        <x:v>medium</x:v>
      </x:c>
      <x:c r="I201" s="14" t="str">
        <x:v>src-whc-6306f630553d</x:v>
      </x:c>
      <x:c r="J201" s="16" t="str">
        <x:v>successor_el: Μετανακτορικές κοινότητες της Αργολίδας</x:v>
      </x:c>
      <x:c r="K201" s="14" t="str">
        <x:v>reviewed</x:v>
      </x:c>
    </x:row>
    <x:row r="202" ht="52" customHeight="1">
      <x:c r="A202" s="14" t="str">
        <x:v>rel-a80a9d652c72</x:v>
      </x:c>
      <x:c r="B202" s="14" t="str">
        <x:v>kingdom-indo-greek-early</x:v>
      </x:c>
      <x:c r="C202" s="14" t="str">
        <x:v>ruled_by_dynasty</x:v>
      </x:c>
      <x:c r="D202" s="14"/>
      <x:c r="E202" s="14" t="str">
        <x:v>dynasty-eythydemides-demetrides</x:v>
      </x:c>
      <x:c r="F202" s="16" t="str">
        <x:v>Ευθυδημίδες / Δημητρίδες</x:v>
      </x:c>
      <x:c r="G202" s="16" t="str">
        <x:v>Euthydemids / Demetriads</x:v>
      </x:c>
      <x:c r="H202" s="14" t="str">
        <x:v>medium</x:v>
      </x:c>
      <x:c r="I202" s="14" t="str">
        <x:v>src-iranicaonline-612dff96c99c</x:v>
      </x:c>
      <x:c r="J202" s="16" t="str">
        <x:v>dynasty_el: Ευθυδημίδες / Δημητρίδες</x:v>
      </x:c>
      <x:c r="K202" s="14" t="str">
        <x:v>reviewed</x:v>
      </x:c>
    </x:row>
    <x:row r="203" ht="52" customHeight="1">
      <x:c r="A203" s="14" t="str">
        <x:v>rel-a880e35ff7d1</x:v>
      </x:c>
      <x:c r="B203" s="14" t="str">
        <x:v>sanctuary-panionion-poseidon-sanctuary</x:v>
      </x:c>
      <x:c r="C203" s="14" t="str">
        <x:v>cult_of</x:v>
      </x:c>
      <x:c r="D203" s="14"/>
      <x:c r="E203" s="14" t="str">
        <x:v>deity_or_cult-poseidon-elikonios</x:v>
      </x:c>
      <x:c r="F203" s="16" t="str">
        <x:v>Ποσειδών Ελικώνιος</x:v>
      </x:c>
      <x:c r="G203" s="16" t="str">
        <x:v>Poseidon Helikonius</x:v>
      </x:c>
      <x:c r="H203" s="14" t="str">
        <x:v>medium</x:v>
      </x:c>
      <x:c r="I203" s="14" t="str">
        <x:v>src-pleiades-599855</x:v>
      </x:c>
      <x:c r="J203" s="16" t="str">
        <x:v>deity_or_cult_el: Ποσειδών Ελικώνιος</x:v>
      </x:c>
      <x:c r="K203" s="14" t="str">
        <x:v>reviewed</x:v>
      </x:c>
    </x:row>
    <x:row r="204" ht="52" customHeight="1">
      <x:c r="A204" s="14" t="str">
        <x:v>rel-a915a0574a36</x:v>
      </x:c>
      <x:c r="B204" s="14" t="str">
        <x:v>kingdom-greco-bactrian-euthydemid</x:v>
      </x:c>
      <x:c r="C204" s="14" t="str">
        <x:v>representative_center</x:v>
      </x:c>
      <x:c r="D204" s="14"/>
      <x:c r="E204" s="14" t="str">
        <x:v>settlement-baktra</x:v>
      </x:c>
      <x:c r="F204" s="16" t="str">
        <x:v>Βάκτρα</x:v>
      </x:c>
      <x:c r="G204" s="16" t="str">
        <x:v>Bactra</x:v>
      </x:c>
      <x:c r="H204" s="14" t="str">
        <x:v>high</x:v>
      </x:c>
      <x:c r="I204" s="14" t="str">
        <x:v>src-iranicaonline-d4697d4d5c1a</x:v>
      </x:c>
      <x:c r="J204" s="16" t="str">
        <x:v>representative_center_el: Βάκτρα</x:v>
      </x:c>
      <x:c r="K204" s="14" t="str">
        <x:v>reviewed</x:v>
      </x:c>
    </x:row>
    <x:row r="205" ht="52" customHeight="1">
      <x:c r="A205" s="14" t="str">
        <x:v>rel-a925338d06f5</x:v>
      </x:c>
      <x:c r="B205" s="14" t="str">
        <x:v>colony-odessos</x:v>
      </x:c>
      <x:c r="C205" s="14" t="str">
        <x:v>founded_from</x:v>
      </x:c>
      <x:c r="D205" s="14" t="str">
        <x:v>colony-miletus</x:v>
      </x:c>
      <x:c r="E205" s="14"/>
      <x:c r="F205" s="16" t="str">
        <x:v>Μίλητος</x:v>
      </x:c>
      <x:c r="G205" s="16" t="str">
        <x:v>Miletus</x:v>
      </x:c>
      <x:c r="H205" s="14" t="str">
        <x:v>medium</x:v>
      </x:c>
      <x:c r="I205" s="14" t="str">
        <x:v>src-pleiades-216904</x:v>
      </x:c>
      <x:c r="J205" s="16" t="str">
        <x:v>metropolis_el: Μίλητος</x:v>
      </x:c>
      <x:c r="K205" s="14" t="str">
        <x:v>reviewed</x:v>
      </x:c>
    </x:row>
    <x:row r="206" ht="52" customHeight="1">
      <x:c r="A206" s="14" t="str">
        <x:v>rel-a9fe73c518ce</x:v>
      </x:c>
      <x:c r="B206" s="14" t="str">
        <x:v>kingdom-greco-bactrian-euthydemid</x:v>
      </x:c>
      <x:c r="C206" s="14" t="str">
        <x:v>succeeded_by</x:v>
      </x:c>
      <x:c r="D206" s="14"/>
      <x:c r="E206" s="14" t="str">
        <x:v>polity-eykratidike-phase-ste-baktriane-kai-indoellenikoi-kladoi</x:v>
      </x:c>
      <x:c r="F206" s="16" t="str">
        <x:v>Ευκρατιδική φάση στη Βακτριανή και ινδοελληνικοί κλάδοι</x:v>
      </x:c>
      <x:c r="G206" s="16" t="str">
        <x:v>Eucratid phase in Bactrian and Indo-Greek branches</x:v>
      </x:c>
      <x:c r="H206" s="14" t="str">
        <x:v>medium</x:v>
      </x:c>
      <x:c r="I206" s="14" t="str">
        <x:v>src-iranicaonline-d4697d4d5c1a</x:v>
      </x:c>
      <x:c r="J206" s="16" t="str">
        <x:v>successor_el: Ευκρατιδική φάση στη Βακτριανή και ινδοελληνικοί κλάδοι</x:v>
      </x:c>
      <x:c r="K206" s="14" t="str">
        <x:v>reviewed</x:v>
      </x:c>
    </x:row>
    <x:row r="207" ht="52" customHeight="1">
      <x:c r="A207" s="14" t="str">
        <x:v>rel-aa3380ed3137</x:v>
      </x:c>
      <x:c r="B207" s="14" t="str">
        <x:v>kingdom-bithynia</x:v>
      </x:c>
      <x:c r="C207" s="14" t="str">
        <x:v>preceded_by</x:v>
      </x:c>
      <x:c r="D207" s="14"/>
      <x:c r="E207" s="14" t="str">
        <x:v>polity-topikes-bithynikes-egemonies</x:v>
      </x:c>
      <x:c r="F207" s="16" t="str">
        <x:v>Τοπικές βιθυνικές ηγεμονίες</x:v>
      </x:c>
      <x:c r="G207" s="16" t="str">
        <x:v>Local Bithynian hegemonies</x:v>
      </x:c>
      <x:c r="H207" s="14" t="str">
        <x:v>medium</x:v>
      </x:c>
      <x:c r="I207" s="14" t="str">
        <x:v>src-attalus-1b40f4436114</x:v>
      </x:c>
      <x:c r="J207" s="16" t="str">
        <x:v>predecessor_el: Τοπικές βιθυνικές ηγεμονίες</x:v>
      </x:c>
      <x:c r="K207" s="14" t="str">
        <x:v>reviewed</x:v>
      </x:c>
    </x:row>
    <x:row r="208" ht="52" customHeight="1">
      <x:c r="A208" s="14" t="str">
        <x:v>rel-aa3d933ebfa5</x:v>
      </x:c>
      <x:c r="B208" s="14" t="str">
        <x:v>kingdom-macedon-kassandrid</x:v>
      </x:c>
      <x:c r="C208" s="14" t="str">
        <x:v>preceded_by</x:v>
      </x:c>
      <x:c r="D208" s="14"/>
      <x:c r="E208" s="14" t="str">
        <x:v>polity-argeades-kai-metalexandreia-antibasileia</x:v>
      </x:c>
      <x:c r="F208" s="16" t="str">
        <x:v>Αργεάδες και μεταλεξάνδρεια αντιβασιλεία</x:v>
      </x:c>
      <x:c r="G208" s="16" t="str">
        <x:v>Argeades and post-Alexandrian regency</x:v>
      </x:c>
      <x:c r="H208" s="14" t="str">
        <x:v>medium</x:v>
      </x:c>
      <x:c r="I208" s="14" t="str">
        <x:v>src-metmuseum-50fe20dc493f</x:v>
      </x:c>
      <x:c r="J208" s="16" t="str">
        <x:v>predecessor_el: Αργεάδες και μεταλεξάνδρεια αντιβασιλεία</x:v>
      </x:c>
      <x:c r="K208" s="14" t="str">
        <x:v>reviewed</x:v>
      </x:c>
    </x:row>
    <x:row r="209" ht="52" customHeight="1">
      <x:c r="A209" s="14" t="str">
        <x:v>rel-ab5118da7c4e</x:v>
      </x:c>
      <x:c r="B209" s="14" t="str">
        <x:v>kingdom-orchomenos-palatial</x:v>
      </x:c>
      <x:c r="C209" s="14" t="str">
        <x:v>preceded_by</x:v>
      </x:c>
      <x:c r="D209" s="14"/>
      <x:c r="E209" s="14" t="str">
        <x:v>polity-proimes-mykenaikes-koinotetes-tes-kopaidas</x:v>
      </x:c>
      <x:c r="F209" s="16" t="str">
        <x:v>Πρώιμες μυκηναϊκές κοινότητες της Κωπαΐδας</x:v>
      </x:c>
      <x:c r="G209" s="16" t="str">
        <x:v>Early Mycenaean communities of Kopaida</x:v>
      </x:c>
      <x:c r="H209" s="14" t="str">
        <x:v>medium</x:v>
      </x:c>
      <x:c r="I209" s="14" t="str">
        <x:v>src-mthv-715d665b63b5</x:v>
      </x:c>
      <x:c r="J209" s="16" t="str">
        <x:v>predecessor_el: Πρώιμες μυκηναϊκές κοινότητες της Κωπαΐδας</x:v>
      </x:c>
      <x:c r="K209" s="14" t="str">
        <x:v>reviewed</x:v>
      </x:c>
    </x:row>
    <x:row r="210" ht="52" customHeight="1">
      <x:c r="A210" s="14" t="str">
        <x:v>rel-ab89952856fc</x:v>
      </x:c>
      <x:c r="B210" s="14" t="str">
        <x:v>colony-trapezus</x:v>
      </x:c>
      <x:c r="C210" s="14" t="str">
        <x:v>founded_from</x:v>
      </x:c>
      <x:c r="D210" s="14" t="str">
        <x:v>colony-sinope</x:v>
      </x:c>
      <x:c r="E210" s="14"/>
      <x:c r="F210" s="16" t="str">
        <x:v>Σινώπη</x:v>
      </x:c>
      <x:c r="G210" s="16" t="str">
        <x:v>Sinope</x:v>
      </x:c>
      <x:c r="H210" s="14" t="str">
        <x:v>medium</x:v>
      </x:c>
      <x:c r="I210" s="14" t="str">
        <x:v>src-pleiades-857359</x:v>
      </x:c>
      <x:c r="J210" s="16" t="str">
        <x:v>metropolis_el: Σινώπη</x:v>
      </x:c>
      <x:c r="K210" s="14" t="str">
        <x:v>reviewed</x:v>
      </x:c>
    </x:row>
    <x:row r="211" ht="52" customHeight="1">
      <x:c r="A211" s="14" t="str">
        <x:v>rel-ac005f6990de</x:v>
      </x:c>
      <x:c r="B211" s="14" t="str">
        <x:v>colony-cyrene</x:v>
      </x:c>
      <x:c r="C211" s="14" t="str">
        <x:v>founded_from</x:v>
      </x:c>
      <x:c r="D211" s="14" t="str">
        <x:v>city-thera-city</x:v>
      </x:c>
      <x:c r="E211" s="14"/>
      <x:c r="F211" s="16" t="str">
        <x:v>Θήρα</x:v>
      </x:c>
      <x:c r="G211" s="16" t="str">
        <x:v>Thera</x:v>
      </x:c>
      <x:c r="H211" s="14" t="str">
        <x:v>medium</x:v>
      </x:c>
      <x:c r="I211" s="14" t="str">
        <x:v>src-pleiades-373778</x:v>
      </x:c>
      <x:c r="J211" s="16" t="str">
        <x:v>metropolis_el: Θήρα</x:v>
      </x:c>
      <x:c r="K211" s="14" t="str">
        <x:v>reviewed</x:v>
      </x:c>
    </x:row>
    <x:row r="212" ht="52" customHeight="1">
      <x:c r="A212" s="14" t="str">
        <x:v>rel-ac61155e282c</x:v>
      </x:c>
      <x:c r="B212" s="14" t="str">
        <x:v>sanctuary-thermon-apollo-sanctuary</x:v>
      </x:c>
      <x:c r="C212" s="14" t="str">
        <x:v>cult_of</x:v>
      </x:c>
      <x:c r="D212" s="14"/>
      <x:c r="E212" s="14" t="str">
        <x:v>deity_or_cult-apollon-thermios</x:v>
      </x:c>
      <x:c r="F212" s="16" t="str">
        <x:v>Απόλλων Θέρμιος</x:v>
      </x:c>
      <x:c r="G212" s="16" t="str">
        <x:v>Apollon Thermios</x:v>
      </x:c>
      <x:c r="H212" s="14" t="str">
        <x:v>medium</x:v>
      </x:c>
      <x:c r="I212" s="14" t="str">
        <x:v>src-pleiades-728329645</x:v>
      </x:c>
      <x:c r="J212" s="16" t="str">
        <x:v>deity_or_cult_el: Απόλλων Θέρμιος</x:v>
      </x:c>
      <x:c r="K212" s="14" t="str">
        <x:v>reviewed</x:v>
      </x:c>
    </x:row>
    <x:row r="213" ht="52" customHeight="1">
      <x:c r="A213" s="14" t="str">
        <x:v>rel-ad38007c6797</x:v>
      </x:c>
      <x:c r="B213" s="14" t="str">
        <x:v>kingdom-iolcos-palatial</x:v>
      </x:c>
      <x:c r="C213" s="14" t="str">
        <x:v>representative_center</x:v>
      </x:c>
      <x:c r="D213" s="14"/>
      <x:c r="E213" s="14" t="str">
        <x:v>settlement-dimeni</x:v>
      </x:c>
      <x:c r="F213" s="16" t="str">
        <x:v>Διμήνι</x:v>
      </x:c>
      <x:c r="G213" s="16" t="str">
        <x:v>Dimini</x:v>
      </x:c>
      <x:c r="H213" s="14" t="str">
        <x:v>high</x:v>
      </x:c>
      <x:c r="I213" s="14" t="str">
        <x:v>src-odysseus-589898851f92</x:v>
      </x:c>
      <x:c r="J213" s="16" t="str">
        <x:v>representative_center_el: Διμήνι</x:v>
      </x:c>
      <x:c r="K213" s="14" t="str">
        <x:v>reviewed</x:v>
      </x:c>
    </x:row>
    <x:row r="214" ht="52" customHeight="1">
      <x:c r="A214" s="14" t="str">
        <x:v>rel-ad637e2cd39e</x:v>
      </x:c>
      <x:c r="B214" s="14" t="str">
        <x:v>colony-elea-velia</x:v>
      </x:c>
      <x:c r="C214" s="14" t="str">
        <x:v>founded_from</x:v>
      </x:c>
      <x:c r="D214" s="14" t="str">
        <x:v>colony-phocaea</x:v>
      </x:c>
      <x:c r="E214" s="14"/>
      <x:c r="F214" s="16" t="str">
        <x:v>Φώκαια</x:v>
      </x:c>
      <x:c r="G214" s="16" t="str">
        <x:v>Phocaea</x:v>
      </x:c>
      <x:c r="H214" s="14" t="str">
        <x:v>medium</x:v>
      </x:c>
      <x:c r="I214" s="14" t="str">
        <x:v>src-pleiades-452488</x:v>
      </x:c>
      <x:c r="J214" s="16" t="str">
        <x:v>metropolis_el: Φώκαια</x:v>
      </x:c>
      <x:c r="K214" s="14" t="str">
        <x:v>reviewed</x:v>
      </x:c>
    </x:row>
    <x:row r="215" ht="52" customHeight="1">
      <x:c r="A215" s="14" t="str">
        <x:v>rel-ad77937b7722</x:v>
      </x:c>
      <x:c r="B215" s="14" t="str">
        <x:v>sanctuary-delphi-athena-pronaia-sanctuary</x:v>
      </x:c>
      <x:c r="C215" s="14" t="str">
        <x:v>cult_of</x:v>
      </x:c>
      <x:c r="D215" s="14"/>
      <x:c r="E215" s="14" t="str">
        <x:v>deity_or_cult-athena-pronaia</x:v>
      </x:c>
      <x:c r="F215" s="16" t="str">
        <x:v>Αθηνά Προναία</x:v>
      </x:c>
      <x:c r="G215" s="16" t="str">
        <x:v>Athena Pronaia</x:v>
      </x:c>
      <x:c r="H215" s="14" t="str">
        <x:v>medium</x:v>
      </x:c>
      <x:c r="I215" s="14" t="str">
        <x:v>src-pleiades-513711610</x:v>
      </x:c>
      <x:c r="J215" s="16" t="str">
        <x:v>deity_or_cult_el: Αθηνά Προναία</x:v>
      </x:c>
      <x:c r="K215" s="14" t="str">
        <x:v>reviewed</x:v>
      </x:c>
    </x:row>
    <x:row r="216" ht="52" customHeight="1">
      <x:c r="A216" s="14" t="str">
        <x:v>rel-ae72119d5bbe</x:v>
      </x:c>
      <x:c r="B216" s="14" t="str">
        <x:v>sanctuary-smintheion-apollo-sanctuary</x:v>
      </x:c>
      <x:c r="C216" s="14" t="str">
        <x:v>cult_of</x:v>
      </x:c>
      <x:c r="D216" s="14"/>
      <x:c r="E216" s="14" t="str">
        <x:v>deity_or_cult-apollon-smintheys</x:v>
      </x:c>
      <x:c r="F216" s="16" t="str">
        <x:v>Απόλλων Σμινθεύς</x:v>
      </x:c>
      <x:c r="G216" s="16" t="str">
        <x:v>Apollo Smintheus</x:v>
      </x:c>
      <x:c r="H216" s="14" t="str">
        <x:v>medium</x:v>
      </x:c>
      <x:c r="I216" s="14" t="str">
        <x:v>src-pleiades-550892</x:v>
      </x:c>
      <x:c r="J216" s="16" t="str">
        <x:v>deity_or_cult_el: Απόλλων Σμινθεύς</x:v>
      </x:c>
      <x:c r="K216" s="14" t="str">
        <x:v>reviewed</x:v>
      </x:c>
    </x:row>
    <x:row r="217" ht="52" customHeight="1">
      <x:c r="A217" s="14" t="str">
        <x:v>rel-af197637e23f</x:v>
      </x:c>
      <x:c r="B217" s="14" t="str">
        <x:v>colony-panticapaeum</x:v>
      </x:c>
      <x:c r="C217" s="14" t="str">
        <x:v>founded_from</x:v>
      </x:c>
      <x:c r="D217" s="14" t="str">
        <x:v>colony-miletus</x:v>
      </x:c>
      <x:c r="E217" s="14"/>
      <x:c r="F217" s="16" t="str">
        <x:v>Μίλητος</x:v>
      </x:c>
      <x:c r="G217" s="16" t="str">
        <x:v>Miletus</x:v>
      </x:c>
      <x:c r="H217" s="14" t="str">
        <x:v>medium</x:v>
      </x:c>
      <x:c r="I217" s="14" t="str">
        <x:v>src-pleiades-854719</x:v>
      </x:c>
      <x:c r="J217" s="16" t="str">
        <x:v>metropolis_el: Μίλητος</x:v>
      </x:c>
      <x:c r="K217" s="14" t="str">
        <x:v>reviewed</x:v>
      </x:c>
    </x:row>
    <x:row r="218" ht="52" customHeight="1">
      <x:c r="A218" s="14" t="str">
        <x:v>rel-b21bb71d17c9</x:v>
      </x:c>
      <x:c r="B218" s="14" t="str">
        <x:v>sanctuary-argive-heraion</x:v>
      </x:c>
      <x:c r="C218" s="14" t="str">
        <x:v>cult_of</x:v>
      </x:c>
      <x:c r="D218" s="14"/>
      <x:c r="E218" s="14" t="str">
        <x:v>deity_or_cult-era-argeia</x:v>
      </x:c>
      <x:c r="F218" s="16" t="str">
        <x:v>Ήρα Αργεία</x:v>
      </x:c>
      <x:c r="G218" s="16" t="str">
        <x:v>Argive Hera</x:v>
      </x:c>
      <x:c r="H218" s="14" t="str">
        <x:v>medium</x:v>
      </x:c>
      <x:c r="I218" s="14" t="str">
        <x:v>src-pleiades-570289</x:v>
      </x:c>
      <x:c r="J218" s="16" t="str">
        <x:v>deity_or_cult_el: Ήρα Αργεία</x:v>
      </x:c>
      <x:c r="K218" s="14" t="str">
        <x:v>reviewed</x:v>
      </x:c>
    </x:row>
    <x:row r="219" ht="52" customHeight="1">
      <x:c r="A219" s="14" t="str">
        <x:v>rel-b22447552b80</x:v>
      </x:c>
      <x:c r="B219" s="14" t="str">
        <x:v>kingdom-greco-bactrian-eucratid</x:v>
      </x:c>
      <x:c r="C219" s="14" t="str">
        <x:v>preceded_by</x:v>
      </x:c>
      <x:c r="D219" s="14"/>
      <x:c r="E219" s="14" t="str">
        <x:v>polity-ellenobaktriano-basileio-ton-eythydemidon</x:v>
      </x:c>
      <x:c r="F219" s="16" t="str">
        <x:v>Ελληνοβακτριανό Βασίλειο των Ευθυδημιδών</x:v>
      </x:c>
      <x:c r="G219" s="16" t="str">
        <x:v>Greco-Bactrian Kingdom of the Euthydemides</x:v>
      </x:c>
      <x:c r="H219" s="14" t="str">
        <x:v>medium</x:v>
      </x:c>
      <x:c r="I219" s="14" t="str">
        <x:v>src-iranicaonline-2bb61f112fc3</x:v>
      </x:c>
      <x:c r="J219" s="16" t="str">
        <x:v>predecessor_el: Ελληνοβακτριανό Βασίλειο των Ευθυδημιδών</x:v>
      </x:c>
      <x:c r="K219" s="14" t="str">
        <x:v>reviewed</x:v>
      </x:c>
    </x:row>
    <x:row r="220" ht="52" customHeight="1">
      <x:c r="A220" s="14" t="str">
        <x:v>rel-b356a777c72a</x:v>
      </x:c>
      <x:c r="B220" s="14" t="str">
        <x:v>kingdom-cyrene-battiad</x:v>
      </x:c>
      <x:c r="C220" s="14" t="str">
        <x:v>representative_center</x:v>
      </x:c>
      <x:c r="D220" s="14" t="str">
        <x:v>colony-cyrene</x:v>
      </x:c>
      <x:c r="E220" s="14"/>
      <x:c r="F220" s="16" t="str">
        <x:v>Κυρήνη</x:v>
      </x:c>
      <x:c r="G220" s="16" t="str">
        <x:v>Cyrene</x:v>
      </x:c>
      <x:c r="H220" s="14" t="str">
        <x:v>high</x:v>
      </x:c>
      <x:c r="I220" s="14" t="str">
        <x:v>src-whc-52a1efeb60e3</x:v>
      </x:c>
      <x:c r="J220" s="16" t="str">
        <x:v>representative_center_el: Κυρήνη</x:v>
      </x:c>
      <x:c r="K220" s="14" t="str">
        <x:v>reviewed</x:v>
      </x:c>
    </x:row>
    <x:row r="221" ht="52" customHeight="1">
      <x:c r="A221" s="14" t="str">
        <x:v>rel-b3ec490ba4a5</x:v>
      </x:c>
      <x:c r="B221" s="14" t="str">
        <x:v>kingdom-knossos-mycenaean</x:v>
      </x:c>
      <x:c r="C221" s="14" t="str">
        <x:v>representative_center</x:v>
      </x:c>
      <x:c r="D221" s="14"/>
      <x:c r="E221" s="14" t="str">
        <x:v>settlement-anaktoro-knosoy</x:v>
      </x:c>
      <x:c r="F221" s="16" t="str">
        <x:v>Ανάκτορο Κνωσού</x:v>
      </x:c>
      <x:c r="G221" s="16" t="str">
        <x:v>Palace of Knossos</x:v>
      </x:c>
      <x:c r="H221" s="14" t="str">
        <x:v>high</x:v>
      </x:c>
      <x:c r="I221" s="14" t="str">
        <x:v>src-odysseus-9e3ae0cba911</x:v>
      </x:c>
      <x:c r="J221" s="16" t="str">
        <x:v>representative_center_el: Ανάκτορο Κνωσού</x:v>
      </x:c>
      <x:c r="K221" s="14" t="str">
        <x:v>reviewed</x:v>
      </x:c>
    </x:row>
    <x:row r="222" ht="52" customHeight="1">
      <x:c r="A222" s="14" t="str">
        <x:v>rel-b4cb629a37c3</x:v>
      </x:c>
      <x:c r="B222" s="14" t="str">
        <x:v>colony-megara-hyblaea</x:v>
      </x:c>
      <x:c r="C222" s="14" t="str">
        <x:v>founded_from</x:v>
      </x:c>
      <x:c r="D222" s="14" t="str">
        <x:v>city-megara</x:v>
      </x:c>
      <x:c r="E222" s="14"/>
      <x:c r="F222" s="16" t="str">
        <x:v>Μέγαρα</x:v>
      </x:c>
      <x:c r="G222" s="16" t="str">
        <x:v>Megara</x:v>
      </x:c>
      <x:c r="H222" s="14" t="str">
        <x:v>medium</x:v>
      </x:c>
      <x:c r="I222" s="14" t="str">
        <x:v>src-pleiades-462307</x:v>
      </x:c>
      <x:c r="J222" s="16" t="str">
        <x:v>metropolis_el: Μέγαρα</x:v>
      </x:c>
      <x:c r="K222" s="14" t="str">
        <x:v>reviewed</x:v>
      </x:c>
    </x:row>
    <x:row r="223" ht="52" customHeight="1">
      <x:c r="A223" s="14" t="str">
        <x:v>rel-b4efe02349c1</x:v>
      </x:c>
      <x:c r="B223" s="14" t="str">
        <x:v>kingdom-tiryns-palatial</x:v>
      </x:c>
      <x:c r="C223" s="14" t="str">
        <x:v>representative_center</x:v>
      </x:c>
      <x:c r="D223" s="14"/>
      <x:c r="E223" s="14" t="str">
        <x:v>settlement-tiryntha</x:v>
      </x:c>
      <x:c r="F223" s="16" t="str">
        <x:v>Τίρυνθα</x:v>
      </x:c>
      <x:c r="G223" s="16" t="str">
        <x:v>Tiryns</x:v>
      </x:c>
      <x:c r="H223" s="14" t="str">
        <x:v>high</x:v>
      </x:c>
      <x:c r="I223" s="14" t="str">
        <x:v>src-whc-6306f630553d</x:v>
      </x:c>
      <x:c r="J223" s="16" t="str">
        <x:v>representative_center_el: Τίρυνθα</x:v>
      </x:c>
      <x:c r="K223" s="14" t="str">
        <x:v>reviewed</x:v>
      </x:c>
    </x:row>
    <x:row r="224" ht="52" customHeight="1">
      <x:c r="A224" s="14" t="str">
        <x:v>rel-b5b311d40891</x:v>
      </x:c>
      <x:c r="B224" s="14" t="str">
        <x:v>kingdom-macedon-argead</x:v>
      </x:c>
      <x:c r="C224" s="14" t="str">
        <x:v>representative_center</x:v>
      </x:c>
      <x:c r="D224" s="14" t="str">
        <x:v>city-aigai-macedonia</x:v>
      </x:c>
      <x:c r="E224" s="14"/>
      <x:c r="F224" s="16" t="str">
        <x:v>Αιγές</x:v>
      </x:c>
      <x:c r="G224" s="16" t="str">
        <x:v>Aigai</x:v>
      </x:c>
      <x:c r="H224" s="14" t="str">
        <x:v>high</x:v>
      </x:c>
      <x:c r="I224" s="14" t="str">
        <x:v>src-whc-fd006971700c</x:v>
      </x:c>
      <x:c r="J224" s="16" t="str">
        <x:v>representative_center_el: Αιγές</x:v>
      </x:c>
      <x:c r="K224" s="14" t="str">
        <x:v>reviewed</x:v>
      </x:c>
    </x:row>
    <x:row r="225" ht="52" customHeight="1">
      <x:c r="A225" s="14" t="str">
        <x:v>rel-b6a5e567e125</x:v>
      </x:c>
      <x:c r="B225" s="14" t="str">
        <x:v>sanctuary-segesta-doric-temple-sanctuary</x:v>
      </x:c>
      <x:c r="C225" s="14" t="str">
        <x:v>cult_of</x:v>
      </x:c>
      <x:c r="D225" s="14"/>
      <x:c r="E225" s="14" t="str">
        <x:v>deity_or_cult-agnoste-theoteta</x:v>
      </x:c>
      <x:c r="F225" s="16" t="str">
        <x:v>Άγνωστη θεότητα</x:v>
      </x:c>
      <x:c r="G225" s="16" t="str">
        <x:v>Unknown deity</x:v>
      </x:c>
      <x:c r="H225" s="14" t="str">
        <x:v>medium</x:v>
      </x:c>
      <x:c r="I225" s="14" t="str">
        <x:v>src-pleiades-963441586</x:v>
      </x:c>
      <x:c r="J225" s="16" t="str">
        <x:v>deity_or_cult_el: Άγνωστη θεότητα</x:v>
      </x:c>
      <x:c r="K225" s="14" t="str">
        <x:v>reviewed</x:v>
      </x:c>
    </x:row>
    <x:row r="226" ht="52" customHeight="1">
      <x:c r="A226" s="14" t="str">
        <x:v>rel-b6ea1b09d756</x:v>
      </x:c>
      <x:c r="B226" s="14" t="str">
        <x:v>sanctuary-mount-lykaion-zeus-sanctuary</x:v>
      </x:c>
      <x:c r="C226" s="14" t="str">
        <x:v>cult_of</x:v>
      </x:c>
      <x:c r="D226" s="14"/>
      <x:c r="E226" s="14" t="str">
        <x:v>deity_or_cult-zeys-lykaios</x:v>
      </x:c>
      <x:c r="F226" s="16" t="str">
        <x:v>Ζευς Λύκαιος</x:v>
      </x:c>
      <x:c r="G226" s="16" t="str">
        <x:v>Zeus Lycaeus</x:v>
      </x:c>
      <x:c r="H226" s="14" t="str">
        <x:v>medium</x:v>
      </x:c>
      <x:c r="I226" s="14" t="str">
        <x:v>src-pleiades-570764</x:v>
      </x:c>
      <x:c r="J226" s="16" t="str">
        <x:v>deity_or_cult_el: Ζευς Λύκαιος</x:v>
      </x:c>
      <x:c r="K226" s="14" t="str">
        <x:v>reviewed</x:v>
      </x:c>
    </x:row>
    <x:row r="227" ht="52" customHeight="1">
      <x:c r="A227" s="14" t="str">
        <x:v>rel-b71ea0240fdf</x:v>
      </x:c>
      <x:c r="B227" s="14" t="str">
        <x:v>colony-taucheira</x:v>
      </x:c>
      <x:c r="C227" s="14" t="str">
        <x:v>founded_from</x:v>
      </x:c>
      <x:c r="D227" s="14" t="str">
        <x:v>colony-cyrene</x:v>
      </x:c>
      <x:c r="E227" s="14"/>
      <x:c r="F227" s="16" t="str">
        <x:v>Κυρήνη</x:v>
      </x:c>
      <x:c r="G227" s="16" t="str">
        <x:v>Cyrene</x:v>
      </x:c>
      <x:c r="H227" s="14" t="str">
        <x:v>medium</x:v>
      </x:c>
      <x:c r="I227" s="14" t="str">
        <x:v>src-pleiades-373736</x:v>
      </x:c>
      <x:c r="J227" s="16" t="str">
        <x:v>metropolis_el: Κυρήνη</x:v>
      </x:c>
      <x:c r="K227" s="14" t="str">
        <x:v>reviewed</x:v>
      </x:c>
    </x:row>
    <x:row r="228" ht="52" customHeight="1">
      <x:c r="A228" s="14" t="str">
        <x:v>rel-b76fd72f0b54</x:v>
      </x:c>
      <x:c r="B228" s="14" t="str">
        <x:v>kingdom-knossos-mycenaean</x:v>
      </x:c>
      <x:c r="C228" s="14" t="str">
        <x:v>succeeded_by</x:v>
      </x:c>
      <x:c r="D228" s="14"/>
      <x:c r="E228" s="14" t="str">
        <x:v>polity-metanaktorike-krete-kai-periphereiaka-kentra</x:v>
      </x:c>
      <x:c r="F228" s="16" t="str">
        <x:v>Μετανακτορική Κρήτη και περιφερειακά κέντρα</x:v>
      </x:c>
      <x:c r="G228" s="16" t="str">
        <x:v>Post-palatial Crete and regional centres</x:v>
      </x:c>
      <x:c r="H228" s="14" t="str">
        <x:v>medium</x:v>
      </x:c>
      <x:c r="I228" s="14" t="str">
        <x:v>src-odysseus-9e3ae0cba911</x:v>
      </x:c>
      <x:c r="J228" s="16" t="str">
        <x:v>successor_el: Μετανακτορική Κρήτη και περιφερειακά κέντρα</x:v>
      </x:c>
      <x:c r="K228" s="14" t="str">
        <x:v>reviewed</x:v>
      </x:c>
    </x:row>
    <x:row r="229" ht="52" customHeight="1">
      <x:c r="A229" s="14" t="str">
        <x:v>rel-b7f9cc5ec9b4</x:v>
      </x:c>
      <x:c r="B229" s="14" t="str">
        <x:v>sanctuary-tegea-athena-alea-sanctuary</x:v>
      </x:c>
      <x:c r="C229" s="14" t="str">
        <x:v>cult_of</x:v>
      </x:c>
      <x:c r="D229" s="14"/>
      <x:c r="E229" s="14" t="str">
        <x:v>deity_or_cult-athena-alea</x:v>
      </x:c>
      <x:c r="F229" s="16" t="str">
        <x:v>Αθηνά Αλέα</x:v>
      </x:c>
      <x:c r="G229" s="16" t="str">
        <x:v>Athena Alea</x:v>
      </x:c>
      <x:c r="H229" s="14" t="str">
        <x:v>medium</x:v>
      </x:c>
      <x:c r="I229" s="14" t="str">
        <x:v>src-pleiades-372843530</x:v>
      </x:c>
      <x:c r="J229" s="16" t="str">
        <x:v>deity_or_cult_el: Αθηνά Αλέα</x:v>
      </x:c>
      <x:c r="K229" s="14" t="str">
        <x:v>reviewed</x:v>
      </x:c>
    </x:row>
    <x:row r="230" ht="52" customHeight="1">
      <x:c r="A230" s="14" t="str">
        <x:v>rel-b80025b53c62</x:v>
      </x:c>
      <x:c r="B230" s="14" t="str">
        <x:v>colony-tyras</x:v>
      </x:c>
      <x:c r="C230" s="14" t="str">
        <x:v>founded_from</x:v>
      </x:c>
      <x:c r="D230" s="14" t="str">
        <x:v>colony-miletus</x:v>
      </x:c>
      <x:c r="E230" s="14"/>
      <x:c r="F230" s="16" t="str">
        <x:v>Μίλητος</x:v>
      </x:c>
      <x:c r="G230" s="16" t="str">
        <x:v>Miletus</x:v>
      </x:c>
      <x:c r="H230" s="14" t="str">
        <x:v>medium</x:v>
      </x:c>
      <x:c r="I230" s="14" t="str">
        <x:v>src-pleiades-226800</x:v>
      </x:c>
      <x:c r="J230" s="16" t="str">
        <x:v>metropolis_el: Μίλητος</x:v>
      </x:c>
      <x:c r="K230" s="14" t="str">
        <x:v>reviewed</x:v>
      </x:c>
    </x:row>
    <x:row r="231" ht="52" customHeight="1">
      <x:c r="A231" s="14" t="str">
        <x:v>rel-b82be7986d74</x:v>
      </x:c>
      <x:c r="B231" s="14" t="str">
        <x:v>kingdom-iolcos-palatial</x:v>
      </x:c>
      <x:c r="C231" s="14" t="str">
        <x:v>ruled_by_dynasty</x:v>
      </x:c>
      <x:c r="D231" s="14"/>
      <x:c r="E231" s="14" t="str">
        <x:v>dynasty-agnoste-oi-aiolides-anekoyn-ste-mythike-paradose</x:v>
      </x:c>
      <x:c r="F231" s="16" t="str">
        <x:v>Άγνωστη· οι Αιολίδες ανήκουν στη μυθική παράδοση</x:v>
      </x:c>
      <x:c r="G231" s="16" t="str">
        <x:v>Unknown; the Aeolians belong to the mythic tradition</x:v>
      </x:c>
      <x:c r="H231" s="14" t="str">
        <x:v>medium</x:v>
      </x:c>
      <x:c r="I231" s="14" t="str">
        <x:v>src-odysseus-589898851f92</x:v>
      </x:c>
      <x:c r="J231" s="16" t="str">
        <x:v>dynasty_el: Άγνωστη· οι Αιολίδες ανήκουν στη μυθική παράδοση</x:v>
      </x:c>
      <x:c r="K231" s="14" t="str">
        <x:v>reviewed</x:v>
      </x:c>
    </x:row>
    <x:row r="232" ht="52" customHeight="1">
      <x:c r="A232" s="14" t="str">
        <x:v>rel-b83423831014</x:v>
      </x:c>
      <x:c r="B232" s="14" t="str">
        <x:v>kingdom-commagene</x:v>
      </x:c>
      <x:c r="C232" s="14" t="str">
        <x:v>succeeded_by</x:v>
      </x:c>
      <x:c r="D232" s="14"/>
      <x:c r="E232" s="14" t="str">
        <x:v>polity-romaike-eparchia-syria</x:v>
      </x:c>
      <x:c r="F232" s="16" t="str">
        <x:v>Ρωμαϊκή επαρχία Συρία</x:v>
      </x:c>
      <x:c r="G232" s="16" t="str">
        <x:v>Roman province of Syria</x:v>
      </x:c>
      <x:c r="H232" s="14" t="str">
        <x:v>medium</x:v>
      </x:c>
      <x:c r="I232" s="14" t="str">
        <x:v>src-whc-758c2c416617</x:v>
      </x:c>
      <x:c r="J232" s="16" t="str">
        <x:v>successor_el: Ρωμαϊκή επαρχία Συρία</x:v>
      </x:c>
      <x:c r="K232" s="14" t="str">
        <x:v>reviewed</x:v>
      </x:c>
    </x:row>
    <x:row r="233" ht="52" customHeight="1">
      <x:c r="A233" s="14" t="str">
        <x:v>rel-b86301cb4a67</x:v>
      </x:c>
      <x:c r="B233" s="14" t="str">
        <x:v>sanctuary-magnesia-artemis-leukophryene</x:v>
      </x:c>
      <x:c r="C233" s="14" t="str">
        <x:v>cult_of</x:v>
      </x:c>
      <x:c r="D233" s="14"/>
      <x:c r="E233" s="14" t="str">
        <x:v>deity_or_cult-artemis-leykophryene</x:v>
      </x:c>
      <x:c r="F233" s="16" t="str">
        <x:v>Άρτεμις Λευκοφρυηνή</x:v>
      </x:c>
      <x:c r="G233" s="16" t="str">
        <x:v>Artemis Leucophryene</x:v>
      </x:c>
      <x:c r="H233" s="14" t="str">
        <x:v>medium</x:v>
      </x:c>
      <x:c r="I233" s="14" t="str">
        <x:v>src-pleiades-599778</x:v>
      </x:c>
      <x:c r="J233" s="16" t="str">
        <x:v>deity_or_cult_el: Άρτεμις Λευκοφρυηνή</x:v>
      </x:c>
      <x:c r="K233" s="14" t="str">
        <x:v>reviewed</x:v>
      </x:c>
    </x:row>
    <x:row r="234" ht="52" customHeight="1">
      <x:c r="A234" s="14" t="str">
        <x:v>rel-b9296268f8c6</x:v>
      </x:c>
      <x:c r="B234" s="14" t="str">
        <x:v>sanctuary-histria-sacred-zone</x:v>
      </x:c>
      <x:c r="C234" s="14" t="str">
        <x:v>cult_of</x:v>
      </x:c>
      <x:c r="D234" s="14"/>
      <x:c r="E234" s="14" t="str">
        <x:v>deity_or_cult-apollon-ietros-zeys-kai-aphrodite</x:v>
      </x:c>
      <x:c r="F234" s="16" t="str">
        <x:v>Απόλλων Ιητρός, Ζευς και Αφροδίτη</x:v>
      </x:c>
      <x:c r="G234" s="16" t="str">
        <x:v>Apollo Ietros, Zeus and Aphrodite</x:v>
      </x:c>
      <x:c r="H234" s="14" t="str">
        <x:v>medium</x:v>
      </x:c>
      <x:c r="I234" s="14" t="str">
        <x:v>src-pleiades-216839</x:v>
      </x:c>
      <x:c r="J234" s="16" t="str">
        <x:v>deity_or_cult_el: Απόλλων Ιητρός, Ζευς και Αφροδίτη</x:v>
      </x:c>
      <x:c r="K234" s="14" t="str">
        <x:v>reviewed</x:v>
      </x:c>
    </x:row>
    <x:row r="235" ht="52" customHeight="1">
      <x:c r="A235" s="14" t="str">
        <x:v>rel-b9cadcae2459</x:v>
      </x:c>
      <x:c r="B235" s="14" t="str">
        <x:v>kingdom-cyrene-magas</x:v>
      </x:c>
      <x:c r="C235" s="14" t="str">
        <x:v>preceded_by</x:v>
      </x:c>
      <x:c r="D235" s="14"/>
      <x:c r="E235" s="14" t="str">
        <x:v>polity-ptolemaike-dioikese-tes-kyrenaikes</x:v>
      </x:c>
      <x:c r="F235" s="16" t="str">
        <x:v>Πτολεμαϊκή διοίκηση της Κυρηναϊκής</x:v>
      </x:c>
      <x:c r="G235" s="16" t="str">
        <x:v>Ptolemaic administration of Cyrenaica</x:v>
      </x:c>
      <x:c r="H235" s="14" t="str">
        <x:v>medium</x:v>
      </x:c>
      <x:c r="I235" s="14" t="str">
        <x:v>src-persee-a9866e5e43d7</x:v>
      </x:c>
      <x:c r="J235" s="16" t="str">
        <x:v>predecessor_el: Πτολεμαϊκή διοίκηση της Κυρηναϊκής</x:v>
      </x:c>
      <x:c r="K235" s="14" t="str">
        <x:v>reviewed</x:v>
      </x:c>
    </x:row>
    <x:row r="236" ht="52" customHeight="1">
      <x:c r="A236" s="14" t="str">
        <x:v>rel-ba1143172fe5</x:v>
      </x:c>
      <x:c r="B236" s="14" t="str">
        <x:v>kingdom-orchomenos-palatial</x:v>
      </x:c>
      <x:c r="C236" s="14" t="str">
        <x:v>representative_center</x:v>
      </x:c>
      <x:c r="D236" s="14"/>
      <x:c r="E236" s="14" t="str">
        <x:v>settlement-orchomenos-boiotias</x:v>
      </x:c>
      <x:c r="F236" s="16" t="str">
        <x:v>Ορχομενός Βοιωτίας</x:v>
      </x:c>
      <x:c r="G236" s="16" t="str">
        <x:v>Orchomenos of Boeotia</x:v>
      </x:c>
      <x:c r="H236" s="14" t="str">
        <x:v>high</x:v>
      </x:c>
      <x:c r="I236" s="14" t="str">
        <x:v>src-mthv-715d665b63b5</x:v>
      </x:c>
      <x:c r="J236" s="16" t="str">
        <x:v>representative_center_el: Ορχομενός Βοιωτίας</x:v>
      </x:c>
      <x:c r="K236" s="14" t="str">
        <x:v>reviewed</x:v>
      </x:c>
    </x:row>
    <x:row r="237" ht="52" customHeight="1">
      <x:c r="A237" s="14" t="str">
        <x:v>rel-ba30d285aea4</x:v>
      </x:c>
      <x:c r="B237" s="14" t="str">
        <x:v>kingdom-iolcos-palatial</x:v>
      </x:c>
      <x:c r="C237" s="14" t="str">
        <x:v>preceded_by</x:v>
      </x:c>
      <x:c r="D237" s="14"/>
      <x:c r="E237" s="14" t="str">
        <x:v>polity-proimes-mykenaikes-koinotetes-tes-magnesias</x:v>
      </x:c>
      <x:c r="F237" s="16" t="str">
        <x:v>Πρώιμες μυκηναϊκές κοινότητες της Μαγνησίας</x:v>
      </x:c>
      <x:c r="G237" s="16" t="str">
        <x:v>Early Mycenaean communities of Magnesia</x:v>
      </x:c>
      <x:c r="H237" s="14" t="str">
        <x:v>medium</x:v>
      </x:c>
      <x:c r="I237" s="14" t="str">
        <x:v>src-odysseus-589898851f92</x:v>
      </x:c>
      <x:c r="J237" s="16" t="str">
        <x:v>predecessor_el: Πρώιμες μυκηναϊκές κοινότητες της Μαγνησίας</x:v>
      </x:c>
      <x:c r="K237" s="14" t="str">
        <x:v>reviewed</x:v>
      </x:c>
    </x:row>
    <x:row r="238" ht="52" customHeight="1">
      <x:c r="A238" s="14" t="str">
        <x:v>rel-bae95f5792f3</x:v>
      </x:c>
      <x:c r="B238" s="14" t="str">
        <x:v>sanctuary-ephesus-artemis-sanctuary</x:v>
      </x:c>
      <x:c r="C238" s="14" t="str">
        <x:v>associated_with_settlement</x:v>
      </x:c>
      <x:c r="D238" s="14" t="str">
        <x:v>colony-ephesus</x:v>
      </x:c>
      <x:c r="E238" s="14"/>
      <x:c r="F238" s="16" t="str">
        <x:v>Έφεσος</x:v>
      </x:c>
      <x:c r="G238" s="16" t="str">
        <x:v>Ephesus</x:v>
      </x:c>
      <x:c r="H238" s="14" t="str">
        <x:v>high</x:v>
      </x:c>
      <x:c r="I238" s="14" t="str">
        <x:v>src-pleiades-873985034</x:v>
      </x:c>
      <x:c r="J238" s="16" t="str">
        <x:v>Ρητή επιμελητική σύνδεση του Αρτεμισίου με την Έφεσο.</x:v>
      </x:c>
      <x:c r="K238" s="14" t="str">
        <x:v>reviewed</x:v>
      </x:c>
    </x:row>
    <x:row r="239" ht="52" customHeight="1">
      <x:c r="A239" s="14" t="str">
        <x:v>rel-baebd440ffc6</x:v>
      </x:c>
      <x:c r="B239" s="14" t="str">
        <x:v>kingdom-ptolemaic-egypt</x:v>
      </x:c>
      <x:c r="C239" s="14" t="str">
        <x:v>succeeded_by</x:v>
      </x:c>
      <x:c r="D239" s="14"/>
      <x:c r="E239" s="14" t="str">
        <x:v>polity-romaike-eparchia-aigyptos</x:v>
      </x:c>
      <x:c r="F239" s="16" t="str">
        <x:v>Ρωμαϊκή επαρχία Αίγυπτος</x:v>
      </x:c>
      <x:c r="G239" s="16" t="str">
        <x:v>Roman province of Egypt</x:v>
      </x:c>
      <x:c r="H239" s="14" t="str">
        <x:v>medium</x:v>
      </x:c>
      <x:c r="I239" s="14" t="str">
        <x:v>src-metmuseum-9200258a95cb</x:v>
      </x:c>
      <x:c r="J239" s="16" t="str">
        <x:v>successor_el: Ρωμαϊκή επαρχία Αίγυπτος</x:v>
      </x:c>
      <x:c r="K239" s="14" t="str">
        <x:v>reviewed</x:v>
      </x:c>
    </x:row>
    <x:row r="240" ht="52" customHeight="1">
      <x:c r="A240" s="14" t="str">
        <x:v>rel-bb2c95089fa0</x:v>
      </x:c>
      <x:c r="B240" s="14" t="str">
        <x:v>colony-chalcedon</x:v>
      </x:c>
      <x:c r="C240" s="14" t="str">
        <x:v>founded_from</x:v>
      </x:c>
      <x:c r="D240" s="14" t="str">
        <x:v>city-megara</x:v>
      </x:c>
      <x:c r="E240" s="14"/>
      <x:c r="F240" s="16" t="str">
        <x:v>Μέγαρα</x:v>
      </x:c>
      <x:c r="G240" s="16" t="str">
        <x:v>Megara</x:v>
      </x:c>
      <x:c r="H240" s="14" t="str">
        <x:v>medium</x:v>
      </x:c>
      <x:c r="I240" s="14" t="str">
        <x:v>src-pleiades-520988</x:v>
      </x:c>
      <x:c r="J240" s="16" t="str">
        <x:v>metropolis_el: Μέγαρα</x:v>
      </x:c>
      <x:c r="K240" s="14" t="str">
        <x:v>reviewed</x:v>
      </x:c>
    </x:row>
    <x:row r="241" ht="52" customHeight="1">
      <x:c r="A241" s="14" t="str">
        <x:v>rel-bb9b6ae61526</x:v>
      </x:c>
      <x:c r="B241" s="14" t="str">
        <x:v>kingdom-mycenae-palatial</x:v>
      </x:c>
      <x:c r="C241" s="14" t="str">
        <x:v>ruled_by_dynasty</x:v>
      </x:c>
      <x:c r="D241" s="14"/>
      <x:c r="E241" s="14" t="str">
        <x:v>dynasty-agnoste-oi-atreides-anekoyn-ste-mythike-paradose</x:v>
      </x:c>
      <x:c r="F241" s="16" t="str">
        <x:v>Άγνωστη· οι Ατρείδες ανήκουν στη μυθική παράδοση</x:v>
      </x:c>
      <x:c r="G241" s="16" t="str">
        <x:v>Unknown; the Atreides belong to the mythic tradition</x:v>
      </x:c>
      <x:c r="H241" s="14" t="str">
        <x:v>medium</x:v>
      </x:c>
      <x:c r="I241" s="14" t="str">
        <x:v>src-whc-6306f630553d</x:v>
      </x:c>
      <x:c r="J241" s="16" t="str">
        <x:v>dynasty_el: Άγνωστη· οι Ατρείδες ανήκουν στη μυθική παράδοση</x:v>
      </x:c>
      <x:c r="K241" s="14" t="str">
        <x:v>reviewed</x:v>
      </x:c>
    </x:row>
    <x:row r="242" ht="52" customHeight="1">
      <x:c r="A242" s="14" t="str">
        <x:v>rel-bba97f2756f5</x:v>
      </x:c>
      <x:c r="B242" s="14" t="str">
        <x:v>kingdom-bosporus-archaeanactid</x:v>
      </x:c>
      <x:c r="C242" s="14" t="str">
        <x:v>ruled_by_dynasty</x:v>
      </x:c>
      <x:c r="D242" s="14"/>
      <x:c r="E242" s="14" t="str">
        <x:v>dynasty-archaianaktides</x:v>
      </x:c>
      <x:c r="F242" s="16" t="str">
        <x:v>Αρχαιανακτίδες</x:v>
      </x:c>
      <x:c r="G242" s="16" t="str">
        <x:v>Archaeanactids</x:v>
      </x:c>
      <x:c r="H242" s="14" t="str">
        <x:v>medium</x:v>
      </x:c>
      <x:c r="I242" s="14" t="str">
        <x:v>src-iranicaonline-4a607235e191</x:v>
      </x:c>
      <x:c r="J242" s="16" t="str">
        <x:v>dynasty_el: Αρχαιανακτίδες</x:v>
      </x:c>
      <x:c r="K242" s="14" t="str">
        <x:v>reviewed</x:v>
      </x:c>
    </x:row>
    <x:row r="243" ht="52" customHeight="1">
      <x:c r="A243" s="14" t="str">
        <x:v>rel-bc543cf4d2bb</x:v>
      </x:c>
      <x:c r="B243" s="14" t="str">
        <x:v>sanctuary-athens-acropolis-sacred-center</x:v>
      </x:c>
      <x:c r="C243" s="14" t="str">
        <x:v>associated_with_settlement</x:v>
      </x:c>
      <x:c r="D243" s="14" t="str">
        <x:v>city-athens-attica</x:v>
      </x:c>
      <x:c r="E243" s="14"/>
      <x:c r="F243" s="16" t="str">
        <x:v>Αθήνα</x:v>
      </x:c>
      <x:c r="G243" s="16" t="str">
        <x:v>Athens</x:v>
      </x:c>
      <x:c r="H243" s="14" t="str">
        <x:v>high</x:v>
      </x:c>
      <x:c r="I243" s="14" t="str">
        <x:v>src-pleiades-638356144</x:v>
      </x:c>
      <x:c r="J243" s="16" t="str">
        <x:v>Ρητή επιμελητική σύνδεση της Ακρόπολης με την Αθήνα.</x:v>
      </x:c>
      <x:c r="K243" s="14" t="str">
        <x:v>reviewed</x:v>
      </x:c>
    </x:row>
    <x:row r="244" ht="52" customHeight="1">
      <x:c r="A244" s="14" t="str">
        <x:v>rel-bd7c4e400ae2</x:v>
      </x:c>
      <x:c r="B244" s="14" t="str">
        <x:v>kingdom-pontus-mithridatid</x:v>
      </x:c>
      <x:c r="C244" s="14" t="str">
        <x:v>ruled_by_dynasty</x:v>
      </x:c>
      <x:c r="D244" s="14"/>
      <x:c r="E244" s="14" t="str">
        <x:v>dynasty-mithridatides</x:v>
      </x:c>
      <x:c r="F244" s="16" t="str">
        <x:v>Μιθριδατίδες</x:v>
      </x:c>
      <x:c r="G244" s="16" t="str">
        <x:v>Mithridatids</x:v>
      </x:c>
      <x:c r="H244" s="14" t="str">
        <x:v>medium</x:v>
      </x:c>
      <x:c r="I244" s="14" t="str">
        <x:v>src-metmuseum-50fe20dc493f</x:v>
      </x:c>
      <x:c r="J244" s="16" t="str">
        <x:v>dynasty_el: Μιθριδατίδες</x:v>
      </x:c>
      <x:c r="K244" s="14" t="str">
        <x:v>reviewed</x:v>
      </x:c>
    </x:row>
    <x:row r="245" ht="52" customHeight="1">
      <x:c r="A245" s="14" t="str">
        <x:v>rel-be5c1c0c7d7c</x:v>
      </x:c>
      <x:c r="B245" s="14" t="str">
        <x:v>kingdom-greco-bactrian-diodotid</x:v>
      </x:c>
      <x:c r="C245" s="14" t="str">
        <x:v>ruled_by_dynasty</x:v>
      </x:c>
      <x:c r="D245" s="14"/>
      <x:c r="E245" s="14" t="str">
        <x:v>dynasty-diodotides</x:v>
      </x:c>
      <x:c r="F245" s="16" t="str">
        <x:v>Διοδοτίδες</x:v>
      </x:c>
      <x:c r="G245" s="16" t="str">
        <x:v>Diodotids</x:v>
      </x:c>
      <x:c r="H245" s="14" t="str">
        <x:v>medium</x:v>
      </x:c>
      <x:c r="I245" s="14" t="str">
        <x:v>src-metmuseum-50fe20dc493f</x:v>
      </x:c>
      <x:c r="J245" s="16" t="str">
        <x:v>dynasty_el: Διοδοτίδες</x:v>
      </x:c>
      <x:c r="K245" s="14" t="str">
        <x:v>reviewed</x:v>
      </x:c>
    </x:row>
    <x:row r="246" ht="52" customHeight="1">
      <x:c r="A246" s="14" t="str">
        <x:v>rel-bed3fe7751d8</x:v>
      </x:c>
      <x:c r="B246" s="14" t="str">
        <x:v>sanctuary-aphrodisias-aphrodite-sanctuary</x:v>
      </x:c>
      <x:c r="C246" s="14" t="str">
        <x:v>cult_of</x:v>
      </x:c>
      <x:c r="D246" s="14"/>
      <x:c r="E246" s="14" t="str">
        <x:v>deity_or_cult-aphrodite-aphrodisias</x:v>
      </x:c>
      <x:c r="F246" s="16" t="str">
        <x:v>Αφροδίτη Αφροδισιάς</x:v>
      </x:c>
      <x:c r="G246" s="16" t="str">
        <x:v>Aphrodite of Aphrodisias</x:v>
      </x:c>
      <x:c r="H246" s="14" t="str">
        <x:v>medium</x:v>
      </x:c>
      <x:c r="I246" s="14" t="str">
        <x:v>src-aphrodisias-excavations-68b8b8553e48</x:v>
      </x:c>
      <x:c r="J246" s="16" t="str">
        <x:v>deity_or_cult_el: Αφροδίτη Αφροδισιάς</x:v>
      </x:c>
      <x:c r="K246" s="14" t="str">
        <x:v>reviewed</x:v>
      </x:c>
    </x:row>
    <x:row r="247" ht="52" customHeight="1">
      <x:c r="A247" s="14" t="str">
        <x:v>rel-beeeec7375f9</x:v>
      </x:c>
      <x:c r="B247" s="14" t="str">
        <x:v>kingdom-macedon-antigonid</x:v>
      </x:c>
      <x:c r="C247" s="14" t="str">
        <x:v>preceded_by</x:v>
      </x:c>
      <x:c r="D247" s="14"/>
      <x:c r="E247" s="14" t="str">
        <x:v>polity-metabatikes-basileies-ste-makedonia-meta-toys-diadochoys</x:v>
      </x:c>
      <x:c r="F247" s="16" t="str">
        <x:v>Μεταβατικές βασιλείες στη Μακεδονία μετά τους Διαδόχους</x:v>
      </x:c>
      <x:c r="G247" s="16" t="str">
        <x:v>Transitional kingdoms in Macedonia after the Successors</x:v>
      </x:c>
      <x:c r="H247" s="14" t="str">
        <x:v>medium</x:v>
      </x:c>
      <x:c r="I247" s="14" t="str">
        <x:v>src-metmuseum-50fe20dc493f</x:v>
      </x:c>
      <x:c r="J247" s="16" t="str">
        <x:v>predecessor_el: Μεταβατικές βασιλείες στη Μακεδονία μετά τους Διαδόχους</x:v>
      </x:c>
      <x:c r="K247" s="14" t="str">
        <x:v>reviewed</x:v>
      </x:c>
    </x:row>
    <x:row r="248" ht="52" customHeight="1">
      <x:c r="A248" s="14" t="str">
        <x:v>rel-bf0b21c5bdee</x:v>
      </x:c>
      <x:c r="B248" s="14" t="str">
        <x:v>colony-taras</x:v>
      </x:c>
      <x:c r="C248" s="14" t="str">
        <x:v>founded_from</x:v>
      </x:c>
      <x:c r="D248" s="14" t="str">
        <x:v>city-sparta</x:v>
      </x:c>
      <x:c r="E248" s="14"/>
      <x:c r="F248" s="16" t="str">
        <x:v>Σπάρτη</x:v>
      </x:c>
      <x:c r="G248" s="16" t="str">
        <x:v>Sparta</x:v>
      </x:c>
      <x:c r="H248" s="14" t="str">
        <x:v>medium</x:v>
      </x:c>
      <x:c r="I248" s="14" t="str">
        <x:v>src-pleiades-442810</x:v>
      </x:c>
      <x:c r="J248" s="16" t="str">
        <x:v>metropolis_el: Σπάρτη</x:v>
      </x:c>
      <x:c r="K248" s="14" t="str">
        <x:v>reviewed</x:v>
      </x:c>
    </x:row>
    <x:row r="249" ht="52" customHeight="1">
      <x:c r="A249" s="14" t="str">
        <x:v>rel-bf2eb4514fcb</x:v>
      </x:c>
      <x:c r="B249" s="14" t="str">
        <x:v>sanctuary-chersonesos-parthenos-sanctuary</x:v>
      </x:c>
      <x:c r="C249" s="14" t="str">
        <x:v>cult_of</x:v>
      </x:c>
      <x:c r="D249" s="14"/>
      <x:c r="E249" s="14" t="str">
        <x:v>deity_or_cult-parthenos</x:v>
      </x:c>
      <x:c r="F249" s="16" t="str">
        <x:v>Παρθένος</x:v>
      </x:c>
      <x:c r="G249" s="16" t="str">
        <x:v>Parthenos</x:v>
      </x:c>
      <x:c r="H249" s="14" t="str">
        <x:v>medium</x:v>
      </x:c>
      <x:c r="I249" s="14" t="str">
        <x:v>src-whc-329a28f5c851</x:v>
      </x:c>
      <x:c r="J249" s="16" t="str">
        <x:v>deity_or_cult_el: Παρθένος</x:v>
      </x:c>
      <x:c r="K249" s="14" t="str">
        <x:v>reviewed</x:v>
      </x:c>
    </x:row>
    <x:row r="250" ht="52" customHeight="1">
      <x:c r="A250" s="14" t="str">
        <x:v>rel-bf64d4cac166</x:v>
      </x:c>
      <x:c r="B250" s="14" t="str">
        <x:v>sanctuary-siwa-amun-zeus-oracle</x:v>
      </x:c>
      <x:c r="C250" s="14" t="str">
        <x:v>cult_of</x:v>
      </x:c>
      <x:c r="D250" s="14"/>
      <x:c r="E250" s="14" t="str">
        <x:v>deity_or_cult-ammon-zeys-ammon</x:v>
      </x:c>
      <x:c r="F250" s="16" t="str">
        <x:v>Άμμων/Ζευς Άμμων</x:v>
      </x:c>
      <x:c r="G250" s="16" t="str">
        <x:v>Ammon/Zeus Ammon</x:v>
      </x:c>
      <x:c r="H250" s="14" t="str">
        <x:v>medium</x:v>
      </x:c>
      <x:c r="I250" s="14" t="str">
        <x:v>src-pleiades-716520</x:v>
      </x:c>
      <x:c r="J250" s="16" t="str">
        <x:v>deity_or_cult_el: Άμμων/Ζευς Άμμων</x:v>
      </x:c>
      <x:c r="K250" s="14" t="str">
        <x:v>reviewed</x:v>
      </x:c>
    </x:row>
    <x:row r="251" ht="52" customHeight="1">
      <x:c r="A251" s="14" t="str">
        <x:v>rel-c0462dce5520</x:v>
      </x:c>
      <x:c r="B251" s="14" t="str">
        <x:v>sanctuary-crete-iuktas-peak-sanctuary</x:v>
      </x:c>
      <x:c r="C251" s="14" t="str">
        <x:v>cult_of</x:v>
      </x:c>
      <x:c r="D251" s="14"/>
      <x:c r="E251" s="14" t="str">
        <x:v>deity_or_cult-minoike-theoteta-koryphes</x:v>
      </x:c>
      <x:c r="F251" s="16" t="str">
        <x:v>Μινωική θεότητα κορυφής</x:v>
      </x:c>
      <x:c r="G251" s="16" t="str">
        <x:v>Minoan peak deity</x:v>
      </x:c>
      <x:c r="H251" s="14" t="str">
        <x:v>medium</x:v>
      </x:c>
      <x:c r="I251" s="14" t="str">
        <x:v>src-pleiades-559217802</x:v>
      </x:c>
      <x:c r="J251" s="16" t="str">
        <x:v>deity_or_cult_el: Μινωική θεότητα κορυφής</x:v>
      </x:c>
      <x:c r="K251" s="14" t="str">
        <x:v>reviewed</x:v>
      </x:c>
    </x:row>
    <x:row r="252" ht="52" customHeight="1">
      <x:c r="A252" s="14" t="str">
        <x:v>rel-c166073b256f</x:v>
      </x:c>
      <x:c r="B252" s="14" t="str">
        <x:v>colony-phasis-city</x:v>
      </x:c>
      <x:c r="C252" s="14" t="str">
        <x:v>founded_from</x:v>
      </x:c>
      <x:c r="D252" s="14" t="str">
        <x:v>colony-miletus</x:v>
      </x:c>
      <x:c r="E252" s="14"/>
      <x:c r="F252" s="16" t="str">
        <x:v>Μίλητος</x:v>
      </x:c>
      <x:c r="G252" s="16" t="str">
        <x:v>Miletus</x:v>
      </x:c>
      <x:c r="H252" s="14" t="str">
        <x:v>medium</x:v>
      </x:c>
      <x:c r="I252" s="14" t="str">
        <x:v>src-pleiades-857275</x:v>
      </x:c>
      <x:c r="J252" s="16" t="str">
        <x:v>metropolis_el: Μίλητος</x:v>
      </x:c>
      <x:c r="K252" s="14" t="str">
        <x:v>reviewed</x:v>
      </x:c>
    </x:row>
    <x:row r="253" ht="52" customHeight="1">
      <x:c r="A253" s="14" t="str">
        <x:v>rel-c370e8a6082b</x:v>
      </x:c>
      <x:c r="B253" s="14" t="str">
        <x:v>colony-sinope</x:v>
      </x:c>
      <x:c r="C253" s="14" t="str">
        <x:v>founded_from</x:v>
      </x:c>
      <x:c r="D253" s="14" t="str">
        <x:v>colony-miletus</x:v>
      </x:c>
      <x:c r="E253" s="14"/>
      <x:c r="F253" s="16" t="str">
        <x:v>Μίλητος</x:v>
      </x:c>
      <x:c r="G253" s="16" t="str">
        <x:v>Miletus</x:v>
      </x:c>
      <x:c r="H253" s="14" t="str">
        <x:v>medium</x:v>
      </x:c>
      <x:c r="I253" s="14" t="str">
        <x:v>src-pleiades-857321</x:v>
      </x:c>
      <x:c r="J253" s="16" t="str">
        <x:v>metropolis_el: Μίλητος</x:v>
      </x:c>
      <x:c r="K253" s="14" t="str">
        <x:v>reviewed</x:v>
      </x:c>
    </x:row>
    <x:row r="254" ht="52" customHeight="1">
      <x:c r="A254" s="14" t="str">
        <x:v>rel-c3b13a75cb35</x:v>
      </x:c>
      <x:c r="B254" s="14" t="str">
        <x:v>colony-zancle-messana</x:v>
      </x:c>
      <x:c r="C254" s="14" t="str">
        <x:v>founded_from</x:v>
      </x:c>
      <x:c r="D254" s="14"/>
      <x:c r="E254" s="14" t="str">
        <x:v>settlement-chalkida-kai-kyme</x:v>
      </x:c>
      <x:c r="F254" s="16" t="str">
        <x:v>Χαλκίδα και Κύμη</x:v>
      </x:c>
      <x:c r="G254" s="16" t="str">
        <x:v>Chalkida and Kymi</x:v>
      </x:c>
      <x:c r="H254" s="14" t="str">
        <x:v>medium</x:v>
      </x:c>
      <x:c r="I254" s="14" t="str">
        <x:v>src-pleiades-462538</x:v>
      </x:c>
      <x:c r="J254" s="16" t="str">
        <x:v>metropolis_el: Χαλκίδα και Κύμη</x:v>
      </x:c>
      <x:c r="K254" s="14" t="str">
        <x:v>reviewed</x:v>
      </x:c>
    </x:row>
    <x:row r="255" ht="52" customHeight="1">
      <x:c r="A255" s="14" t="str">
        <x:v>rel-c468bd2151d2</x:v>
      </x:c>
      <x:c r="B255" s="14" t="str">
        <x:v>colony-ancona</x:v>
      </x:c>
      <x:c r="C255" s="14" t="str">
        <x:v>founded_from</x:v>
      </x:c>
      <x:c r="D255" s="14" t="str">
        <x:v>colony-syracuse</x:v>
      </x:c>
      <x:c r="E255" s="14"/>
      <x:c r="F255" s="16" t="str">
        <x:v>Συρακούσες</x:v>
      </x:c>
      <x:c r="G255" s="16" t="str">
        <x:v>Syracuse</x:v>
      </x:c>
      <x:c r="H255" s="14" t="str">
        <x:v>medium</x:v>
      </x:c>
      <x:c r="I255" s="14" t="str">
        <x:v>src-pleiades-413014</x:v>
      </x:c>
      <x:c r="J255" s="16" t="str">
        <x:v>metropolis_el: Συρακούσες</x:v>
      </x:c>
      <x:c r="K255" s="14" t="str">
        <x:v>reviewed</x:v>
      </x:c>
    </x:row>
    <x:row r="256" ht="52" customHeight="1">
      <x:c r="A256" s="14" t="str">
        <x:v>rel-c478532939dd</x:v>
      </x:c>
      <x:c r="B256" s="14" t="str">
        <x:v>colony-phaselis</x:v>
      </x:c>
      <x:c r="C256" s="14" t="str">
        <x:v>founded_from</x:v>
      </x:c>
      <x:c r="D256" s="14"/>
      <x:c r="E256" s="14" t="str">
        <x:v>settlement-rodos-lindos</x:v>
      </x:c>
      <x:c r="F256" s="16" t="str">
        <x:v>Ρόδος (Λίνδος)</x:v>
      </x:c>
      <x:c r="G256" s="16" t="str">
        <x:v>Rhodes (Lindos)</x:v>
      </x:c>
      <x:c r="H256" s="14" t="str">
        <x:v>medium</x:v>
      </x:c>
      <x:c r="I256" s="14" t="str">
        <x:v>src-pleiades-639051</x:v>
      </x:c>
      <x:c r="J256" s="16" t="str">
        <x:v>metropolis_el: Ρόδος (Λίνδος)</x:v>
      </x:c>
      <x:c r="K256" s="14" t="str">
        <x:v>reviewed</x:v>
      </x:c>
    </x:row>
    <x:row r="257" ht="52" customHeight="1">
      <x:c r="A257" s="14" t="str">
        <x:v>rel-c4b86b566955</x:v>
      </x:c>
      <x:c r="B257" s="14" t="str">
        <x:v>sanctuary-naukratis-hellenion</x:v>
      </x:c>
      <x:c r="C257" s="14" t="str">
        <x:v>cult_of</x:v>
      </x:c>
      <x:c r="D257" s="14"/>
      <x:c r="E257" s="14" t="str">
        <x:v>deity_or_cult-koino-iero-ton-ellenikon-poleon</x:v>
      </x:c>
      <x:c r="F257" s="16" t="str">
        <x:v>Κοινό ιερό των ελληνικών πόλεων</x:v>
      </x:c>
      <x:c r="G257" s="16" t="str">
        <x:v>Common sanctuary of Greek cities</x:v>
      </x:c>
      <x:c r="H257" s="14" t="str">
        <x:v>medium</x:v>
      </x:c>
      <x:c r="I257" s="14" t="str">
        <x:v>src-britishmuseum-4626abd5cbdd</x:v>
      </x:c>
      <x:c r="J257" s="16" t="str">
        <x:v>deity_or_cult_el: Κοινό ιερό των ελληνικών πόλεων</x:v>
      </x:c>
      <x:c r="K257" s="14" t="str">
        <x:v>reviewed</x:v>
      </x:c>
    </x:row>
    <x:row r="258" ht="52" customHeight="1">
      <x:c r="A258" s="14" t="str">
        <x:v>rel-c4fb21d36313</x:v>
      </x:c>
      <x:c r="B258" s="14" t="str">
        <x:v>kingdom-greco-bactrian-euthydemid</x:v>
      </x:c>
      <x:c r="C258" s="14" t="str">
        <x:v>preceded_by</x:v>
      </x:c>
      <x:c r="D258" s="14"/>
      <x:c r="E258" s="14" t="str">
        <x:v>polity-ellenobaktriano-basileio-ton-diodotidon</x:v>
      </x:c>
      <x:c r="F258" s="16" t="str">
        <x:v>Ελληνοβακτριανό Βασίλειο των Διοδοτιδών</x:v>
      </x:c>
      <x:c r="G258" s="16" t="str">
        <x:v>Greco-Bactrian Kingdom of the Diodotids</x:v>
      </x:c>
      <x:c r="H258" s="14" t="str">
        <x:v>medium</x:v>
      </x:c>
      <x:c r="I258" s="14" t="str">
        <x:v>src-iranicaonline-d4697d4d5c1a</x:v>
      </x:c>
      <x:c r="J258" s="16" t="str">
        <x:v>predecessor_el: Ελληνοβακτριανό Βασίλειο των Διοδοτιδών</x:v>
      </x:c>
      <x:c r="K258" s="14" t="str">
        <x:v>reviewed</x:v>
      </x:c>
    </x:row>
    <x:row r="259" ht="52" customHeight="1">
      <x:c r="A259" s="14" t="str">
        <x:v>rel-c50f0ea9f8ef</x:v>
      </x:c>
      <x:c r="B259" s="14" t="str">
        <x:v>colony-miletus</x:v>
      </x:c>
      <x:c r="C259" s="14" t="str">
        <x:v>founded_from</x:v>
      </x:c>
      <x:c r="D259" s="14"/>
      <x:c r="E259" s="14" t="str">
        <x:v>settlement-athena-ionike-paradose</x:v>
      </x:c>
      <x:c r="F259" s="16" t="str">
        <x:v>Αθήνα (ιωνική παράδοση)</x:v>
      </x:c>
      <x:c r="G259" s="16" t="str">
        <x:v>Athens (Ionic tradition)</x:v>
      </x:c>
      <x:c r="H259" s="14" t="str">
        <x:v>medium</x:v>
      </x:c>
      <x:c r="I259" s="14" t="str">
        <x:v>src-pleiades-599799</x:v>
      </x:c>
      <x:c r="J259" s="16" t="str">
        <x:v>metropolis_el: Αθήνα (ιωνική παράδοση)</x:v>
      </x:c>
      <x:c r="K259" s="14" t="str">
        <x:v>reviewed</x:v>
      </x:c>
    </x:row>
    <x:row r="260" ht="52" customHeight="1">
      <x:c r="A260" s="14" t="str">
        <x:v>rel-c76bc62eed1d</x:v>
      </x:c>
      <x:c r="B260" s="14" t="str">
        <x:v>kingdom-thebes-palatial</x:v>
      </x:c>
      <x:c r="C260" s="14" t="str">
        <x:v>succeeded_by</x:v>
      </x:c>
      <x:c r="D260" s="14"/>
      <x:c r="E260" s="14" t="str">
        <x:v>polity-metanaktorikes-boiotikes-koinotetes</x:v>
      </x:c>
      <x:c r="F260" s="16" t="str">
        <x:v>Μετανακτορικές βοιωτικές κοινότητες</x:v>
      </x:c>
      <x:c r="G260" s="16" t="str">
        <x:v>Post-palatial Boeotian communities</x:v>
      </x:c>
      <x:c r="H260" s="14" t="str">
        <x:v>medium</x:v>
      </x:c>
      <x:c r="I260" s="14" t="str">
        <x:v>src-mthv-715d665b63b5</x:v>
      </x:c>
      <x:c r="J260" s="16" t="str">
        <x:v>successor_el: Μετανακτορικές βοιωτικές κοινότητες</x:v>
      </x:c>
      <x:c r="K260" s="14" t="str">
        <x:v>reviewed</x:v>
      </x:c>
    </x:row>
    <x:row r="261" ht="52" customHeight="1">
      <x:c r="A261" s="14" t="str">
        <x:v>rel-c8746074a16f</x:v>
      </x:c>
      <x:c r="B261" s="14" t="str">
        <x:v>colony-catana</x:v>
      </x:c>
      <x:c r="C261" s="14" t="str">
        <x:v>founded_from</x:v>
      </x:c>
      <x:c r="D261" s="14" t="str">
        <x:v>colony-naxos-sicily</x:v>
      </x:c>
      <x:c r="E261" s="14"/>
      <x:c r="F261" s="16" t="str">
        <x:v>Νάξος Σικελίας</x:v>
      </x:c>
      <x:c r="G261" s="16" t="str">
        <x:v>Naxos</x:v>
      </x:c>
      <x:c r="H261" s="14" t="str">
        <x:v>medium</x:v>
      </x:c>
      <x:c r="I261" s="14" t="str">
        <x:v>src-pleiades-462270</x:v>
      </x:c>
      <x:c r="J261" s="16" t="str">
        <x:v>metropolis_el: Νάξος Σικελίας</x:v>
      </x:c>
      <x:c r="K261" s="14" t="str">
        <x:v>reviewed</x:v>
      </x:c>
    </x:row>
    <x:row r="262" ht="52" customHeight="1">
      <x:c r="A262" s="14" t="str">
        <x:v>rel-c8ab448b4824</x:v>
      </x:c>
      <x:c r="B262" s="14" t="str">
        <x:v>sanctuary-despotiko-apollo-sanctuary</x:v>
      </x:c>
      <x:c r="C262" s="14" t="str">
        <x:v>cult_of</x:v>
      </x:c>
      <x:c r="D262" s="14"/>
      <x:c r="E262" s="14" t="str">
        <x:v>deity_or_cult-apollon-kai-artemis</x:v>
      </x:c>
      <x:c r="F262" s="16" t="str">
        <x:v>Απόλλων και Άρτεμις</x:v>
      </x:c>
      <x:c r="G262" s="16" t="str">
        <x:v>Apollo and Artemis</x:v>
      </x:c>
      <x:c r="H262" s="14" t="str">
        <x:v>medium</x:v>
      </x:c>
      <x:c r="I262" s="14" t="str">
        <x:v>src-pleiades-854812387</x:v>
      </x:c>
      <x:c r="J262" s="16" t="str">
        <x:v>deity_or_cult_el: Απόλλων και Άρτεμις</x:v>
      </x:c>
      <x:c r="K262" s="14" t="str">
        <x:v>reviewed</x:v>
      </x:c>
    </x:row>
    <x:row r="263" ht="52" customHeight="1">
      <x:c r="A263" s="14" t="str">
        <x:v>rel-c9932731dedd</x:v>
      </x:c>
      <x:c r="B263" s="14" t="str">
        <x:v>sanctuary-pergamon-asklepieion</x:v>
      </x:c>
      <x:c r="C263" s="14" t="str">
        <x:v>cult_of</x:v>
      </x:c>
      <x:c r="D263" s="14"/>
      <x:c r="E263" s="14" t="str">
        <x:v>deity_or_cult-asklepios-kai-telesphoros</x:v>
      </x:c>
      <x:c r="F263" s="16" t="str">
        <x:v>Ασκληπιός και Τελεσφόρος</x:v>
      </x:c>
      <x:c r="G263" s="16" t="str">
        <x:v>Asclepius and Telesphorus</x:v>
      </x:c>
      <x:c r="H263" s="14" t="str">
        <x:v>medium</x:v>
      </x:c>
      <x:c r="I263" s="14" t="str">
        <x:v>src-pleiades-550459</x:v>
      </x:c>
      <x:c r="J263" s="16" t="str">
        <x:v>deity_or_cult_el: Ασκληπιός και Τελεσφόρος</x:v>
      </x:c>
      <x:c r="K263" s="14" t="str">
        <x:v>reviewed</x:v>
      </x:c>
    </x:row>
    <x:row r="264" ht="52" customHeight="1">
      <x:c r="A264" s="14" t="str">
        <x:v>rel-cb65350bc3b9</x:v>
      </x:c>
      <x:c r="B264" s="14" t="str">
        <x:v>kingdom-syracuse-agathocles</x:v>
      </x:c>
      <x:c r="C264" s="14" t="str">
        <x:v>ruled_by_dynasty</x:v>
      </x:c>
      <x:c r="D264" s="14"/>
      <x:c r="E264" s="14" t="str">
        <x:v>dynasty-agathokles-kai-oikogeneia</x:v>
      </x:c>
      <x:c r="F264" s="16" t="str">
        <x:v>Αγαθοκλής και οικογένεια</x:v>
      </x:c>
      <x:c r="G264" s="16" t="str">
        <x:v>Agathocles and his family</x:v>
      </x:c>
      <x:c r="H264" s="14" t="str">
        <x:v>medium</x:v>
      </x:c>
      <x:c r="I264" s="14" t="str">
        <x:v>src-britishmuseum-073d3f0a8ae4</x:v>
      </x:c>
      <x:c r="J264" s="16" t="str">
        <x:v>dynasty_el: Αγαθοκλής και οικογένεια</x:v>
      </x:c>
      <x:c r="K264" s="14" t="str">
        <x:v>reviewed</x:v>
      </x:c>
    </x:row>
    <x:row r="265" ht="52" customHeight="1">
      <x:c r="A265" s="14" t="str">
        <x:v>rel-ccc25dfd15a2</x:v>
      </x:c>
      <x:c r="B265" s="14" t="str">
        <x:v>kingdom-seleucid</x:v>
      </x:c>
      <x:c r="C265" s="14" t="str">
        <x:v>representative_center</x:v>
      </x:c>
      <x:c r="D265" s="14" t="str">
        <x:v>city-antioch-orontes</x:v>
      </x:c>
      <x:c r="E265" s="14"/>
      <x:c r="F265" s="16" t="str">
        <x:v>Αντιόχεια επί Ορόντου</x:v>
      </x:c>
      <x:c r="G265" s="16" t="str">
        <x:v>Antioch on the Orontes</x:v>
      </x:c>
      <x:c r="H265" s="14" t="str">
        <x:v>high</x:v>
      </x:c>
      <x:c r="I265" s="14" t="str">
        <x:v>src-metmuseum-31540f5687cf</x:v>
      </x:c>
      <x:c r="J265" s="16" t="str">
        <x:v>representative_center_el: Αντιόχεια επί Ορόντου</x:v>
      </x:c>
      <x:c r="K265" s="14" t="str">
        <x:v>reviewed</x:v>
      </x:c>
    </x:row>
    <x:row r="266" ht="52" customHeight="1">
      <x:c r="A266" s="14" t="str">
        <x:v>rel-cf321a8994b4</x:v>
      </x:c>
      <x:c r="B266" s="14" t="str">
        <x:v>kingdom-greco-bactrian-euthydemid</x:v>
      </x:c>
      <x:c r="C266" s="14" t="str">
        <x:v>ruled_by_dynasty</x:v>
      </x:c>
      <x:c r="D266" s="14"/>
      <x:c r="E266" s="14" t="str">
        <x:v>dynasty-eythydemides</x:v>
      </x:c>
      <x:c r="F266" s="16" t="str">
        <x:v>Ευθυδημίδες</x:v>
      </x:c>
      <x:c r="G266" s="16" t="str">
        <x:v>Euthydemids</x:v>
      </x:c>
      <x:c r="H266" s="14" t="str">
        <x:v>medium</x:v>
      </x:c>
      <x:c r="I266" s="14" t="str">
        <x:v>src-iranicaonline-d4697d4d5c1a</x:v>
      </x:c>
      <x:c r="J266" s="16" t="str">
        <x:v>dynasty_el: Ευθυδημίδες</x:v>
      </x:c>
      <x:c r="K266" s="14" t="str">
        <x:v>reviewed</x:v>
      </x:c>
    </x:row>
    <x:row r="267" ht="52" customHeight="1">
      <x:c r="A267" s="14" t="str">
        <x:v>rel-d17ea4466d8f</x:v>
      </x:c>
      <x:c r="B267" s="14" t="str">
        <x:v>sanctuary-gyroulas-demeter-sanctuary</x:v>
      </x:c>
      <x:c r="C267" s="14" t="str">
        <x:v>associated_with_settlement</x:v>
      </x:c>
      <x:c r="D267" s="14" t="str">
        <x:v>city-naxos-cyclades</x:v>
      </x:c>
      <x:c r="E267" s="14"/>
      <x:c r="F267" s="16" t="str">
        <x:v>Νάξος</x:v>
      </x:c>
      <x:c r="G267" s="16" t="str">
        <x:v>Naxos</x:v>
      </x:c>
      <x:c r="H267" s="14" t="str">
        <x:v>medium</x:v>
      </x:c>
      <x:c r="I267" s="14" t="str">
        <x:v>src-pleiades-599631</x:v>
      </x:c>
      <x:c r="J267" s="16" t="str">
        <x:v>Το ιερό στον Γύρουλα συνδέεται με την πόλη και χώρα της Νάξου.</x:v>
      </x:c>
      <x:c r="K267" s="14" t="str">
        <x:v>reviewed</x:v>
      </x:c>
    </x:row>
    <x:row r="268" ht="52" customHeight="1">
      <x:c r="A268" s="14" t="str">
        <x:v>rel-d1d14ee2eb82</x:v>
      </x:c>
      <x:c r="B268" s="14" t="str">
        <x:v>kingdom-greco-bactrian-eucratid</x:v>
      </x:c>
      <x:c r="C268" s="14" t="str">
        <x:v>succeeded_by</x:v>
      </x:c>
      <x:c r="D268" s="14"/>
      <x:c r="E268" s="14" t="str">
        <x:v>polity-kyriarchia-gioyetzi-kai-allon-nomadikon-omadon-ste-baktriane</x:v>
      </x:c>
      <x:c r="F268" s="16" t="str">
        <x:v>Κυριαρχία Γιουετζί και άλλων νομαδικών ομάδων στη Βακτριανή</x:v>
      </x:c>
      <x:c r="G268" s="16" t="str">
        <x:v>Rule of the Yuezhi and other nomadic groups in Bactria</x:v>
      </x:c>
      <x:c r="H268" s="14" t="str">
        <x:v>medium</x:v>
      </x:c>
      <x:c r="I268" s="14" t="str">
        <x:v>src-iranicaonline-2bb61f112fc3</x:v>
      </x:c>
      <x:c r="J268" s="16" t="str">
        <x:v>successor_el: Κυριαρχία Γιουετζί και άλλων νομαδικών ομάδων στη Βακτριανή</x:v>
      </x:c>
      <x:c r="K268" s="14" t="str">
        <x:v>reviewed</x:v>
      </x:c>
    </x:row>
    <x:row r="269" ht="52" customHeight="1">
      <x:c r="A269" s="14" t="str">
        <x:v>rel-d278a5f1fed2</x:v>
      </x:c>
      <x:c r="B269" s="14" t="str">
        <x:v>colony-theodosia-crimea</x:v>
      </x:c>
      <x:c r="C269" s="14" t="str">
        <x:v>founded_from</x:v>
      </x:c>
      <x:c r="D269" s="14" t="str">
        <x:v>colony-miletus</x:v>
      </x:c>
      <x:c r="E269" s="14"/>
      <x:c r="F269" s="16" t="str">
        <x:v>Μίλητος</x:v>
      </x:c>
      <x:c r="G269" s="16" t="str">
        <x:v>Miletus</x:v>
      </x:c>
      <x:c r="H269" s="14" t="str">
        <x:v>medium</x:v>
      </x:c>
      <x:c r="I269" s="14" t="str">
        <x:v>src-pleiades-854743</x:v>
      </x:c>
      <x:c r="J269" s="16" t="str">
        <x:v>metropolis_el: Μίλητος</x:v>
      </x:c>
      <x:c r="K269" s="14" t="str">
        <x:v>reviewed</x:v>
      </x:c>
    </x:row>
    <x:row r="270" ht="52" customHeight="1">
      <x:c r="A270" s="14" t="str">
        <x:v>rel-d330ff05e1a2</x:v>
      </x:c>
      <x:c r="B270" s="14" t="str">
        <x:v>sanctuary-didyma-apollo-oracle</x:v>
      </x:c>
      <x:c r="C270" s="14" t="str">
        <x:v>cult_of</x:v>
      </x:c>
      <x:c r="D270" s="14"/>
      <x:c r="E270" s="14" t="str">
        <x:v>deity_or_cult-apollon-didymaios</x:v>
      </x:c>
      <x:c r="F270" s="16" t="str">
        <x:v>Απόλλων Διδυμαίος</x:v>
      </x:c>
      <x:c r="G270" s="16" t="str">
        <x:v>Apollo Didymaios</x:v>
      </x:c>
      <x:c r="H270" s="14" t="str">
        <x:v>medium</x:v>
      </x:c>
      <x:c r="I270" s="14" t="str">
        <x:v>src-pleiades-599593</x:v>
      </x:c>
      <x:c r="J270" s="16" t="str">
        <x:v>deity_or_cult_el: Απόλλων Διδυμαίος</x:v>
      </x:c>
      <x:c r="K270" s="14" t="str">
        <x:v>reviewed</x:v>
      </x:c>
    </x:row>
    <x:row r="271" ht="52" customHeight="1">
      <x:c r="A271" s="14" t="str">
        <x:v>rel-d53eebe4702a</x:v>
      </x:c>
      <x:c r="B271" s="14" t="str">
        <x:v>sanctuary-olbia-apollo-delphinios-sanctuary</x:v>
      </x:c>
      <x:c r="C271" s="14" t="str">
        <x:v>cult_of</x:v>
      </x:c>
      <x:c r="D271" s="14"/>
      <x:c r="E271" s="14" t="str">
        <x:v>deity_or_cult-apollon-delphinios-zeys-kai-athena</x:v>
      </x:c>
      <x:c r="F271" s="16" t="str">
        <x:v>Απόλλων Δελφίνιος, Ζευς και Αθηνά</x:v>
      </x:c>
      <x:c r="G271" s="16" t="str">
        <x:v>Apollo Delphinios, Zeus and Athena</x:v>
      </x:c>
      <x:c r="H271" s="14" t="str">
        <x:v>medium</x:v>
      </x:c>
      <x:c r="I271" s="14" t="str">
        <x:v>src-penn-a97aa05ea214</x:v>
      </x:c>
      <x:c r="J271" s="16" t="str">
        <x:v>deity_or_cult_el: Απόλλων Δελφίνιος, Ζευς και Αθηνά</x:v>
      </x:c>
      <x:c r="K271" s="14" t="str">
        <x:v>reviewed</x:v>
      </x:c>
    </x:row>
    <x:row r="272" ht="52" customHeight="1">
      <x:c r="A272" s="14" t="str">
        <x:v>rel-d64c7d3f5bb0</x:v>
      </x:c>
      <x:c r="B272" s="14" t="str">
        <x:v>sanctuary-gyroulas-demeter-sanctuary</x:v>
      </x:c>
      <x:c r="C272" s="14" t="str">
        <x:v>cult_of</x:v>
      </x:c>
      <x:c r="D272" s="14"/>
      <x:c r="E272" s="14" t="str">
        <x:v>deity_or_cult-demetra-kai-apollon</x:v>
      </x:c>
      <x:c r="F272" s="16" t="str">
        <x:v>Δήμητρα και Απόλλων</x:v>
      </x:c>
      <x:c r="G272" s="16" t="str">
        <x:v>Demeter and Apollo</x:v>
      </x:c>
      <x:c r="H272" s="14" t="str">
        <x:v>medium</x:v>
      </x:c>
      <x:c r="I272" s="14" t="str">
        <x:v>src-pleiades-599631</x:v>
      </x:c>
      <x:c r="J272" s="16" t="str">
        <x:v>deity_or_cult_el: Δήμητρα και Απόλλων</x:v>
      </x:c>
      <x:c r="K272" s="14" t="str">
        <x:v>reviewed</x:v>
      </x:c>
    </x:row>
    <x:row r="273" ht="52" customHeight="1">
      <x:c r="A273" s="14" t="str">
        <x:v>rel-d7edb327b1ee</x:v>
      </x:c>
      <x:c r="B273" s="14" t="str">
        <x:v>sanctuary-foce-del-sele-heraion</x:v>
      </x:c>
      <x:c r="C273" s="14" t="str">
        <x:v>cult_of</x:v>
      </x:c>
      <x:c r="D273" s="14"/>
      <x:c r="E273" s="14" t="str">
        <x:v>deity_or_cult-era-argeia</x:v>
      </x:c>
      <x:c r="F273" s="16" t="str">
        <x:v>Ήρα Αργεία</x:v>
      </x:c>
      <x:c r="G273" s="16" t="str">
        <x:v>Argive Hera</x:v>
      </x:c>
      <x:c r="H273" s="14" t="str">
        <x:v>medium</x:v>
      </x:c>
      <x:c r="I273" s="14" t="str">
        <x:v>src-pleiades-442610</x:v>
      </x:c>
      <x:c r="J273" s="16" t="str">
        <x:v>deity_or_cult_el: Ήρα Αργεία</x:v>
      </x:c>
      <x:c r="K273" s="14" t="str">
        <x:v>reviewed</x:v>
      </x:c>
    </x:row>
    <x:row r="274" ht="52" customHeight="1">
      <x:c r="A274" s="14" t="str">
        <x:v>rel-da4e82202e29</x:v>
      </x:c>
      <x:c r="B274" s="14" t="str">
        <x:v>kingdom-athens-mycenaean</x:v>
      </x:c>
      <x:c r="C274" s="14" t="str">
        <x:v>preceded_by</x:v>
      </x:c>
      <x:c r="D274" s="14"/>
      <x:c r="E274" s="14" t="str">
        <x:v>polity-mesoelladike-koinoteta-tes-akropoles</x:v>
      </x:c>
      <x:c r="F274" s="16" t="str">
        <x:v>Μεσοελλαδική κοινότητα της Ακρόπολης</x:v>
      </x:c>
      <x:c r="G274" s="16" t="str">
        <x:v>Middle Helladic community of the Acropolis</x:v>
      </x:c>
      <x:c r="H274" s="14" t="str">
        <x:v>medium</x:v>
      </x:c>
      <x:c r="I274" s="14" t="str">
        <x:v>src-whc-228f1be9c035</x:v>
      </x:c>
      <x:c r="J274" s="16" t="str">
        <x:v>predecessor_el: Μεσοελλαδική κοινότητα της Ακρόπολης</x:v>
      </x:c>
      <x:c r="K274" s="14" t="str">
        <x:v>reviewed</x:v>
      </x:c>
    </x:row>
    <x:row r="275" ht="52" customHeight="1">
      <x:c r="A275" s="14" t="str">
        <x:v>rel-dafc50b0baa2</x:v>
      </x:c>
      <x:c r="B275" s="14" t="str">
        <x:v>kingdom-cappadocia-late-client</x:v>
      </x:c>
      <x:c r="C275" s="14" t="str">
        <x:v>ruled_by_dynasty</x:v>
      </x:c>
      <x:c r="D275" s="14"/>
      <x:c r="E275" s="14" t="str">
        <x:v>dynasty-ariobarzanides-katopin-archelaos</x:v>
      </x:c>
      <x:c r="F275" s="16" t="str">
        <x:v>Αριοβαρζανίδες· κατόπιν Αρχέλαος</x:v>
      </x:c>
      <x:c r="G275" s="16" t="str">
        <x:v>Ariobarzanids; later Archelaus</x:v>
      </x:c>
      <x:c r="H275" s="14" t="str">
        <x:v>medium</x:v>
      </x:c>
      <x:c r="I275" s="14" t="str">
        <x:v>src-iranicaonline-0624b0b64cf3</x:v>
      </x:c>
      <x:c r="J275" s="16" t="str">
        <x:v>dynasty_el: Αριοβαρζανίδες· κατόπιν Αρχέλαος</x:v>
      </x:c>
      <x:c r="K275" s="14" t="str">
        <x:v>reviewed</x:v>
      </x:c>
    </x:row>
    <x:row r="276" ht="52" customHeight="1">
      <x:c r="A276" s="14" t="str">
        <x:v>rel-dbd08fe32330</x:v>
      </x:c>
      <x:c r="B276" s="14" t="str">
        <x:v>colony-heraclea-pontica</x:v>
      </x:c>
      <x:c r="C276" s="14" t="str">
        <x:v>founded_from</x:v>
      </x:c>
      <x:c r="D276" s="14"/>
      <x:c r="E276" s="14" t="str">
        <x:v>settlement-megara-kai-tanagra</x:v>
      </x:c>
      <x:c r="F276" s="16" t="str">
        <x:v>Μέγαρα και Τανάγρα</x:v>
      </x:c>
      <x:c r="G276" s="16" t="str">
        <x:v>Megara and Tanagra</x:v>
      </x:c>
      <x:c r="H276" s="14" t="str">
        <x:v>medium</x:v>
      </x:c>
      <x:c r="I276" s="14" t="str">
        <x:v>src-pleiades-844944</x:v>
      </x:c>
      <x:c r="J276" s="16" t="str">
        <x:v>metropolis_el: Μέγαρα και Τανάγρα</x:v>
      </x:c>
      <x:c r="K276" s="14" t="str">
        <x:v>reviewed</x:v>
      </x:c>
    </x:row>
    <x:row r="277" ht="52" customHeight="1">
      <x:c r="A277" s="14" t="str">
        <x:v>rel-dcbf361d3d3d</x:v>
      </x:c>
      <x:c r="B277" s="14" t="str">
        <x:v>kingdom-attalid-pergamon</x:v>
      </x:c>
      <x:c r="C277" s="14" t="str">
        <x:v>preceded_by</x:v>
      </x:c>
      <x:c r="D277" s="14"/>
      <x:c r="E277" s="14" t="str">
        <x:v>polity-seleykidike-epikyriarchia-ste-dytike-mikra-asia</x:v>
      </x:c>
      <x:c r="F277" s="16" t="str">
        <x:v>Σελευκιδική επικυριαρχία στη δυτική Μικρά Ασία</x:v>
      </x:c>
      <x:c r="G277" s="16" t="str">
        <x:v>Seleucid rule in western Asia Minor</x:v>
      </x:c>
      <x:c r="H277" s="14" t="str">
        <x:v>medium</x:v>
      </x:c>
      <x:c r="I277" s="14" t="str">
        <x:v>src-metmuseum-50fe20dc493f</x:v>
      </x:c>
      <x:c r="J277" s="16" t="str">
        <x:v>predecessor_el: Σελευκιδική επικυριαρχία στη δυτική Μικρά Ασία</x:v>
      </x:c>
      <x:c r="K277" s="14" t="str">
        <x:v>reviewed</x:v>
      </x:c>
    </x:row>
    <x:row r="278" ht="52" customHeight="1">
      <x:c r="A278" s="14" t="str">
        <x:v>rel-dd3bf779624e</x:v>
      </x:c>
      <x:c r="B278" s="14" t="str">
        <x:v>kingdom-cyrene-magas</x:v>
      </x:c>
      <x:c r="C278" s="14" t="str">
        <x:v>representative_center</x:v>
      </x:c>
      <x:c r="D278" s="14" t="str">
        <x:v>colony-cyrene</x:v>
      </x:c>
      <x:c r="E278" s="14"/>
      <x:c r="F278" s="16" t="str">
        <x:v>Κυρήνη</x:v>
      </x:c>
      <x:c r="G278" s="16" t="str">
        <x:v>Cyrene</x:v>
      </x:c>
      <x:c r="H278" s="14" t="str">
        <x:v>high</x:v>
      </x:c>
      <x:c r="I278" s="14" t="str">
        <x:v>src-persee-a9866e5e43d7</x:v>
      </x:c>
      <x:c r="J278" s="16" t="str">
        <x:v>representative_center_el: Κυρήνη</x:v>
      </x:c>
      <x:c r="K278" s="14" t="str">
        <x:v>reviewed</x:v>
      </x:c>
    </x:row>
    <x:row r="279" ht="52" customHeight="1">
      <x:c r="A279" s="14" t="str">
        <x:v>rel-dd3ed2dad4f7</x:v>
      </x:c>
      <x:c r="B279" s="14" t="str">
        <x:v>kingdom-indo-greek-late</x:v>
      </x:c>
      <x:c r="C279" s="14" t="str">
        <x:v>representative_center</x:v>
      </x:c>
      <x:c r="D279" s="14"/>
      <x:c r="E279" s="14" t="str">
        <x:v>settlement-taxila</x:v>
      </x:c>
      <x:c r="F279" s="16" t="str">
        <x:v>Τάξιλα</x:v>
      </x:c>
      <x:c r="G279" s="16" t="str">
        <x:v>Taxila</x:v>
      </x:c>
      <x:c r="H279" s="14" t="str">
        <x:v>high</x:v>
      </x:c>
      <x:c r="I279" s="14" t="str">
        <x:v>src-iranicaonline-612dff96c99c</x:v>
      </x:c>
      <x:c r="J279" s="16" t="str">
        <x:v>representative_center_el: Τάξιλα</x:v>
      </x:c>
      <x:c r="K279" s="14" t="str">
        <x:v>reviewed</x:v>
      </x:c>
    </x:row>
    <x:row r="280" ht="52" customHeight="1">
      <x:c r="A280" s="14" t="str">
        <x:v>rel-dd68cc61428d</x:v>
      </x:c>
      <x:c r="B280" s="14" t="str">
        <x:v>colony-phanagoria</x:v>
      </x:c>
      <x:c r="C280" s="14" t="str">
        <x:v>founded_from</x:v>
      </x:c>
      <x:c r="D280" s="14" t="str">
        <x:v>colony-teos</x:v>
      </x:c>
      <x:c r="E280" s="14"/>
      <x:c r="F280" s="16" t="str">
        <x:v>Τέως</x:v>
      </x:c>
      <x:c r="G280" s="16" t="str">
        <x:v>Teos</x:v>
      </x:c>
      <x:c r="H280" s="14" t="str">
        <x:v>medium</x:v>
      </x:c>
      <x:c r="I280" s="14" t="str">
        <x:v>src-pleiades-854724</x:v>
      </x:c>
      <x:c r="J280" s="16" t="str">
        <x:v>metropolis_el: Τέως</x:v>
      </x:c>
      <x:c r="K280" s="14" t="str">
        <x:v>reviewed</x:v>
      </x:c>
    </x:row>
    <x:row r="281" ht="52" customHeight="1">
      <x:c r="A281" s="14" t="str">
        <x:v>rel-dd804bcefa57</x:v>
      </x:c>
      <x:c r="B281" s="14" t="str">
        <x:v>kingdom-pontus-mithridatid</x:v>
      </x:c>
      <x:c r="C281" s="14" t="str">
        <x:v>representative_center</x:v>
      </x:c>
      <x:c r="D281" s="14" t="str">
        <x:v>colony-sinope</x:v>
      </x:c>
      <x:c r="E281" s="14"/>
      <x:c r="F281" s="16" t="str">
        <x:v>Σινώπη</x:v>
      </x:c>
      <x:c r="G281" s="16" t="str">
        <x:v>Sinope</x:v>
      </x:c>
      <x:c r="H281" s="14" t="str">
        <x:v>high</x:v>
      </x:c>
      <x:c r="I281" s="14" t="str">
        <x:v>src-metmuseum-50fe20dc493f</x:v>
      </x:c>
      <x:c r="J281" s="16" t="str">
        <x:v>representative_center_el: Σινώπη</x:v>
      </x:c>
      <x:c r="K281" s="14" t="str">
        <x:v>reviewed</x:v>
      </x:c>
    </x:row>
    <x:row r="282" ht="52" customHeight="1">
      <x:c r="A282" s="14" t="str">
        <x:v>rel-de6209aaf300</x:v>
      </x:c>
      <x:c r="B282" s="14" t="str">
        <x:v>sanctuary-hyria-dionysos-sanctuary</x:v>
      </x:c>
      <x:c r="C282" s="14" t="str">
        <x:v>associated_with_settlement</x:v>
      </x:c>
      <x:c r="D282" s="14" t="str">
        <x:v>city-naxos-cyclades</x:v>
      </x:c>
      <x:c r="E282" s="14"/>
      <x:c r="F282" s="16" t="str">
        <x:v>Νάξος</x:v>
      </x:c>
      <x:c r="G282" s="16" t="str">
        <x:v>Naxos</x:v>
      </x:c>
      <x:c r="H282" s="14" t="str">
        <x:v>medium</x:v>
      </x:c>
      <x:c r="I282" s="14" t="str">
        <x:v>src-pleiades-599661</x:v>
      </x:c>
      <x:c r="J282" s="16" t="str">
        <x:v>Το ιερό στα Ύρια συνδέεται με την πόλη και χώρα της Νάξου.</x:v>
      </x:c>
      <x:c r="K282" s="14" t="str">
        <x:v>reviewed</x:v>
      </x:c>
    </x:row>
    <x:row r="283" ht="52" customHeight="1">
      <x:c r="A283" s="14" t="str">
        <x:v>rel-de6d4ffd12f8</x:v>
      </x:c>
      <x:c r="B283" s="14" t="str">
        <x:v>sanctuary-epidauros-asklepios-sanctuary</x:v>
      </x:c>
      <x:c r="C283" s="14" t="str">
        <x:v>cult_of</x:v>
      </x:c>
      <x:c r="D283" s="14"/>
      <x:c r="E283" s="14" t="str">
        <x:v>deity_or_cult-asklepios-ygeia-kai-apollon-maleatas</x:v>
      </x:c>
      <x:c r="F283" s="16" t="str">
        <x:v>Ασκληπιός, Υγεία και Απόλλων Μαλεάτας</x:v>
      </x:c>
      <x:c r="G283" s="16" t="str">
        <x:v>Asclepius, Hygieia and Apollo Maleatas</x:v>
      </x:c>
      <x:c r="H283" s="14" t="str">
        <x:v>medium</x:v>
      </x:c>
      <x:c r="I283" s="14" t="str">
        <x:v>src-pleiades-570127</x:v>
      </x:c>
      <x:c r="J283" s="16" t="str">
        <x:v>deity_or_cult_el: Ασκληπιός, Υγεία και Απόλλων Μαλεάτας</x:v>
      </x:c>
      <x:c r="K283" s="14" t="str">
        <x:v>reviewed</x:v>
      </x:c>
    </x:row>
    <x:row r="284" ht="52" customHeight="1">
      <x:c r="A284" s="14" t="str">
        <x:v>rel-dea86b005fbc</x:v>
      </x:c>
      <x:c r="B284" s="14" t="str">
        <x:v>sanctuary-syracuse-apollo-sanctuary</x:v>
      </x:c>
      <x:c r="C284" s="14" t="str">
        <x:v>cult_of</x:v>
      </x:c>
      <x:c r="D284" s="14"/>
      <x:c r="E284" s="14" t="str">
        <x:v>deity_or_cult-apollon</x:v>
      </x:c>
      <x:c r="F284" s="16" t="str">
        <x:v>Απόλλων</x:v>
      </x:c>
      <x:c r="G284" s="16" t="str">
        <x:v>Apollo</x:v>
      </x:c>
      <x:c r="H284" s="14" t="str">
        <x:v>medium</x:v>
      </x:c>
      <x:c r="I284" s="14" t="str">
        <x:v>src-pleiades-418729933</x:v>
      </x:c>
      <x:c r="J284" s="16" t="str">
        <x:v>deity_or_cult_el: Απόλλων</x:v>
      </x:c>
      <x:c r="K284" s="14" t="str">
        <x:v>reviewed</x:v>
      </x:c>
    </x:row>
    <x:row r="285" ht="52" customHeight="1">
      <x:c r="A285" s="14" t="str">
        <x:v>rel-dec2f3074d19</x:v>
      </x:c>
      <x:c r="B285" s="14" t="str">
        <x:v>colony-cumae-campania</x:v>
      </x:c>
      <x:c r="C285" s="14" t="str">
        <x:v>founded_from</x:v>
      </x:c>
      <x:c r="D285" s="14"/>
      <x:c r="E285" s="14" t="str">
        <x:v>settlement-chalkida-kai-eretria</x:v>
      </x:c>
      <x:c r="F285" s="16" t="str">
        <x:v>Χαλκίδα και Ερέτρια</x:v>
      </x:c>
      <x:c r="G285" s="16" t="str">
        <x:v>Chalkida and Eretria</x:v>
      </x:c>
      <x:c r="H285" s="14" t="str">
        <x:v>medium</x:v>
      </x:c>
      <x:c r="I285" s="14" t="str">
        <x:v>src-pleiades-432808</x:v>
      </x:c>
      <x:c r="J285" s="16" t="str">
        <x:v>metropolis_el: Χαλκίδα και Ερέτρια</x:v>
      </x:c>
      <x:c r="K285" s="14" t="str">
        <x:v>reviewed</x:v>
      </x:c>
    </x:row>
    <x:row r="286" ht="52" customHeight="1">
      <x:c r="A286" s="14" t="str">
        <x:v>rel-df72ce022c53</x:v>
      </x:c>
      <x:c r="B286" s="14" t="str">
        <x:v>colony-euesperides</x:v>
      </x:c>
      <x:c r="C286" s="14" t="str">
        <x:v>founded_from</x:v>
      </x:c>
      <x:c r="D286" s="14" t="str">
        <x:v>colony-cyrene</x:v>
      </x:c>
      <x:c r="E286" s="14"/>
      <x:c r="F286" s="16" t="str">
        <x:v>Κυρήνη</x:v>
      </x:c>
      <x:c r="G286" s="16" t="str">
        <x:v>Cyrene</x:v>
      </x:c>
      <x:c r="H286" s="14" t="str">
        <x:v>medium</x:v>
      </x:c>
      <x:c r="I286" s="14" t="str">
        <x:v>src-pleiades-373786</x:v>
      </x:c>
      <x:c r="J286" s="16" t="str">
        <x:v>metropolis_el: Κυρήνη</x:v>
      </x:c>
      <x:c r="K286" s="14" t="str">
        <x:v>reviewed</x:v>
      </x:c>
    </x:row>
    <x:row r="287" ht="52" customHeight="1">
      <x:c r="A287" s="14" t="str">
        <x:v>rel-e1165db69773</x:v>
      </x:c>
      <x:c r="B287" s="14" t="str">
        <x:v>kingdom-cappadocia-late-client</x:v>
      </x:c>
      <x:c r="C287" s="14" t="str">
        <x:v>preceded_by</x:v>
      </x:c>
      <x:c r="D287" s="14"/>
      <x:c r="E287" s="14" t="str">
        <x:v>polity-basileio-tes-kappadokias-ton-ariarathidon</x:v>
      </x:c>
      <x:c r="F287" s="16" t="str">
        <x:v>Βασίλειο της Καππαδοκίας των Αριαραθιδών</x:v>
      </x:c>
      <x:c r="G287" s="16" t="str">
        <x:v>Kingdom of Cappadocia of the Ariarathids</x:v>
      </x:c>
      <x:c r="H287" s="14" t="str">
        <x:v>medium</x:v>
      </x:c>
      <x:c r="I287" s="14" t="str">
        <x:v>src-iranicaonline-0624b0b64cf3</x:v>
      </x:c>
      <x:c r="J287" s="16" t="str">
        <x:v>predecessor_el: Βασίλειο της Καππαδοκίας των Αριαραθιδών</x:v>
      </x:c>
      <x:c r="K287" s="14" t="str">
        <x:v>reviewed</x:v>
      </x:c>
    </x:row>
    <x:row r="288" ht="52" customHeight="1">
      <x:c r="A288" s="14" t="str">
        <x:v>rel-e2ceaeb77b4d</x:v>
      </x:c>
      <x:c r="B288" s="14" t="str">
        <x:v>sanctuary-cyrene-zeus-sanctuary</x:v>
      </x:c>
      <x:c r="C288" s="14" t="str">
        <x:v>cult_of</x:v>
      </x:c>
      <x:c r="D288" s="14"/>
      <x:c r="E288" s="14" t="str">
        <x:v>deity_or_cult-zeys-olympios</x:v>
      </x:c>
      <x:c r="F288" s="16" t="str">
        <x:v>Ζευς Ολύμπιος</x:v>
      </x:c>
      <x:c r="G288" s="16" t="str">
        <x:v>Olympian Zeus</x:v>
      </x:c>
      <x:c r="H288" s="14" t="str">
        <x:v>medium</x:v>
      </x:c>
      <x:c r="I288" s="14" t="str">
        <x:v>src-pleiades-103565779</x:v>
      </x:c>
      <x:c r="J288" s="16" t="str">
        <x:v>deity_or_cult_el: Ζευς Ολύμπιος</x:v>
      </x:c>
      <x:c r="K288" s="14" t="str">
        <x:v>reviewed</x:v>
      </x:c>
    </x:row>
    <x:row r="289" ht="52" customHeight="1">
      <x:c r="A289" s="14" t="str">
        <x:v>rel-e2d1f9fd3d8c</x:v>
      </x:c>
      <x:c r="B289" s="14" t="str">
        <x:v>sanctuary-apollonia-pontica-apollo-ietros-sanctuary</x:v>
      </x:c>
      <x:c r="C289" s="14" t="str">
        <x:v>associated_with_settlement</x:v>
      </x:c>
      <x:c r="D289" s="14" t="str">
        <x:v>colony-apollonia-pontica</x:v>
      </x:c>
      <x:c r="E289" s="14"/>
      <x:c r="F289" s="16" t="str">
        <x:v>Απολλωνία Ποντική</x:v>
      </x:c>
      <x:c r="G289" s="16" t="str">
        <x:v>Apollonia Pontica</x:v>
      </x:c>
      <x:c r="H289" s="14" t="str">
        <x:v>high</x:v>
      </x:c>
      <x:c r="I289" s="14" t="str">
        <x:v>src-pleiades-216706</x:v>
      </x:c>
      <x:c r="J289" s="16" t="str">
        <x:v>Ρητή επιμελητική σύνδεση του ιερού με την Απολλωνία Ποντική.</x:v>
      </x:c>
      <x:c r="K289" s="14" t="str">
        <x:v>reviewed</x:v>
      </x:c>
    </x:row>
    <x:row r="290" ht="52" customHeight="1">
      <x:c r="A290" s="14" t="str">
        <x:v>rel-e2d3e92fa26a</x:v>
      </x:c>
      <x:c r="B290" s="14" t="str">
        <x:v>colony-himera</x:v>
      </x:c>
      <x:c r="C290" s="14" t="str">
        <x:v>founded_from</x:v>
      </x:c>
      <x:c r="D290" s="14" t="str">
        <x:v>colony-zancle-messana</x:v>
      </x:c>
      <x:c r="E290" s="14"/>
      <x:c r="F290" s="16" t="str">
        <x:v>Ζάγκλη</x:v>
      </x:c>
      <x:c r="G290" s="16" t="str">
        <x:v>Zancle</x:v>
      </x:c>
      <x:c r="H290" s="14" t="str">
        <x:v>medium</x:v>
      </x:c>
      <x:c r="I290" s="14" t="str">
        <x:v>src-pleiades-462244</x:v>
      </x:c>
      <x:c r="J290" s="16" t="str">
        <x:v>metropolis_el: Ζάγκλη</x:v>
      </x:c>
      <x:c r="K290" s="14" t="str">
        <x:v>reviewed</x:v>
      </x:c>
    </x:row>
    <x:row r="291" ht="52" customHeight="1">
      <x:c r="A291" s="14" t="str">
        <x:v>rel-e37e5ef15f57</x:v>
      </x:c>
      <x:c r="B291" s="14" t="str">
        <x:v>kingdom-athens-mycenaean</x:v>
      </x:c>
      <x:c r="C291" s="14" t="str">
        <x:v>representative_center</x:v>
      </x:c>
      <x:c r="D291" s="14"/>
      <x:c r="E291" s="14" t="str">
        <x:v>settlement-akropole-athenon</x:v>
      </x:c>
      <x:c r="F291" s="16" t="str">
        <x:v>Ακρόπολη Αθηνών</x:v>
      </x:c>
      <x:c r="G291" s="16" t="str">
        <x:v>Acropolis of Athens</x:v>
      </x:c>
      <x:c r="H291" s="14" t="str">
        <x:v>high</x:v>
      </x:c>
      <x:c r="I291" s="14" t="str">
        <x:v>src-whc-228f1be9c035</x:v>
      </x:c>
      <x:c r="J291" s="16" t="str">
        <x:v>representative_center_el: Ακρόπολη Αθηνών</x:v>
      </x:c>
      <x:c r="K291" s="14" t="str">
        <x:v>reviewed</x:v>
      </x:c>
    </x:row>
    <x:row r="292" ht="52" customHeight="1">
      <x:c r="A292" s="14" t="str">
        <x:v>rel-e39242f4f1a4</x:v>
      </x:c>
      <x:c r="B292" s="14" t="str">
        <x:v>colony-akragas</x:v>
      </x:c>
      <x:c r="C292" s="14" t="str">
        <x:v>founded_from</x:v>
      </x:c>
      <x:c r="D292" s="14" t="str">
        <x:v>colony-gela</x:v>
      </x:c>
      <x:c r="E292" s="14"/>
      <x:c r="F292" s="16" t="str">
        <x:v>Γέλα</x:v>
      </x:c>
      <x:c r="G292" s="16" t="str">
        <x:v>Gela</x:v>
      </x:c>
      <x:c r="H292" s="14" t="str">
        <x:v>medium</x:v>
      </x:c>
      <x:c r="I292" s="14" t="str">
        <x:v>src-pleiades-462086</x:v>
      </x:c>
      <x:c r="J292" s="16" t="str">
        <x:v>metropolis_el: Γέλα</x:v>
      </x:c>
      <x:c r="K292" s="14" t="str">
        <x:v>reviewed</x:v>
      </x:c>
    </x:row>
    <x:row r="293" ht="52" customHeight="1">
      <x:c r="A293" s="14" t="str">
        <x:v>rel-e3a0bd9e5899</x:v>
      </x:c>
      <x:c r="B293" s="14" t="str">
        <x:v>kingdom-tiryns-palatial</x:v>
      </x:c>
      <x:c r="C293" s="14" t="str">
        <x:v>succeeded_by</x:v>
      </x:c>
      <x:c r="D293" s="14"/>
      <x:c r="E293" s="14" t="str">
        <x:v>polity-metanaktorike-tiryntha-kai-argolikes-koinotetes</x:v>
      </x:c>
      <x:c r="F293" s="16" t="str">
        <x:v>Μετανακτορική Τίρυνθα και αργολικές κοινότητες</x:v>
      </x:c>
      <x:c r="G293" s="16" t="str">
        <x:v>Post-palatial Tiryns and Argolic communities</x:v>
      </x:c>
      <x:c r="H293" s="14" t="str">
        <x:v>medium</x:v>
      </x:c>
      <x:c r="I293" s="14" t="str">
        <x:v>src-whc-6306f630553d</x:v>
      </x:c>
      <x:c r="J293" s="16" t="str">
        <x:v>successor_el: Μετανακτορική Τίρυνθα και αργολικές κοινότητες</x:v>
      </x:c>
      <x:c r="K293" s="14" t="str">
        <x:v>reviewed</x:v>
      </x:c>
    </x:row>
    <x:row r="294" ht="52" customHeight="1">
      <x:c r="A294" s="14" t="str">
        <x:v>rel-e3f9bd823107</x:v>
      </x:c>
      <x:c r="B294" s="14" t="str">
        <x:v>kingdom-knossos-mycenaean</x:v>
      </x:c>
      <x:c r="C294" s="14" t="str">
        <x:v>ruled_by_dynasty</x:v>
      </x:c>
      <x:c r="D294" s="14"/>
      <x:c r="E294" s="14" t="str">
        <x:v>dynasty-agnoste-mykenaike-dioiketike-elit</x:v>
      </x:c>
      <x:c r="F294" s="16" t="str">
        <x:v>Άγνωστη μυκηναϊκή διοικητική ελίτ</x:v>
      </x:c>
      <x:c r="G294" s="16" t="str">
        <x:v>Unknown Mycenaean administrative elite</x:v>
      </x:c>
      <x:c r="H294" s="14" t="str">
        <x:v>medium</x:v>
      </x:c>
      <x:c r="I294" s="14" t="str">
        <x:v>src-odysseus-9e3ae0cba911</x:v>
      </x:c>
      <x:c r="J294" s="16" t="str">
        <x:v>dynasty_el: Άγνωστη μυκηναϊκή διοικητική ελίτ</x:v>
      </x:c>
      <x:c r="K294" s="14" t="str">
        <x:v>reviewed</x:v>
      </x:c>
    </x:row>
    <x:row r="295" ht="52" customHeight="1">
      <x:c r="A295" s="14" t="str">
        <x:v>rel-e4a02054d9fc</x:v>
      </x:c>
      <x:c r="B295" s="14" t="str">
        <x:v>kingdom-alexander-empire</x:v>
      </x:c>
      <x:c r="C295" s="14" t="str">
        <x:v>ruled_by_dynasty</x:v>
      </x:c>
      <x:c r="D295" s="14"/>
      <x:c r="E295" s="14" t="str">
        <x:v>dynasty-argeades</x:v>
      </x:c>
      <x:c r="F295" s="16" t="str">
        <x:v>Αργεάδες</x:v>
      </x:c>
      <x:c r="G295" s="16" t="str">
        <x:v>Argeads</x:v>
      </x:c>
      <x:c r="H295" s="14" t="str">
        <x:v>medium</x:v>
      </x:c>
      <x:c r="I295" s="14" t="str">
        <x:v>src-metmuseum-89019924e8c3</x:v>
      </x:c>
      <x:c r="J295" s="16" t="str">
        <x:v>dynasty_el: Αργεάδες</x:v>
      </x:c>
      <x:c r="K295" s="14" t="str">
        <x:v>reviewed</x:v>
      </x:c>
    </x:row>
    <x:row r="296" ht="52" customHeight="1">
      <x:c r="A296" s="14" t="str">
        <x:v>rel-e573cc7cdf3d</x:v>
      </x:c>
      <x:c r="B296" s="14" t="str">
        <x:v>kingdom-macedon-kassandrid</x:v>
      </x:c>
      <x:c r="C296" s="14" t="str">
        <x:v>representative_center</x:v>
      </x:c>
      <x:c r="D296" s="14" t="str">
        <x:v>city-pella</x:v>
      </x:c>
      <x:c r="E296" s="14"/>
      <x:c r="F296" s="16" t="str">
        <x:v>Πέλλα</x:v>
      </x:c>
      <x:c r="G296" s="16" t="str">
        <x:v>Pella</x:v>
      </x:c>
      <x:c r="H296" s="14" t="str">
        <x:v>high</x:v>
      </x:c>
      <x:c r="I296" s="14" t="str">
        <x:v>src-metmuseum-50fe20dc493f</x:v>
      </x:c>
      <x:c r="J296" s="16" t="str">
        <x:v>representative_center_el: Πέλλα</x:v>
      </x:c>
      <x:c r="K296" s="14" t="str">
        <x:v>reviewed</x:v>
      </x:c>
    </x:row>
    <x:row r="297" ht="52" customHeight="1">
      <x:c r="A297" s="14" t="str">
        <x:v>rel-e67e088c6d37</x:v>
      </x:c>
      <x:c r="B297" s="14" t="str">
        <x:v>kingdom-epirus-aeacid</x:v>
      </x:c>
      <x:c r="C297" s="14" t="str">
        <x:v>ruled_by_dynasty</x:v>
      </x:c>
      <x:c r="D297" s="14"/>
      <x:c r="E297" s="14" t="str">
        <x:v>dynasty-aiakides</x:v>
      </x:c>
      <x:c r="F297" s="16" t="str">
        <x:v>Αιακίδες</x:v>
      </x:c>
      <x:c r="G297" s="16" t="str">
        <x:v>Aeacids</x:v>
      </x:c>
      <x:c r="H297" s="14" t="str">
        <x:v>medium</x:v>
      </x:c>
      <x:c r="I297" s="14" t="str">
        <x:v>src-cambridge-96106a304cc6</x:v>
      </x:c>
      <x:c r="J297" s="16" t="str">
        <x:v>dynasty_el: Αιακίδες</x:v>
      </x:c>
      <x:c r="K297" s="14" t="str">
        <x:v>reviewed</x:v>
      </x:c>
    </x:row>
    <x:row r="298" ht="52" customHeight="1">
      <x:c r="A298" s="14" t="str">
        <x:v>rel-e6d7562e656b</x:v>
      </x:c>
      <x:c r="B298" s="14" t="str">
        <x:v>kingdom-macedon-argead</x:v>
      </x:c>
      <x:c r="C298" s="14" t="str">
        <x:v>succeeded_by</x:v>
      </x:c>
      <x:c r="D298" s="14"/>
      <x:c r="E298" s="14" t="str">
        <x:v>polity-aytokratoria-toy-alexandroy</x:v>
      </x:c>
      <x:c r="F298" s="16" t="str">
        <x:v>Αυτοκρατορία του Αλεξάνδρου</x:v>
      </x:c>
      <x:c r="G298" s="16" t="str">
        <x:v>Alexander's Empire</x:v>
      </x:c>
      <x:c r="H298" s="14" t="str">
        <x:v>medium</x:v>
      </x:c>
      <x:c r="I298" s="14" t="str">
        <x:v>src-whc-fd006971700c</x:v>
      </x:c>
      <x:c r="J298" s="16" t="str">
        <x:v>successor_el: Αυτοκρατορία του Αλεξάνδρου</x:v>
      </x:c>
      <x:c r="K298" s="14" t="str">
        <x:v>reviewed</x:v>
      </x:c>
    </x:row>
    <x:row r="299" ht="52" customHeight="1">
      <x:c r="A299" s="14" t="str">
        <x:v>rel-e70d29dc175e</x:v>
      </x:c>
      <x:c r="B299" s="14" t="str">
        <x:v>colony-syracuse</x:v>
      </x:c>
      <x:c r="C299" s="14" t="str">
        <x:v>founded_from</x:v>
      </x:c>
      <x:c r="D299" s="14" t="str">
        <x:v>city-corinth</x:v>
      </x:c>
      <x:c r="E299" s="14"/>
      <x:c r="F299" s="16" t="str">
        <x:v>Κόρινθος</x:v>
      </x:c>
      <x:c r="G299" s="16" t="str">
        <x:v>Corinth</x:v>
      </x:c>
      <x:c r="H299" s="14" t="str">
        <x:v>medium</x:v>
      </x:c>
      <x:c r="I299" s="14" t="str">
        <x:v>src-pleiades-462503</x:v>
      </x:c>
      <x:c r="J299" s="16" t="str">
        <x:v>metropolis_el: Κόρινθος</x:v>
      </x:c>
      <x:c r="K299" s="14" t="str">
        <x:v>reviewed</x:v>
      </x:c>
    </x:row>
    <x:row r="300" ht="52" customHeight="1">
      <x:c r="A300" s="14" t="str">
        <x:v>rel-e726f7af258f</x:v>
      </x:c>
      <x:c r="B300" s="14" t="str">
        <x:v>kingdom-bosporus-spartocid</x:v>
      </x:c>
      <x:c r="C300" s="14" t="str">
        <x:v>succeeded_by</x:v>
      </x:c>
      <x:c r="D300" s="14"/>
      <x:c r="E300" s="14" t="str">
        <x:v>polity-pontiake-mithridatike-phase-toy-bosporoy</x:v>
      </x:c>
      <x:c r="F300" s="16" t="str">
        <x:v>Ποντιακή-μιθριδατική φάση του Βοσπόρου</x:v>
      </x:c>
      <x:c r="G300" s="16" t="str">
        <x:v>Pontic–Mithridatic phase of the Bosporan Kingdom</x:v>
      </x:c>
      <x:c r="H300" s="14" t="str">
        <x:v>medium</x:v>
      </x:c>
      <x:c r="I300" s="14" t="str">
        <x:v>src-encyclopediaofukraine-237e86aa1350</x:v>
      </x:c>
      <x:c r="J300" s="16" t="str">
        <x:v>successor_el: Ποντιακή-μιθριδατική φάση του Βοσπόρου</x:v>
      </x:c>
      <x:c r="K300" s="14" t="str">
        <x:v>reviewed</x:v>
      </x:c>
    </x:row>
    <x:row r="301" ht="52" customHeight="1">
      <x:c r="A301" s="14" t="str">
        <x:v>rel-eb419e4e6bf8</x:v>
      </x:c>
      <x:c r="B301" s="14" t="str">
        <x:v>kingdom-indo-greek-late</x:v>
      </x:c>
      <x:c r="C301" s="14" t="str">
        <x:v>ruled_by_dynasty</x:v>
      </x:c>
      <x:c r="D301" s="14"/>
      <x:c r="E301" s="14" t="str">
        <x:v>dynasty-pollaples-periphereiakes-dynasteies</x:v>
      </x:c>
      <x:c r="F301" s="16" t="str">
        <x:v>Πολλαπλές περιφερειακές δυναστείες</x:v>
      </x:c>
      <x:c r="G301" s="16" t="str">
        <x:v>Multiple regional dynasties</x:v>
      </x:c>
      <x:c r="H301" s="14" t="str">
        <x:v>medium</x:v>
      </x:c>
      <x:c r="I301" s="14" t="str">
        <x:v>src-iranicaonline-612dff96c99c</x:v>
      </x:c>
      <x:c r="J301" s="16" t="str">
        <x:v>dynasty_el: Πολλαπλές περιφερειακές δυναστείες</x:v>
      </x:c>
      <x:c r="K301" s="14" t="str">
        <x:v>reviewed</x:v>
      </x:c>
    </x:row>
    <x:row r="302" ht="52" customHeight="1">
      <x:c r="A302" s="14" t="str">
        <x:v>rel-ebb3b5bf7522</x:v>
      </x:c>
      <x:c r="B302" s="14" t="str">
        <x:v>sanctuary-crete-idaion-antron</x:v>
      </x:c>
      <x:c r="C302" s="14" t="str">
        <x:v>cult_of</x:v>
      </x:c>
      <x:c r="D302" s="14"/>
      <x:c r="E302" s="14" t="str">
        <x:v>deity_or_cult-zeys-idaios-kai-rea</x:v>
      </x:c>
      <x:c r="F302" s="16" t="str">
        <x:v>Ζευς Ιδαίος και Ρέα</x:v>
      </x:c>
      <x:c r="G302" s="16" t="str">
        <x:v>Zeus Idaeus and Rhea</x:v>
      </x:c>
      <x:c r="H302" s="14" t="str">
        <x:v>medium</x:v>
      </x:c>
      <x:c r="I302" s="14" t="str">
        <x:v>src-pleiades-589817</x:v>
      </x:c>
      <x:c r="J302" s="16" t="str">
        <x:v>deity_or_cult_el: Ζευς Ιδαίος και Ρέα</x:v>
      </x:c>
      <x:c r="K302" s="14" t="str">
        <x:v>reviewed</x:v>
      </x:c>
    </x:row>
    <x:row r="303" ht="52" customHeight="1">
      <x:c r="A303" s="14" t="str">
        <x:v>rel-ebf7cf685f29</x:v>
      </x:c>
      <x:c r="B303" s="14" t="str">
        <x:v>kingdom-paphos-cyprus</x:v>
      </x:c>
      <x:c r="C303" s="14" t="str">
        <x:v>ruled_by_dynasty</x:v>
      </x:c>
      <x:c r="D303" s="14"/>
      <x:c r="E303" s="14" t="str">
        <x:v>dynasty-topikes-paphiakes-basilikes-genees-nikokleides-sten-ystere-phase</x:v>
      </x:c>
      <x:c r="F303" s="16" t="str">
        <x:v>Τοπικές παφιακές βασιλικές γενεές· Νικοκλείδες στην ύστερη φάση</x:v>
      </x:c>
      <x:c r="G303" s="16" t="str">
        <x:v>Local Paphian royal lines; the Nicocleids in the later phase</x:v>
      </x:c>
      <x:c r="H303" s="14" t="str">
        <x:v>medium</x:v>
      </x:c>
      <x:c r="I303" s="14" t="str">
        <x:v>src-websites-d5246844b076</x:v>
      </x:c>
      <x:c r="J303" s="16" t="str">
        <x:v>dynasty_el: Τοπικές παφιακές βασιλικές γενεές· Νικοκλείδες στην ύστερη φάση</x:v>
      </x:c>
      <x:c r="K303" s="14" t="str">
        <x:v>reviewed</x:v>
      </x:c>
    </x:row>
    <x:row r="304" ht="52" customHeight="1">
      <x:c r="A304" s="14" t="str">
        <x:v>rel-ed00f3eba7cc</x:v>
      </x:c>
      <x:c r="B304" s="14" t="str">
        <x:v>kingdom-bosporus-mithridatic</x:v>
      </x:c>
      <x:c r="C304" s="14" t="str">
        <x:v>ruled_by_dynasty</x:v>
      </x:c>
      <x:c r="D304" s="14"/>
      <x:c r="E304" s="14" t="str">
        <x:v>dynasty-mithridatides-toy-pontoy</x:v>
      </x:c>
      <x:c r="F304" s="16" t="str">
        <x:v>Μιθριδατίδες του Πόντου</x:v>
      </x:c>
      <x:c r="G304" s="16" t="str">
        <x:v>Mithridatids of Pontus</x:v>
      </x:c>
      <x:c r="H304" s="14" t="str">
        <x:v>medium</x:v>
      </x:c>
      <x:c r="I304" s="14" t="str">
        <x:v>src-iranicaonline-4a607235e191</x:v>
      </x:c>
      <x:c r="J304" s="16" t="str">
        <x:v>dynasty_el: Μιθριδατίδες του Πόντου</x:v>
      </x:c>
      <x:c r="K304" s="14" t="str">
        <x:v>reviewed</x:v>
      </x:c>
    </x:row>
    <x:row r="305" ht="52" customHeight="1">
      <x:c r="A305" s="14" t="str">
        <x:v>rel-ed7bca8380c2</x:v>
      </x:c>
      <x:c r="B305" s="14" t="str">
        <x:v>sanctuary-locri-mannella-persephone-sanctuary</x:v>
      </x:c>
      <x:c r="C305" s="14" t="str">
        <x:v>cult_of</x:v>
      </x:c>
      <x:c r="D305" s="14"/>
      <x:c r="E305" s="14" t="str">
        <x:v>deity_or_cult-persephone-kai-ades</x:v>
      </x:c>
      <x:c r="F305" s="16" t="str">
        <x:v>Περσεφόνη και Άδης</x:v>
      </x:c>
      <x:c r="G305" s="16" t="str">
        <x:v>Persephone and Hades</x:v>
      </x:c>
      <x:c r="H305" s="14" t="str">
        <x:v>medium</x:v>
      </x:c>
      <x:c r="I305" s="14" t="str">
        <x:v>src-museoarcheologicoreggiocalabria-a34e7a2bfa16</x:v>
      </x:c>
      <x:c r="J305" s="16" t="str">
        <x:v>deity_or_cult_el: Περσεφόνη και Άδης</x:v>
      </x:c>
      <x:c r="K305" s="14" t="str">
        <x:v>reviewed</x:v>
      </x:c>
    </x:row>
    <x:row r="306" ht="52" customHeight="1">
      <x:c r="A306" s="14" t="str">
        <x:v>rel-ed813646a1c1</x:v>
      </x:c>
      <x:c r="B306" s="14" t="str">
        <x:v>sanctuary-labraunda-zeus-sanctuary</x:v>
      </x:c>
      <x:c r="C306" s="14" t="str">
        <x:v>cult_of</x:v>
      </x:c>
      <x:c r="D306" s="14"/>
      <x:c r="E306" s="14" t="str">
        <x:v>deity_or_cult-zeys-labrandeys</x:v>
      </x:c>
      <x:c r="F306" s="16" t="str">
        <x:v>Ζευς Λαβρανδεύς</x:v>
      </x:c>
      <x:c r="G306" s="16" t="str">
        <x:v>Zeus Labrandeus</x:v>
      </x:c>
      <x:c r="H306" s="14" t="str">
        <x:v>medium</x:v>
      </x:c>
      <x:c r="I306" s="14" t="str">
        <x:v>src-pleiades-599745</x:v>
      </x:c>
      <x:c r="J306" s="16" t="str">
        <x:v>deity_or_cult_el: Ζευς Λαβρανδεύς</x:v>
      </x:c>
      <x:c r="K306" s="14" t="str">
        <x:v>reviewed</x:v>
      </x:c>
    </x:row>
    <x:row r="307" ht="52" customHeight="1">
      <x:c r="A307" s="14" t="str">
        <x:v>rel-edc0aa0ddbf2</x:v>
      </x:c>
      <x:c r="B307" s="14" t="str">
        <x:v>kingdom-pontus-mithridatid</x:v>
      </x:c>
      <x:c r="C307" s="14" t="str">
        <x:v>succeeded_by</x:v>
      </x:c>
      <x:c r="D307" s="14"/>
      <x:c r="E307" s="14" t="str">
        <x:v>polity-romaike-eparchia-bithynia-kai-pontos</x:v>
      </x:c>
      <x:c r="F307" s="16" t="str">
        <x:v>Ρωμαϊκή επαρχία Βιθυνία και Πόντος</x:v>
      </x:c>
      <x:c r="G307" s="16" t="str">
        <x:v>Roman province of Bithynia and Pontus</x:v>
      </x:c>
      <x:c r="H307" s="14" t="str">
        <x:v>medium</x:v>
      </x:c>
      <x:c r="I307" s="14" t="str">
        <x:v>src-metmuseum-50fe20dc493f</x:v>
      </x:c>
      <x:c r="J307" s="16" t="str">
        <x:v>successor_el: Ρωμαϊκή επαρχία Βιθυνία και Πόντος</x:v>
      </x:c>
      <x:c r="K307" s="14" t="str">
        <x:v>reviewed</x:v>
      </x:c>
    </x:row>
    <x:row r="308" ht="52" customHeight="1">
      <x:c r="A308" s="14" t="str">
        <x:v>rel-ef5ace7b2ef0</x:v>
      </x:c>
      <x:c r="B308" s="14" t="str">
        <x:v>colony-apollonia-illyria</x:v>
      </x:c>
      <x:c r="C308" s="14" t="str">
        <x:v>founded_from</x:v>
      </x:c>
      <x:c r="D308" s="14"/>
      <x:c r="E308" s="14" t="str">
        <x:v>settlement-korinthos-kai-kerkyra</x:v>
      </x:c>
      <x:c r="F308" s="16" t="str">
        <x:v>Κόρινθος και Κέρκυρα</x:v>
      </x:c>
      <x:c r="G308" s="16" t="str">
        <x:v>Corinth and Corfu</x:v>
      </x:c>
      <x:c r="H308" s="14" t="str">
        <x:v>medium</x:v>
      </x:c>
      <x:c r="I308" s="14" t="str">
        <x:v>src-pleiades-481728</x:v>
      </x:c>
      <x:c r="J308" s="16" t="str">
        <x:v>metropolis_el: Κόρινθος και Κέρκυρα</x:v>
      </x:c>
      <x:c r="K308" s="14" t="str">
        <x:v>reviewed</x:v>
      </x:c>
    </x:row>
    <x:row r="309" ht="52" customHeight="1">
      <x:c r="A309" s="14" t="str">
        <x:v>rel-f035c8de9bc7</x:v>
      </x:c>
      <x:c r="B309" s="14" t="str">
        <x:v>sanctuary-kos-asklepieion</x:v>
      </x:c>
      <x:c r="C309" s="14" t="str">
        <x:v>cult_of</x:v>
      </x:c>
      <x:c r="D309" s="14"/>
      <x:c r="E309" s="14" t="str">
        <x:v>deity_or_cult-asklepios-ygeia-kai-apollon</x:v>
      </x:c>
      <x:c r="F309" s="16" t="str">
        <x:v>Ασκληπιός, Υγεία και Απόλλων</x:v>
      </x:c>
      <x:c r="G309" s="16" t="str">
        <x:v>Asclepius, Hygeia and Apollo</x:v>
      </x:c>
      <x:c r="H309" s="14" t="str">
        <x:v>medium</x:v>
      </x:c>
      <x:c r="I309" s="14" t="str">
        <x:v>src-pleiades-599528</x:v>
      </x:c>
      <x:c r="J309" s="16" t="str">
        <x:v>deity_or_cult_el: Ασκληπιός, Υγεία και Απόλλων</x:v>
      </x:c>
      <x:c r="K309" s="14" t="str">
        <x:v>reviewed</x:v>
      </x:c>
    </x:row>
    <x:row r="310" ht="52" customHeight="1">
      <x:c r="A310" s="14" t="str">
        <x:v>rel-f05556d959d8</x:v>
      </x:c>
      <x:c r="B310" s="14" t="str">
        <x:v>colony-histria-pontica</x:v>
      </x:c>
      <x:c r="C310" s="14" t="str">
        <x:v>founded_from</x:v>
      </x:c>
      <x:c r="D310" s="14" t="str">
        <x:v>colony-miletus</x:v>
      </x:c>
      <x:c r="E310" s="14"/>
      <x:c r="F310" s="16" t="str">
        <x:v>Μίλητος</x:v>
      </x:c>
      <x:c r="G310" s="16" t="str">
        <x:v>Miletus</x:v>
      </x:c>
      <x:c r="H310" s="14" t="str">
        <x:v>medium</x:v>
      </x:c>
      <x:c r="I310" s="14" t="str">
        <x:v>src-pleiades-216839</x:v>
      </x:c>
      <x:c r="J310" s="16" t="str">
        <x:v>metropolis_el: Μίλητος</x:v>
      </x:c>
      <x:c r="K310" s="14" t="str">
        <x:v>reviewed</x:v>
      </x:c>
    </x:row>
    <x:row r="311" ht="52" customHeight="1">
      <x:c r="A311" s="14" t="str">
        <x:v>rel-f0f0b4850fe7</x:v>
      </x:c>
      <x:c r="B311" s="14" t="str">
        <x:v>sanctuary-histria-sacred-zone</x:v>
      </x:c>
      <x:c r="C311" s="14" t="str">
        <x:v>associated_with_settlement</x:v>
      </x:c>
      <x:c r="D311" s="14" t="str">
        <x:v>colony-histria-pontica</x:v>
      </x:c>
      <x:c r="E311" s="14"/>
      <x:c r="F311" s="16" t="str">
        <x:v>Ίστρια</x:v>
      </x:c>
      <x:c r="G311" s="16" t="str">
        <x:v>Histria</x:v>
      </x:c>
      <x:c r="H311" s="14" t="str">
        <x:v>high</x:v>
      </x:c>
      <x:c r="I311" s="14" t="str">
        <x:v>src-pleiades-216839</x:v>
      </x:c>
      <x:c r="J311" s="16" t="str">
        <x:v>Ρητή επιμελητική σύνδεση της ιερής ζώνης με την Ιστρία.</x:v>
      </x:c>
      <x:c r="K311" s="14" t="str">
        <x:v>reviewed</x:v>
      </x:c>
    </x:row>
    <x:row r="312" ht="52" customHeight="1">
      <x:c r="A312" s="14" t="str">
        <x:v>rel-f2f9db798432</x:v>
      </x:c>
      <x:c r="B312" s="14" t="str">
        <x:v>colony-ambracia</x:v>
      </x:c>
      <x:c r="C312" s="14" t="str">
        <x:v>founded_from</x:v>
      </x:c>
      <x:c r="D312" s="14" t="str">
        <x:v>city-corinth</x:v>
      </x:c>
      <x:c r="E312" s="14"/>
      <x:c r="F312" s="16" t="str">
        <x:v>Κόρινθος</x:v>
      </x:c>
      <x:c r="G312" s="16" t="str">
        <x:v>Corinth</x:v>
      </x:c>
      <x:c r="H312" s="14" t="str">
        <x:v>medium</x:v>
      </x:c>
      <x:c r="I312" s="14" t="str">
        <x:v>src-pleiades-530794</x:v>
      </x:c>
      <x:c r="J312" s="16" t="str">
        <x:v>metropolis_el: Κόρινθος</x:v>
      </x:c>
      <x:c r="K312" s="14" t="str">
        <x:v>reviewed</x:v>
      </x:c>
    </x:row>
    <x:row r="313" ht="52" customHeight="1">
      <x:c r="A313" s="14" t="str">
        <x:v>rel-f32c4a0833d4</x:v>
      </x:c>
      <x:c r="B313" s="14" t="str">
        <x:v>colony-priene</x:v>
      </x:c>
      <x:c r="C313" s="14" t="str">
        <x:v>founded_from</x:v>
      </x:c>
      <x:c r="D313" s="14"/>
      <x:c r="E313" s="14" t="str">
        <x:v>settlement-athena-kai-theba-paradose</x:v>
      </x:c>
      <x:c r="F313" s="16" t="str">
        <x:v>Αθήνα και Θήβα (παράδοση)</x:v>
      </x:c>
      <x:c r="G313" s="16" t="str">
        <x:v>Athens and Thebes (tradition)</x:v>
      </x:c>
      <x:c r="H313" s="14" t="str">
        <x:v>medium</x:v>
      </x:c>
      <x:c r="I313" s="14" t="str">
        <x:v>src-pleiades-599905</x:v>
      </x:c>
      <x:c r="J313" s="16" t="str">
        <x:v>metropolis_el: Αθήνα και Θήβα (παράδοση)</x:v>
      </x:c>
      <x:c r="K313" s="14" t="str">
        <x:v>reviewed</x:v>
      </x:c>
    </x:row>
    <x:row r="314" ht="52" customHeight="1">
      <x:c r="A314" s="14" t="str">
        <x:v>rel-f35c9164c343</x:v>
      </x:c>
      <x:c r="B314" s="14" t="str">
        <x:v>sanctuary-priene-athena-polias-sanctuary</x:v>
      </x:c>
      <x:c r="C314" s="14" t="str">
        <x:v>cult_of</x:v>
      </x:c>
      <x:c r="D314" s="14"/>
      <x:c r="E314" s="14" t="str">
        <x:v>deity_or_cult-athena-polias</x:v>
      </x:c>
      <x:c r="F314" s="16" t="str">
        <x:v>Αθηνά Πολιάς</x:v>
      </x:c>
      <x:c r="G314" s="16" t="str">
        <x:v>Athena Polias</x:v>
      </x:c>
      <x:c r="H314" s="14" t="str">
        <x:v>medium</x:v>
      </x:c>
      <x:c r="I314" s="14" t="str">
        <x:v>src-pleiades-298577312</x:v>
      </x:c>
      <x:c r="J314" s="16" t="str">
        <x:v>deity_or_cult_el: Αθηνά Πολιάς</x:v>
      </x:c>
      <x:c r="K314" s="14" t="str">
        <x:v>reviewed</x:v>
      </x:c>
    </x:row>
    <x:row r="315" ht="52" customHeight="1">
      <x:c r="A315" s="14" t="str">
        <x:v>rel-f6e71aa11884</x:v>
      </x:c>
      <x:c r="B315" s="14" t="str">
        <x:v>sanctuary-pantikapaion-apollo-ietros-sanctuary</x:v>
      </x:c>
      <x:c r="C315" s="14" t="str">
        <x:v>cult_of</x:v>
      </x:c>
      <x:c r="D315" s="14"/>
      <x:c r="E315" s="14" t="str">
        <x:v>deity_or_cult-apollon-ietros</x:v>
      </x:c>
      <x:c r="F315" s="16" t="str">
        <x:v>Απόλλων Ιητρός</x:v>
      </x:c>
      <x:c r="G315" s="16" t="str">
        <x:v>Apollo Iatros</x:v>
      </x:c>
      <x:c r="H315" s="14" t="str">
        <x:v>medium</x:v>
      </x:c>
      <x:c r="I315" s="14" t="str">
        <x:v>src-pleiades-854719</x:v>
      </x:c>
      <x:c r="J315" s="16" t="str">
        <x:v>deity_or_cult_el: Απόλλων Ιητρός</x:v>
      </x:c>
      <x:c r="K315" s="14" t="str">
        <x:v>reviewed</x:v>
      </x:c>
    </x:row>
    <x:row r="316" ht="52" customHeight="1">
      <x:c r="A316" s="14" t="str">
        <x:v>rel-f6e9d22630eb</x:v>
      </x:c>
      <x:c r="B316" s="14" t="str">
        <x:v>sanctuary-cyrene-apollo-sanctuary</x:v>
      </x:c>
      <x:c r="C316" s="14" t="str">
        <x:v>associated_with_settlement</x:v>
      </x:c>
      <x:c r="D316" s="14" t="str">
        <x:v>colony-cyrene</x:v>
      </x:c>
      <x:c r="E316" s="14"/>
      <x:c r="F316" s="16" t="str">
        <x:v>Κυρήνη</x:v>
      </x:c>
      <x:c r="G316" s="16" t="str">
        <x:v>Cyrene</x:v>
      </x:c>
      <x:c r="H316" s="14" t="str">
        <x:v>high</x:v>
      </x:c>
      <x:c r="I316" s="14" t="str">
        <x:v>src-pleiades-464482220</x:v>
      </x:c>
      <x:c r="J316" s="16" t="str">
        <x:v>Ρητή επιμελητική σύνδεση του ιερού του Απόλλωνα με την Κυρήνη.</x:v>
      </x:c>
      <x:c r="K316" s="14" t="str">
        <x:v>reviewed</x:v>
      </x:c>
    </x:row>
    <x:row r="317" ht="52" customHeight="1">
      <x:c r="A317" s="14" t="str">
        <x:v>rel-f7980ef9c3e2</x:v>
      </x:c>
      <x:c r="B317" s="14" t="str">
        <x:v>sanctuary-isthmia-poseidon-sanctuary</x:v>
      </x:c>
      <x:c r="C317" s="14" t="str">
        <x:v>cult_of</x:v>
      </x:c>
      <x:c r="D317" s="14"/>
      <x:c r="E317" s="14" t="str">
        <x:v>deity_or_cult-poseidon-kai-palaimon</x:v>
      </x:c>
      <x:c r="F317" s="16" t="str">
        <x:v>Ποσειδών και Παλαίμων</x:v>
      </x:c>
      <x:c r="G317" s="16" t="str">
        <x:v>Poseidon and Palaimon</x:v>
      </x:c>
      <x:c r="H317" s="14" t="str">
        <x:v>medium</x:v>
      </x:c>
      <x:c r="I317" s="14" t="str">
        <x:v>src-pleiades-570316</x:v>
      </x:c>
      <x:c r="J317" s="16" t="str">
        <x:v>deity_or_cult_el: Ποσειδών και Παλαίμων</x:v>
      </x:c>
      <x:c r="K317" s="14" t="str">
        <x:v>reviewed</x:v>
      </x:c>
    </x:row>
    <x:row r="318" ht="52" customHeight="1">
      <x:c r="A318" s="14" t="str">
        <x:v>rel-f7d021086d5a</x:v>
      </x:c>
      <x:c r="B318" s="14" t="str">
        <x:v>kingdom-pylos-palatial</x:v>
      </x:c>
      <x:c r="C318" s="14" t="str">
        <x:v>succeeded_by</x:v>
      </x:c>
      <x:c r="D318" s="14"/>
      <x:c r="E318" s="14" t="str">
        <x:v>polity-metanaktorikes-koinotetes-tes-messenias</x:v>
      </x:c>
      <x:c r="F318" s="16" t="str">
        <x:v>Μετανακτορικές κοινότητες της Μεσσηνίας</x:v>
      </x:c>
      <x:c r="G318" s="16" t="str">
        <x:v>Post-palatial communities of Messenia</x:v>
      </x:c>
      <x:c r="H318" s="14" t="str">
        <x:v>medium</x:v>
      </x:c>
      <x:c r="I318" s="14" t="str">
        <x:v>src-odysseus-00e2d87ae4a8</x:v>
      </x:c>
      <x:c r="J318" s="16" t="str">
        <x:v>successor_el: Μετανακτορικές κοινότητες της Μεσσηνίας</x:v>
      </x:c>
      <x:c r="K318" s="14" t="str">
        <x:v>reviewed</x:v>
      </x:c>
    </x:row>
    <x:row r="319" ht="52" customHeight="1">
      <x:c r="A319" s="14" t="str">
        <x:v>rel-f83c65806821</x:v>
      </x:c>
      <x:c r="B319" s="14" t="str">
        <x:v>sanctuary-cyrene-apollo-sanctuary</x:v>
      </x:c>
      <x:c r="C319" s="14" t="str">
        <x:v>cult_of</x:v>
      </x:c>
      <x:c r="D319" s="14"/>
      <x:c r="E319" s="14" t="str">
        <x:v>deity_or_cult-apollon-karneios-artemis-kai-kyrene</x:v>
      </x:c>
      <x:c r="F319" s="16" t="str">
        <x:v>Απόλλων Καρνείος, Άρτεμις και Κυρήνη</x:v>
      </x:c>
      <x:c r="G319" s="16" t="str">
        <x:v>Apollo Karneios, Artemis and Cyrene</x:v>
      </x:c>
      <x:c r="H319" s="14" t="str">
        <x:v>medium</x:v>
      </x:c>
      <x:c r="I319" s="14" t="str">
        <x:v>src-pleiades-464482220</x:v>
      </x:c>
      <x:c r="J319" s="16" t="str">
        <x:v>deity_or_cult_el: Απόλλων Καρνείος, Άρτεμις και Κυρήνη</x:v>
      </x:c>
      <x:c r="K319" s="14" t="str">
        <x:v>reviewed</x:v>
      </x:c>
    </x:row>
    <x:row r="320" ht="52" customHeight="1">
      <x:c r="A320" s="14" t="str">
        <x:v>rel-f8519d55b51f</x:v>
      </x:c>
      <x:c r="B320" s="14" t="str">
        <x:v>kingdom-macedon-argead</x:v>
      </x:c>
      <x:c r="C320" s="14" t="str">
        <x:v>preceded_by</x:v>
      </x:c>
      <x:c r="D320" s="14"/>
      <x:c r="E320" s="14" t="str">
        <x:v>polity-proimes-makedonikes-egemonies</x:v>
      </x:c>
      <x:c r="F320" s="16" t="str">
        <x:v>Πρώιμες μακεδονικές ηγεμονίες</x:v>
      </x:c>
      <x:c r="G320" s="16" t="str">
        <x:v>Early Macedonian hegemonies</x:v>
      </x:c>
      <x:c r="H320" s="14" t="str">
        <x:v>medium</x:v>
      </x:c>
      <x:c r="I320" s="14" t="str">
        <x:v>src-whc-fd006971700c</x:v>
      </x:c>
      <x:c r="J320" s="16" t="str">
        <x:v>predecessor_el: Πρώιμες μακεδονικές ηγεμονίες</x:v>
      </x:c>
      <x:c r="K320" s="14" t="str">
        <x:v>reviewed</x:v>
      </x:c>
    </x:row>
    <x:row r="321" ht="52" customHeight="1">
      <x:c r="A321" s="14" t="str">
        <x:v>rel-f896a4ac568d</x:v>
      </x:c>
      <x:c r="B321" s="14" t="str">
        <x:v>kingdom-greco-bactrian-eucratid</x:v>
      </x:c>
      <x:c r="C321" s="14" t="str">
        <x:v>representative_center</x:v>
      </x:c>
      <x:c r="D321" s="14"/>
      <x:c r="E321" s="14" t="str">
        <x:v>settlement-baktra</x:v>
      </x:c>
      <x:c r="F321" s="16" t="str">
        <x:v>Βάκτρα</x:v>
      </x:c>
      <x:c r="G321" s="16" t="str">
        <x:v>Bactra</x:v>
      </x:c>
      <x:c r="H321" s="14" t="str">
        <x:v>high</x:v>
      </x:c>
      <x:c r="I321" s="14" t="str">
        <x:v>src-iranicaonline-2bb61f112fc3</x:v>
      </x:c>
      <x:c r="J321" s="16" t="str">
        <x:v>representative_center_el: Βάκτρα</x:v>
      </x:c>
      <x:c r="K321" s="14" t="str">
        <x:v>reviewed</x:v>
      </x:c>
    </x:row>
    <x:row r="322" ht="52" customHeight="1">
      <x:c r="A322" s="14" t="str">
        <x:v>rel-f9e933dbf467</x:v>
      </x:c>
      <x:c r="B322" s="14" t="str">
        <x:v>sanctuary-naukratis-hellenion</x:v>
      </x:c>
      <x:c r="C322" s="14" t="str">
        <x:v>associated_with_settlement</x:v>
      </x:c>
      <x:c r="D322" s="14" t="str">
        <x:v>colony-naucratis</x:v>
      </x:c>
      <x:c r="E322" s="14"/>
      <x:c r="F322" s="16" t="str">
        <x:v>Ναύκρατις</x:v>
      </x:c>
      <x:c r="G322" s="16" t="str">
        <x:v>Naucratis</x:v>
      </x:c>
      <x:c r="H322" s="14" t="str">
        <x:v>high</x:v>
      </x:c>
      <x:c r="I322" s="14" t="str">
        <x:v>src-britishmuseum-4626abd5cbdd</x:v>
      </x:c>
      <x:c r="J322" s="16" t="str">
        <x:v>Ρητή επιμελητική σύνδεση του Ελληνίου με τη Ναύκρατι.</x:v>
      </x:c>
      <x:c r="K322" s="14" t="str">
        <x:v>reviewed</x:v>
      </x:c>
    </x:row>
    <x:row r="323" ht="52" customHeight="1">
      <x:c r="A323" s="14" t="str">
        <x:v>rel-fbba6997914f</x:v>
      </x:c>
      <x:c r="B323" s="14" t="str">
        <x:v>kingdom-syracuse-hieron-ii</x:v>
      </x:c>
      <x:c r="C323" s="14" t="str">
        <x:v>preceded_by</x:v>
      </x:c>
      <x:c r="D323" s="14"/>
      <x:c r="E323" s="14" t="str">
        <x:v>polity-metapyrreia-politike-astatheia-stis-syrakoyses</x:v>
      </x:c>
      <x:c r="F323" s="16" t="str">
        <x:v>Μεταπύρρεια πολιτική αστάθεια στις Συρακούσες</x:v>
      </x:c>
      <x:c r="G323" s="16" t="str">
        <x:v>Post-Pyrrhic political instability in Syracuse</x:v>
      </x:c>
      <x:c r="H323" s="14" t="str">
        <x:v>medium</x:v>
      </x:c>
      <x:c r="I323" s="14" t="str">
        <x:v>src-britishmuseum-d101eb623c92</x:v>
      </x:c>
      <x:c r="J323" s="16" t="str">
        <x:v>predecessor_el: Μεταπύρρεια πολιτική αστάθεια στις Συρακούσες</x:v>
      </x:c>
      <x:c r="K323" s="14" t="str">
        <x:v>reviewed</x:v>
      </x:c>
    </x:row>
    <x:row r="324" ht="52" customHeight="1">
      <x:c r="A324" s="14" t="str">
        <x:v>rel-fc25d029f18c</x:v>
      </x:c>
      <x:c r="B324" s="14" t="str">
        <x:v>sanctuary-kourion-apollo-hylates-sanctuary</x:v>
      </x:c>
      <x:c r="C324" s="14" t="str">
        <x:v>cult_of</x:v>
      </x:c>
      <x:c r="D324" s="14"/>
      <x:c r="E324" s="14" t="str">
        <x:v>deity_or_cult-apollon-ylates</x:v>
      </x:c>
      <x:c r="F324" s="16" t="str">
        <x:v>Απόλλων Υλάτης</x:v>
      </x:c>
      <x:c r="G324" s="16" t="str">
        <x:v>Apollo Hylates</x:v>
      </x:c>
      <x:c r="H324" s="14" t="str">
        <x:v>medium</x:v>
      </x:c>
      <x:c r="I324" s="14" t="str">
        <x:v>src-pleiades-707476</x:v>
      </x:c>
      <x:c r="J324" s="16" t="str">
        <x:v>deity_or_cult_el: Απόλλων Υλάτης</x:v>
      </x:c>
      <x:c r="K324" s="14" t="str">
        <x:v>reviewed</x:v>
      </x:c>
    </x:row>
    <x:row r="325" ht="52" customHeight="1">
      <x:c r="A325" s="14" t="str">
        <x:v>rel-fd71cc54a8b8</x:v>
      </x:c>
      <x:c r="B325" s="14" t="str">
        <x:v>colony-olbia-pontica</x:v>
      </x:c>
      <x:c r="C325" s="14" t="str">
        <x:v>founded_from</x:v>
      </x:c>
      <x:c r="D325" s="14" t="str">
        <x:v>colony-miletus</x:v>
      </x:c>
      <x:c r="E325" s="14"/>
      <x:c r="F325" s="16" t="str">
        <x:v>Μίλητος</x:v>
      </x:c>
      <x:c r="G325" s="16" t="str">
        <x:v>Miletus</x:v>
      </x:c>
      <x:c r="H325" s="14" t="str">
        <x:v>medium</x:v>
      </x:c>
      <x:c r="I325" s="14" t="str">
        <x:v>src-pleiades-226546</x:v>
      </x:c>
      <x:c r="J325" s="16" t="str">
        <x:v>metropolis_el: Μίλητος</x:v>
      </x:c>
      <x:c r="K325" s="14" t="str">
        <x:v>reviewed</x:v>
      </x:c>
    </x:row>
    <x:row r="326" ht="52" customHeight="1">
      <x:c r="A326" s="14" t="str">
        <x:v>rel-fdaffda5b134</x:v>
      </x:c>
      <x:c r="B326" s="14" t="str">
        <x:v>kingdom-cappadocia-late-client</x:v>
      </x:c>
      <x:c r="C326" s="14" t="str">
        <x:v>succeeded_by</x:v>
      </x:c>
      <x:c r="D326" s="14"/>
      <x:c r="E326" s="14" t="str">
        <x:v>polity-romaike-eparchia-kappadokia</x:v>
      </x:c>
      <x:c r="F326" s="16" t="str">
        <x:v>Ρωμαϊκή επαρχία Καππαδοκία</x:v>
      </x:c>
      <x:c r="G326" s="16" t="str">
        <x:v>Roman province of Cappadocia</x:v>
      </x:c>
      <x:c r="H326" s="14" t="str">
        <x:v>medium</x:v>
      </x:c>
      <x:c r="I326" s="14" t="str">
        <x:v>src-iranicaonline-0624b0b64cf3</x:v>
      </x:c>
      <x:c r="J326" s="16" t="str">
        <x:v>successor_el: Ρωμαϊκή επαρχία Καππαδοκία</x:v>
      </x:c>
      <x:c r="K326" s="14" t="str">
        <x:v>reviewed</x:v>
      </x:c>
    </x:row>
    <x:row r="327" ht="52" customHeight="1">
      <x:c r="A327" s="14" t="str">
        <x:v>rel-fefbda203da9</x:v>
      </x:c>
      <x:c r="B327" s="14" t="str">
        <x:v>kingdom-syracuse-hieron-ii</x:v>
      </x:c>
      <x:c r="C327" s="14" t="str">
        <x:v>succeeded_by</x:v>
      </x:c>
      <x:c r="D327" s="14"/>
      <x:c r="E327" s="14" t="str">
        <x:v>polity-ieronymos-kai-katopin-romaike-kataktese</x:v>
      </x:c>
      <x:c r="F327" s="16" t="str">
        <x:v>Ιερώνυμος και κατόπιν ρωμαϊκή κατάκτηση</x:v>
      </x:c>
      <x:c r="G327" s="16" t="str">
        <x:v>Hieronymus and subsequent Roman conquest</x:v>
      </x:c>
      <x:c r="H327" s="14" t="str">
        <x:v>medium</x:v>
      </x:c>
      <x:c r="I327" s="14" t="str">
        <x:v>src-britishmuseum-d101eb623c92</x:v>
      </x:c>
      <x:c r="J327" s="16" t="str">
        <x:v>successor_el: Ιερώνυμος και κατόπιν ρωμαϊκή κατάκτηση</x:v>
      </x:c>
      <x:c r="K327" s="14" t="str">
        <x:v>reviewed</x:v>
      </x:c>
    </x:row>
    <x:row r="328" ht="52" customHeight="1">
      <x:c r="A328" s="14" t="str">
        <x:v>rel-ff996cd935c2</x:v>
      </x:c>
      <x:c r="B328" s="14" t="str">
        <x:v>colony-mesembria</x:v>
      </x:c>
      <x:c r="C328" s="14" t="str">
        <x:v>founded_from</x:v>
      </x:c>
      <x:c r="D328" s="14"/>
      <x:c r="E328" s="14" t="str">
        <x:v>settlement-megara-kai-chalkedona</x:v>
      </x:c>
      <x:c r="F328" s="16" t="str">
        <x:v>Μέγαρα και Χαλκηδόνα</x:v>
      </x:c>
      <x:c r="G328" s="16" t="str">
        <x:v>Megara and Chalcedon</x:v>
      </x:c>
      <x:c r="H328" s="14" t="str">
        <x:v>medium</x:v>
      </x:c>
      <x:c r="I328" s="14" t="str">
        <x:v>src-pleiades-216882</x:v>
      </x:c>
      <x:c r="J328" s="16" t="str">
        <x:v>metropolis_el: Μέγαρα και Χαλκηδόνα</x:v>
      </x:c>
      <x:c r="K328" s="14" t="str">
        <x:v>reviewed</x:v>
      </x:c>
    </x:row>
    <x:row r="329" ht="52" customHeight="1">
      <x:c r="A329" s="14" t="str">
        <x:v>rel-ffca1c8c797a</x:v>
      </x:c>
      <x:c r="B329" s="14" t="str">
        <x:v>sanctuary-epidauros-asklepios-sanctuary</x:v>
      </x:c>
      <x:c r="C329" s="14" t="str">
        <x:v>associated_with_settlement</x:v>
      </x:c>
      <x:c r="D329" s="14" t="str">
        <x:v>city-epidaurus-city</x:v>
      </x:c>
      <x:c r="E329" s="14"/>
      <x:c r="F329" s="16" t="str">
        <x:v>Επίδαυρος</x:v>
      </x:c>
      <x:c r="G329" s="16" t="str">
        <x:v>Epidaurus</x:v>
      </x:c>
      <x:c r="H329" s="14" t="str">
        <x:v>high</x:v>
      </x:c>
      <x:c r="I329" s="14" t="str">
        <x:v>src-pleiades-570127</x:v>
      </x:c>
      <x:c r="J329" s="16" t="str">
        <x:v>Ρητή επιμελητική σύνδεση του Ασκληπιείου με την Επίδαυρο.</x:v>
      </x:c>
      <x:c r="K329" s="14" t="str">
        <x:v>reviewed</x:v>
      </x:c>
    </x:row>
    <x:row r="330" ht="52" customHeight="1">
      <x:c r="A330" s="14" t="str">
        <x:v>rel-ffd3e3bb89db</x:v>
      </x:c>
      <x:c r="B330" s="14" t="str">
        <x:v>kingdom-alexander-empire</x:v>
      </x:c>
      <x:c r="C330" s="14" t="str">
        <x:v>preceded_by</x:v>
      </x:c>
      <x:c r="D330" s="14"/>
      <x:c r="E330" s="14" t="str">
        <x:v>polity-basileio-tes-makedonias-ton-argeadon</x:v>
      </x:c>
      <x:c r="F330" s="16" t="str">
        <x:v>Βασίλειο της Μακεδονίας των Αργεαδών</x:v>
      </x:c>
      <x:c r="G330" s="16" t="str">
        <x:v>Kingdom of Macedonia of the Argeadians</x:v>
      </x:c>
      <x:c r="H330" s="14" t="str">
        <x:v>medium</x:v>
      </x:c>
      <x:c r="I330" s="14" t="str">
        <x:v>src-metmuseum-89019924e8c3</x:v>
      </x:c>
      <x:c r="J330" s="16" t="str">
        <x:v>predecessor_el: Βασίλειο της Μακεδονίας των Αργεαδών</x:v>
      </x:c>
      <x:c r="K330" s="14" t="str">
        <x:v>reviewed</x:v>
      </x:c>
    </x:row>
  </x:sheetData>
  <x:mergeCells>
    <x:mergeCell ref="A1:K1"/>
    <x:mergeCell ref="A2:K2"/>
  </x:mergeCells>
  <x:pageMargins left="0.7" right="0.7" top="0.75" bottom="0.75" header="0.3" footer="0.3"/>
  <x:tableParts count="1">
    <x:tablePart xmlns:r="http://schemas.openxmlformats.org/officeDocument/2006/relationships" r:id="R4b5678d927a0406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6" hidden="0" customWidth="1"/>
    <x:col min="2" max="2" width="55" hidden="0" customWidth="1"/>
    <x:col min="3" max="3" width="4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58" hidden="0" customWidth="1"/>
    <x:col min="12" max="12" width="48" hidden="0" customWidth="1"/>
  </x:cols>
  <x:sheetData>
    <x:row r="1" ht="34" customHeight="1">
      <x:c r="A1" s="3" t="str">
        <x:v>Sources / Πηγές</x:v>
      </x:c>
      <x:c r="B1" s="3"/>
      <x:c r="C1" s="3"/>
      <x:c r="D1" s="3"/>
      <x:c r="E1" s="3"/>
      <x:c r="F1" s="3"/>
      <x:c r="G1" s="3"/>
      <x:c r="H1" s="3"/>
      <x:c r="I1" s="3"/>
      <x:c r="J1" s="3"/>
      <x:c r="K1" s="3"/>
      <x:c r="L1" s="3"/>
    </x:row>
    <x:row r="2" ht="28" customHeight="1">
      <x:c r="A2" s="8" t="str">
        <x:v>URL access status is operational evidence only; it is deliberately separate from scholarly relevance and authority.</x:v>
      </x:c>
      <x:c r="B2" s="8"/>
      <x:c r="C2" s="8"/>
      <x:c r="D2" s="8"/>
      <x:c r="E2" s="8"/>
      <x:c r="F2" s="8"/>
      <x:c r="G2" s="8"/>
      <x:c r="H2" s="8"/>
      <x:c r="I2" s="8"/>
      <x:c r="J2" s="8"/>
      <x:c r="K2" s="8"/>
      <x:c r="L2" s="8"/>
    </x:row>
    <x:row r="4" ht="30" customHeight="1">
      <x:c r="A4" s="13" t="str">
        <x:v>source_id</x:v>
      </x:c>
      <x:c r="B4" s="13" t="str">
        <x:v>url</x:v>
      </x:c>
      <x:c r="C4" s="13" t="str">
        <x:v>title</x:v>
      </x:c>
      <x:c r="D4" s="13" t="str">
        <x:v>publisher</x:v>
      </x:c>
      <x:c r="E4" s="13" t="str">
        <x:v>source_class</x:v>
      </x:c>
      <x:c r="F4" s="13" t="str">
        <x:v>language</x:v>
      </x:c>
      <x:c r="G4" s="13" t="str">
        <x:v>license</x:v>
      </x:c>
      <x:c r="H4" s="13" t="str">
        <x:v>accessed_on</x:v>
      </x:c>
      <x:c r="I4" s="13" t="str">
        <x:v>http_status</x:v>
      </x:c>
      <x:c r="J4" s="13" t="str">
        <x:v>url_status</x:v>
      </x:c>
      <x:c r="K4" s="13" t="str">
        <x:v>citation</x:v>
      </x:c>
      <x:c r="L4" s="13" t="str">
        <x:v>notes</x:v>
      </x:c>
    </x:row>
    <x:row r="5" ht="44" customHeight="1">
      <x:c r="A5" s="14" t="str">
        <x:v>src-aphrodisias-excavations-68b8b8553e48</x:v>
      </x:c>
      <x:c r="B5" s="16" t="str">
        <x:v>https://aphrodisias-excavations.com/templeofaphrodite</x:v>
      </x:c>
      <x:c r="C5" s="14" t="str">
        <x:v>Temple of Aphrodite – Aphrodisias</x:v>
      </x:c>
      <x:c r="D5" s="16" t="str">
        <x:v>Aphrodisias Excavations</x:v>
      </x:c>
      <x:c r="E5" s="14" t="str">
        <x:v>excavation_project</x:v>
      </x:c>
      <x:c r="F5" s="14" t="str">
        <x:v>en</x:v>
      </x:c>
      <x:c r="G5" s="14"/>
      <x:c r="H5" s="17" t="n">
        <x:v>46249</x:v>
      </x:c>
      <x:c r="I5" s="21" t="n">
        <x:v>200</x:v>
      </x:c>
      <x:c r="J5" s="14" t="str">
        <x:v>ok</x:v>
      </x:c>
      <x:c r="K5" s="16" t="str">
        <x:v>Temple of Aphrodite – Aphrodisias. Aphrodisias Excavations. https://aphrodisias-excavations.com/templeofaphrodite (accessed 2026-08-15).</x:v>
      </x:c>
      <x:c r="L5" s="16" t="str">
        <x:v>Source metadata reconciled from the submitted research and cached URL check.</x:v>
      </x:c>
    </x:row>
    <x:row r="6" ht="44" customHeight="1">
      <x:c r="A6" s="14" t="str">
        <x:v>src-armus-4dde844bac8f</x:v>
      </x:c>
      <x:c r="B6" s="16" t="str">
        <x:v>https://www.armus.hr/en/museum/museum-history/collection-and-site-issa</x:v>
      </x:c>
      <x:c r="C6" s="14" t="str">
        <x:v>Collection and site Issa | Archaeological Museum in Split</x:v>
      </x:c>
      <x:c r="D6" s="16" t="str">
        <x:v>Archaeological Museum in Split</x:v>
      </x:c>
      <x:c r="E6" s="14" t="str">
        <x:v>museum</x:v>
      </x:c>
      <x:c r="F6" s="14" t="str">
        <x:v>en</x:v>
      </x:c>
      <x:c r="G6" s="14"/>
      <x:c r="H6" s="17" t="n">
        <x:v>46249</x:v>
      </x:c>
      <x:c r="I6" s="21" t="n">
        <x:v>200</x:v>
      </x:c>
      <x:c r="J6" s="14" t="str">
        <x:v>ok</x:v>
      </x:c>
      <x:c r="K6" s="16" t="str">
        <x:v>Collection and site Issa | Archaeological Museum in Split. Archaeological Museum in Split. https://www.armus.hr/en/museum/museum-history/collection-and-site-issa (accessed 2026-08-15).</x:v>
      </x:c>
      <x:c r="L6" s="16" t="str">
        <x:v>Source metadata reconciled from the submitted research and cached URL check.</x:v>
      </x:c>
    </x:row>
    <x:row r="7" ht="44" customHeight="1">
      <x:c r="A7" s="14" t="str">
        <x:v>src-assets-5a2ee3f98c16</x:v>
      </x:c>
      <x:c r="B7" s="16" t="str">
        <x:v>https://assets.cambridge.org/97811070/08571/excerpt/9781107008571_excerpt.pdf</x:v>
      </x:c>
      <x:c r="C7" s="14" t="str">
        <x:v>Callimachus in Context: From Plato to the Augustan Poets — excerpt</x:v>
      </x:c>
      <x:c r="D7" s="16" t="str">
        <x:v>Cambridge University Press</x:v>
      </x:c>
      <x:c r="E7" s="14" t="str">
        <x:v>peer_reviewed_publication</x:v>
      </x:c>
      <x:c r="F7" s="14" t="str">
        <x:v>en</x:v>
      </x:c>
      <x:c r="G7" s="14"/>
      <x:c r="H7" s="17" t="n">
        <x:v>46249</x:v>
      </x:c>
      <x:c r="I7" s="21"/>
      <x:c r="J7" s="14" t="str">
        <x:v>unchecked</x:v>
      </x:c>
      <x:c r="K7" s="16" t="str">
        <x:v>Callimachus in Context: From Plato to the Augustan Poets — excerpt. Cambridge University Press. https://assets.cambridge.org/97811070/08571/excerpt/9781107008571_excerpt.pdf (accessed 2026-08-15).</x:v>
      </x:c>
      <x:c r="L7" s="16" t="str">
        <x:v>Book excerpt by Benjamin Acosta-Hughes and Susan A. Stephens; its historical introduction discusses Magas and Cyrene.</x:v>
      </x:c>
    </x:row>
    <x:row r="8" ht="44" customHeight="1">
      <x:c r="A8" s="14" t="str">
        <x:v>src-attalus-1b40f4436114</x:v>
      </x:c>
      <x:c r="B8" s="16" t="str">
        <x:v>https://www.attalus.org/names/b/bithynia.html</x:v>
      </x:c>
      <x:c r="C8" s="14" t="str">
        <x:v>Bithynia - in ancient sources @ attalus.org</x:v>
      </x:c>
      <x:c r="D8" s="16" t="str">
        <x:v>Attalus</x:v>
      </x:c>
      <x:c r="E8" s="14" t="str">
        <x:v>reference_work</x:v>
      </x:c>
      <x:c r="F8" s="14" t="str">
        <x:v>en</x:v>
      </x:c>
      <x:c r="G8" s="14"/>
      <x:c r="H8" s="17" t="n">
        <x:v>46249</x:v>
      </x:c>
      <x:c r="I8" s="21" t="n">
        <x:v>200</x:v>
      </x:c>
      <x:c r="J8" s="14" t="str">
        <x:v>ok</x:v>
      </x:c>
      <x:c r="K8" s="16" t="str">
        <x:v>Bithynia - in ancient sources @ attalus.org. Attalus. https://www.attalus.org/names/b/bithynia.html (accessed 2026-08-15).</x:v>
      </x:c>
      <x:c r="L8" s="16" t="str">
        <x:v>Source metadata reconciled from the submitted research and cached URL check.</x:v>
      </x:c>
    </x:row>
    <x:row r="9" ht="44" customHeight="1">
      <x:c r="A9" s="14" t="str">
        <x:v>src-britishmuseum-073d3f0a8ae4</x:v>
      </x:c>
      <x:c r="B9" s="16" t="str">
        <x:v>https://www.britishmuseum.org/collection/object/C_2013-4030-144</x:v>
      </x:c>
      <x:c r="C9" s="14" t="str">
        <x:v>coin | British Museum</x:v>
      </x:c>
      <x:c r="D9" s="16" t="str">
        <x:v>The British Museum</x:v>
      </x:c>
      <x:c r="E9" s="14" t="str">
        <x:v>museum</x:v>
      </x:c>
      <x:c r="F9" s="14" t="str">
        <x:v>en</x:v>
      </x:c>
      <x:c r="G9" s="14"/>
      <x:c r="H9" s="17" t="n">
        <x:v>46249</x:v>
      </x:c>
      <x:c r="I9" s="21" t="n">
        <x:v>200</x:v>
      </x:c>
      <x:c r="J9" s="14" t="str">
        <x:v>ok</x:v>
      </x:c>
      <x:c r="K9" s="16" t="str">
        <x:v>coin | British Museum. The British Museum. https://www.britishmuseum.org/collection/object/C_2013-4030-144 (accessed 2026-08-15).</x:v>
      </x:c>
      <x:c r="L9" s="16" t="str">
        <x:v>Source metadata reconciled from the submitted research and cached URL check.</x:v>
      </x:c>
    </x:row>
    <x:row r="10" ht="44" customHeight="1">
      <x:c r="A10" s="14" t="str">
        <x:v>src-britishmuseum-4626abd5cbdd</x:v>
      </x:c>
      <x:c r="B10" s="16" t="str">
        <x:v>https://www.britishmuseum.org/collection/term/x113864</x:v>
      </x:c>
      <x:c r="C10" s="14" t="str">
        <x:v>Naukratis — collection place record</x:v>
      </x:c>
      <x:c r="D10" s="16" t="str">
        <x:v>The British Museum</x:v>
      </x:c>
      <x:c r="E10" s="14" t="str">
        <x:v>museum</x:v>
      </x:c>
      <x:c r="F10" s="14" t="str">
        <x:v>en</x:v>
      </x:c>
      <x:c r="G10" s="14"/>
      <x:c r="H10" s="17" t="n">
        <x:v>46249</x:v>
      </x:c>
      <x:c r="I10" s="21" t="n">
        <x:v>403</x:v>
      </x:c>
      <x:c r="J10" s="14" t="str">
        <x:v>unavailable</x:v>
      </x:c>
      <x:c r="K10" s="16" t="str">
        <x:v>Naukratis — collection place record. The British Museum. https://www.britishmuseum.org/collection/term/x113864 (accessed 2026-08-15).</x:v>
      </x:c>
      <x:c r="L10" s="16" t="str">
        <x:v>British Museum collection authority record for Naukratis; the server denied automated access during the release check.</x:v>
      </x:c>
    </x:row>
    <x:row r="11" ht="44" customHeight="1">
      <x:c r="A11" s="14" t="str">
        <x:v>src-britishmuseum-d101eb623c92</x:v>
      </x:c>
      <x:c r="B11" s="16" t="str">
        <x:v>https://www.britishmuseum.org/collection/object/C_TC-p80-56-Syr</x:v>
      </x:c>
      <x:c r="C11" s="14" t="str">
        <x:v>Coin of Hieron II of Syracuse</x:v>
      </x:c>
      <x:c r="D11" s="16" t="str">
        <x:v>The British Museum</x:v>
      </x:c>
      <x:c r="E11" s="14" t="str">
        <x:v>museum</x:v>
      </x:c>
      <x:c r="F11" s="14" t="str">
        <x:v>en</x:v>
      </x:c>
      <x:c r="G11" s="14"/>
      <x:c r="H11" s="17" t="n">
        <x:v>46249</x:v>
      </x:c>
      <x:c r="I11" s="21" t="n">
        <x:v>403</x:v>
      </x:c>
      <x:c r="J11" s="14" t="str">
        <x:v>unavailable</x:v>
      </x:c>
      <x:c r="K11" s="16" t="str">
        <x:v>Coin of Hieron II of Syracuse. The British Museum. https://www.britishmuseum.org/collection/object/C_TC-p80-56-Syr (accessed 2026-08-15).</x:v>
      </x:c>
      <x:c r="L11" s="16" t="str">
        <x:v>British Museum collection record used as material evidence for Hieron II; the server denied automated access during the release check.</x:v>
      </x:c>
    </x:row>
    <x:row r="12" ht="44" customHeight="1">
      <x:c r="A12" s="14" t="str">
        <x:v>src-cambridge-96106a304cc6</x:v>
      </x:c>
      <x:c r="B12" s="16" t="str">
        <x:v>https://www.cambridge.org/core/books/cambridge-companion-to-alexander-the-great/contexts/D0DFBC7B39E453BD0E365F56F74DA097</x:v>
      </x:c>
      <x:c r="C12" s="14" t="str">
        <x:v>Contexts (Part II) - The Cambridge Companion to Alexander the Great</x:v>
      </x:c>
      <x:c r="D12" s="16" t="str">
        <x:v>Cambridge University Press</x:v>
      </x:c>
      <x:c r="E12" s="14" t="str">
        <x:v>peer_reviewed_publication</x:v>
      </x:c>
      <x:c r="F12" s="14" t="str">
        <x:v>en</x:v>
      </x:c>
      <x:c r="G12" s="14"/>
      <x:c r="H12" s="17" t="n">
        <x:v>46249</x:v>
      </x:c>
      <x:c r="I12" s="21" t="n">
        <x:v>200</x:v>
      </x:c>
      <x:c r="J12" s="14" t="str">
        <x:v>redirected</x:v>
      </x:c>
      <x:c r="K12" s="16" t="str">
        <x:v>Contexts (Part II) - The Cambridge Companion to Alexander the Great. Cambridge University Press. https://www.cambridge.org/core/books/cambridge-companion-to-alexander-the-great/contexts/D0DFBC7B39E453BD0E365F56F74DA097 (accessed 2026-08-15).</x:v>
      </x:c>
      <x:c r="L12" s="16" t="str">
        <x:v>Source metadata reconciled from the submitted research and cached URL check.</x:v>
      </x:c>
    </x:row>
    <x:row r="13" ht="44" customHeight="1">
      <x:c r="A13" s="14" t="str">
        <x:v>src-encyclopediaofukraine-237e86aa1350</x:v>
      </x:c>
      <x:c r="B13" s="16" t="str">
        <x:v>https://www.encyclopediaofukraine.com/display.asp?linkpath=pages%5CB%5CO%5CBosporanKingdom.htm</x:v>
      </x:c>
      <x:c r="C13" s="14" t="str">
        <x:v>Bosporan Kingdom</x:v>
      </x:c>
      <x:c r="D13" s="16" t="str">
        <x:v>Internet Encyclopedia of Ukraine</x:v>
      </x:c>
      <x:c r="E13" s="14" t="str">
        <x:v>reference_work</x:v>
      </x:c>
      <x:c r="F13" s="14" t="str">
        <x:v>en</x:v>
      </x:c>
      <x:c r="G13" s="14"/>
      <x:c r="H13" s="17" t="n">
        <x:v>46249</x:v>
      </x:c>
      <x:c r="I13" s="21" t="n">
        <x:v>200</x:v>
      </x:c>
      <x:c r="J13" s="14" t="str">
        <x:v>ok</x:v>
      </x:c>
      <x:c r="K13" s="16" t="str">
        <x:v>Bosporan Kingdom. Internet Encyclopedia of Ukraine. https://www.encyclopediaofukraine.com/display.asp?linkpath=pages%5CB%5CO%5CBosporanKingdom.htm (accessed 2026-08-15).</x:v>
      </x:c>
      <x:c r="L13" s="16" t="str">
        <x:v>Source metadata reconciled from the submitted research and cached URL check.</x:v>
      </x:c>
    </x:row>
    <x:row r="14" ht="44" customHeight="1">
      <x:c r="A14" s="14" t="str">
        <x:v>src-iranicaonline-0624b0b64cf3</x:v>
      </x:c>
      <x:c r="B14" s="16" t="str">
        <x:v>https://www.iranicaonline.org/articles/cappadocia</x:v>
      </x:c>
      <x:c r="C14" s="14" t="str">
        <x:v>CAPPADOCIA - Encyclopaedia Iranica</x:v>
      </x:c>
      <x:c r="D14" s="16" t="str">
        <x:v>Encyclopaedia Iranica</x:v>
      </x:c>
      <x:c r="E14" s="14" t="str">
        <x:v>reference_work</x:v>
      </x:c>
      <x:c r="F14" s="14" t="str">
        <x:v>en</x:v>
      </x:c>
      <x:c r="G14" s="14"/>
      <x:c r="H14" s="17" t="n">
        <x:v>46249</x:v>
      </x:c>
      <x:c r="I14" s="21" t="n">
        <x:v>200</x:v>
      </x:c>
      <x:c r="J14" s="14" t="str">
        <x:v>ok</x:v>
      </x:c>
      <x:c r="K14" s="16" t="str">
        <x:v>CAPPADOCIA - Encyclopaedia Iranica. Encyclopaedia Iranica. https://www.iranicaonline.org/articles/cappadocia (accessed 2026-08-15).</x:v>
      </x:c>
      <x:c r="L14" s="16" t="str">
        <x:v>Source metadata reconciled from the submitted research and cached URL check.</x:v>
      </x:c>
    </x:row>
    <x:row r="15" ht="44" customHeight="1">
      <x:c r="A15" s="14" t="str">
        <x:v>src-iranicaonline-2bb61f112fc3</x:v>
      </x:c>
      <x:c r="B15" s="16" t="str">
        <x:v>https://www.iranicaonline.org/articles/eucratides</x:v>
      </x:c>
      <x:c r="C15" s="14" t="str">
        <x:v>EUCRATIDES - Encyclopaedia Iranica</x:v>
      </x:c>
      <x:c r="D15" s="16" t="str">
        <x:v>Encyclopaedia Iranica</x:v>
      </x:c>
      <x:c r="E15" s="14" t="str">
        <x:v>reference_work</x:v>
      </x:c>
      <x:c r="F15" s="14" t="str">
        <x:v>en</x:v>
      </x:c>
      <x:c r="G15" s="14"/>
      <x:c r="H15" s="17" t="n">
        <x:v>46249</x:v>
      </x:c>
      <x:c r="I15" s="21" t="n">
        <x:v>200</x:v>
      </x:c>
      <x:c r="J15" s="14" t="str">
        <x:v>ok</x:v>
      </x:c>
      <x:c r="K15" s="16" t="str">
        <x:v>EUCRATIDES - Encyclopaedia Iranica. Encyclopaedia Iranica. https://www.iranicaonline.org/articles/eucratides (accessed 2026-08-15).</x:v>
      </x:c>
      <x:c r="L15" s="16" t="str">
        <x:v>Source metadata reconciled from the submitted research and cached URL check.</x:v>
      </x:c>
    </x:row>
    <x:row r="16" ht="44" customHeight="1">
      <x:c r="A16" s="14" t="str">
        <x:v>src-iranicaonline-4a607235e191</x:v>
      </x:c>
      <x:c r="B16" s="16" t="str">
        <x:v>https://www.iranicaonline.org/articles/scythians</x:v>
      </x:c>
      <x:c r="C16" s="14" t="str">
        <x:v>SCYTHIANS - Encyclopaedia Iranica</x:v>
      </x:c>
      <x:c r="D16" s="16" t="str">
        <x:v>Encyclopaedia Iranica</x:v>
      </x:c>
      <x:c r="E16" s="14" t="str">
        <x:v>reference_work</x:v>
      </x:c>
      <x:c r="F16" s="14" t="str">
        <x:v>en</x:v>
      </x:c>
      <x:c r="G16" s="14"/>
      <x:c r="H16" s="17" t="n">
        <x:v>46249</x:v>
      </x:c>
      <x:c r="I16" s="21" t="n">
        <x:v>200</x:v>
      </x:c>
      <x:c r="J16" s="14" t="str">
        <x:v>ok</x:v>
      </x:c>
      <x:c r="K16" s="16" t="str">
        <x:v>SCYTHIANS - Encyclopaedia Iranica. Encyclopaedia Iranica. https://www.iranicaonline.org/articles/scythians (accessed 2026-08-15).</x:v>
      </x:c>
      <x:c r="L16" s="16" t="str">
        <x:v>Source metadata reconciled from the submitted research and cached URL check.</x:v>
      </x:c>
    </x:row>
    <x:row r="17" ht="44" customHeight="1">
      <x:c r="A17" s="14" t="str">
        <x:v>src-iranicaonline-612dff96c99c</x:v>
      </x:c>
      <x:c r="B17" s="16" t="str">
        <x:v>https://www.iranicaonline.org/articles/indo-greek-dynasty</x:v>
      </x:c>
      <x:c r="C17" s="14" t="str">
        <x:v>INDO-GREEK DYNASTY - Encyclopaedia Iranica</x:v>
      </x:c>
      <x:c r="D17" s="16" t="str">
        <x:v>Encyclopaedia Iranica</x:v>
      </x:c>
      <x:c r="E17" s="14" t="str">
        <x:v>reference_work</x:v>
      </x:c>
      <x:c r="F17" s="14" t="str">
        <x:v>en</x:v>
      </x:c>
      <x:c r="G17" s="14"/>
      <x:c r="H17" s="17" t="n">
        <x:v>46249</x:v>
      </x:c>
      <x:c r="I17" s="21" t="n">
        <x:v>200</x:v>
      </x:c>
      <x:c r="J17" s="14" t="str">
        <x:v>ok</x:v>
      </x:c>
      <x:c r="K17" s="16" t="str">
        <x:v>INDO-GREEK DYNASTY - Encyclopaedia Iranica. Encyclopaedia Iranica. https://www.iranicaonline.org/articles/indo-greek-dynasty (accessed 2026-08-15).</x:v>
      </x:c>
      <x:c r="L17" s="16" t="str">
        <x:v>Source metadata reconciled from the submitted research and cached URL check.</x:v>
      </x:c>
    </x:row>
    <x:row r="18" ht="44" customHeight="1">
      <x:c r="A18" s="14" t="str">
        <x:v>src-iranicaonline-d4697d4d5c1a</x:v>
      </x:c>
      <x:c r="B18" s="16" t="str">
        <x:v>https://www.iranicaonline.org/articles/euthydemus</x:v>
      </x:c>
      <x:c r="C18" s="14" t="str">
        <x:v>EUTHYDEMUS - Encyclopaedia Iranica</x:v>
      </x:c>
      <x:c r="D18" s="16" t="str">
        <x:v>Encyclopaedia Iranica</x:v>
      </x:c>
      <x:c r="E18" s="14" t="str">
        <x:v>reference_work</x:v>
      </x:c>
      <x:c r="F18" s="14" t="str">
        <x:v>en</x:v>
      </x:c>
      <x:c r="G18" s="14"/>
      <x:c r="H18" s="17" t="n">
        <x:v>46249</x:v>
      </x:c>
      <x:c r="I18" s="21" t="n">
        <x:v>200</x:v>
      </x:c>
      <x:c r="J18" s="14" t="str">
        <x:v>ok</x:v>
      </x:c>
      <x:c r="K18" s="16" t="str">
        <x:v>EUTHYDEMUS - Encyclopaedia Iranica. Encyclopaedia Iranica. https://www.iranicaonline.org/articles/euthydemus (accessed 2026-08-15).</x:v>
      </x:c>
      <x:c r="L18" s="16" t="str">
        <x:v>Source metadata reconciled from the submitted research and cached URL check.</x:v>
      </x:c>
    </x:row>
    <x:row r="19" ht="44" customHeight="1">
      <x:c r="A19" s="14" t="str">
        <x:v>src-metmuseum-31540f5687cf</x:v>
      </x:c>
      <x:c r="B19" s="16" t="str">
        <x:v>https://www.metmuseum.org/essays/the-seleucid-empire-323-64-b-c</x:v>
      </x:c>
      <x:c r="C19" s="14" t="str">
        <x:v>The Seleucid Empire (323–64 BCE)</x:v>
      </x:c>
      <x:c r="D19" s="16" t="str">
        <x:v>The Metropolitan Museum of Art</x:v>
      </x:c>
      <x:c r="E19" s="14" t="str">
        <x:v>museum</x:v>
      </x:c>
      <x:c r="F19" s="14" t="str">
        <x:v>en</x:v>
      </x:c>
      <x:c r="G19" s="14"/>
      <x:c r="H19" s="17" t="n">
        <x:v>46249</x:v>
      </x:c>
      <x:c r="I19" s="21" t="n">
        <x:v>429</x:v>
      </x:c>
      <x:c r="J19" s="14" t="str">
        <x:v>unavailable</x:v>
      </x:c>
      <x:c r="K19" s="16" t="str">
        <x:v>The Seleucid Empire (323–64 BCE). The Metropolitan Museum of Art. https://www.metmuseum.org/essays/the-seleucid-empire-323-64-b-c (accessed 2026-08-15).</x:v>
      </x:c>
      <x:c r="L19" s="16" t="str">
        <x:v>Heilbrunn Timeline of Art History essay; rate-limited during the automated release check.</x:v>
      </x:c>
    </x:row>
    <x:row r="20" ht="44" customHeight="1">
      <x:c r="A20" s="14" t="str">
        <x:v>src-metmuseum-50fe20dc493f</x:v>
      </x:c>
      <x:c r="B20" s="16" t="str">
        <x:v>https://www.metmuseum.org/toah/hd/gkru/hd_gkru.htm</x:v>
      </x:c>
      <x:c r="C20" s="14" t="str">
        <x:v>Greek Art in the Hellenistic World</x:v>
      </x:c>
      <x:c r="D20" s="16" t="str">
        <x:v>The Metropolitan Museum of Art</x:v>
      </x:c>
      <x:c r="E20" s="14" t="str">
        <x:v>museum</x:v>
      </x:c>
      <x:c r="F20" s="14" t="str">
        <x:v>en</x:v>
      </x:c>
      <x:c r="G20" s="14"/>
      <x:c r="H20" s="17" t="n">
        <x:v>46249</x:v>
      </x:c>
      <x:c r="I20" s="21" t="n">
        <x:v>429</x:v>
      </x:c>
      <x:c r="J20" s="14" t="str">
        <x:v>unavailable</x:v>
      </x:c>
      <x:c r="K20" s="16" t="str">
        <x:v>Greek Art in the Hellenistic World. The Metropolitan Museum of Art. https://www.metmuseum.org/toah/hd/gkru/hd_gkru.htm (accessed 2026-08-15).</x:v>
      </x:c>
      <x:c r="L20" s="16" t="str">
        <x:v>Heilbrunn Timeline of Art History essay; rate-limited during the automated release check.</x:v>
      </x:c>
    </x:row>
    <x:row r="21" ht="44" customHeight="1">
      <x:c r="A21" s="14" t="str">
        <x:v>src-metmuseum-89019924e8c3</x:v>
      </x:c>
      <x:c r="B21" s="16" t="str">
        <x:v>https://www.metmuseum.org/essays/the-rise-of-macedonia-and-the-conquests-of-alexander-the-great</x:v>
      </x:c>
      <x:c r="C21" s="14" t="str">
        <x:v>The Rise of Macedonia and the Conquests of Alexander the Great</x:v>
      </x:c>
      <x:c r="D21" s="16" t="str">
        <x:v>The Metropolitan Museum of Art</x:v>
      </x:c>
      <x:c r="E21" s="14" t="str">
        <x:v>museum</x:v>
      </x:c>
      <x:c r="F21" s="14" t="str">
        <x:v>en</x:v>
      </x:c>
      <x:c r="G21" s="14"/>
      <x:c r="H21" s="17" t="n">
        <x:v>46249</x:v>
      </x:c>
      <x:c r="I21" s="21" t="n">
        <x:v>429</x:v>
      </x:c>
      <x:c r="J21" s="14" t="str">
        <x:v>unavailable</x:v>
      </x:c>
      <x:c r="K21" s="16" t="str">
        <x:v>The Rise of Macedonia and the Conquests of Alexander the Great. The Metropolitan Museum of Art. https://www.metmuseum.org/essays/the-rise-of-macedonia-and-the-conquests-of-alexander-the-great (accessed 2026-08-15).</x:v>
      </x:c>
      <x:c r="L21" s="16" t="str">
        <x:v>Heilbrunn Timeline of Art History essay; rate-limited during the automated release check.</x:v>
      </x:c>
    </x:row>
    <x:row r="22" ht="44" customHeight="1">
      <x:c r="A22" s="14" t="str">
        <x:v>src-metmuseum-9200258a95cb</x:v>
      </x:c>
      <x:c r="B22" s="16" t="str">
        <x:v>https://www.metmuseum.org/essays/egypt-in-the-ptolemaic-period</x:v>
      </x:c>
      <x:c r="C22" s="14" t="str">
        <x:v>Egypt in the Ptolemaic Period</x:v>
      </x:c>
      <x:c r="D22" s="16" t="str">
        <x:v>The Metropolitan Museum of Art</x:v>
      </x:c>
      <x:c r="E22" s="14" t="str">
        <x:v>museum</x:v>
      </x:c>
      <x:c r="F22" s="14" t="str">
        <x:v>en</x:v>
      </x:c>
      <x:c r="G22" s="14"/>
      <x:c r="H22" s="17" t="n">
        <x:v>46249</x:v>
      </x:c>
      <x:c r="I22" s="21" t="n">
        <x:v>429</x:v>
      </x:c>
      <x:c r="J22" s="14" t="str">
        <x:v>unavailable</x:v>
      </x:c>
      <x:c r="K22" s="16" t="str">
        <x:v>Egypt in the Ptolemaic Period. The Metropolitan Museum of Art. https://www.metmuseum.org/essays/egypt-in-the-ptolemaic-period (accessed 2026-08-15).</x:v>
      </x:c>
      <x:c r="L22" s="16" t="str">
        <x:v>Heilbrunn Timeline of Art History essay; rate-limited during the automated release check.</x:v>
      </x:c>
    </x:row>
    <x:row r="23" ht="44" customHeight="1">
      <x:c r="A23" s="14" t="str">
        <x:v>src-mthv-715d665b63b5</x:v>
      </x:c>
      <x:c r="B23" s="16" t="str">
        <x:v>https://www.mthv.gr/en/permanent-exhibition/mycenaean-period</x:v>
      </x:c>
      <x:c r="C23" s="14" t="str">
        <x:v>Mycenaean period - MUSEUM OF THEBES</x:v>
      </x:c>
      <x:c r="D23" s="16" t="str">
        <x:v>Museum of Thebes</x:v>
      </x:c>
      <x:c r="E23" s="14" t="str">
        <x:v>museum</x:v>
      </x:c>
      <x:c r="F23" s="14" t="str">
        <x:v>en</x:v>
      </x:c>
      <x:c r="G23" s="14"/>
      <x:c r="H23" s="17" t="n">
        <x:v>46249</x:v>
      </x:c>
      <x:c r="I23" s="21" t="n">
        <x:v>200</x:v>
      </x:c>
      <x:c r="J23" s="14" t="str">
        <x:v>ok</x:v>
      </x:c>
      <x:c r="K23" s="16" t="str">
        <x:v>Mycenaean period - MUSEUM OF THEBES. Museum of Thebes. https://www.mthv.gr/en/permanent-exhibition/mycenaean-period (accessed 2026-08-15).</x:v>
      </x:c>
      <x:c r="L23" s="16" t="str">
        <x:v>Source metadata reconciled from the submitted research and cached URL check.</x:v>
      </x:c>
    </x:row>
    <x:row r="24" ht="44" customHeight="1">
      <x:c r="A24" s="14" t="str">
        <x:v>src-museoarcheologicoreggiocalabria-a34e7a2bfa16</x:v>
      </x:c>
      <x:c r="B24" s="16" t="str">
        <x:v>https://museoarcheologicoreggiocalabria.cultura.gov.it/collezioni/livello-b</x:v>
      </x:c>
      <x:c r="C24" s="14" t="str">
        <x:v>Cities and Sanctuaries of Magna Graecia — Level B</x:v>
      </x:c>
      <x:c r="D24" s="16" t="str">
        <x:v>Museo Archeologico Nazionale di Reggio Calabria</x:v>
      </x:c>
      <x:c r="E24" s="14" t="str">
        <x:v>museum</x:v>
      </x:c>
      <x:c r="F24" s="14" t="str">
        <x:v>en</x:v>
      </x:c>
      <x:c r="G24" s="14"/>
      <x:c r="H24" s="17" t="n">
        <x:v>46249</x:v>
      </x:c>
      <x:c r="I24" s="21"/>
      <x:c r="J24" s="14" t="str">
        <x:v>unavailable</x:v>
      </x:c>
      <x:c r="K24" s="16" t="str">
        <x:v>Cities and Sanctuaries of Magna Graecia — Level B. Museo Archeologico Nazionale di Reggio Calabria. https://museoarcheologicoreggiocalabria.cultura.gov.it/collezioni/livello-b (accessed 2026-08-15).</x:v>
      </x:c>
      <x:c r="L24" s="16" t="str">
        <x:v>Official museum collection page; the current English page documents the Mannella sanctuary at Locri.</x:v>
      </x:c>
    </x:row>
    <x:row r="25" ht="44" customHeight="1">
      <x:c r="A25" s="14" t="str">
        <x:v>src-odysseus-00e2d87ae4a8</x:v>
      </x:c>
      <x:c r="B25" s="16" t="str">
        <x:v>https://odysseus.culture.gr/h/3/eh355.jsp?obj_id=2562</x:v>
      </x:c>
      <x:c r="C25" s="14" t="str">
        <x:v>The Palace of Nestor at Pylos</x:v>
      </x:c>
      <x:c r="D25" s="16" t="str">
        <x:v>Hellenic Ministry of Culture</x:v>
      </x:c>
      <x:c r="E25" s="14" t="str">
        <x:v>national_archaeological_service</x:v>
      </x:c>
      <x:c r="F25" s="14" t="str">
        <x:v>en</x:v>
      </x:c>
      <x:c r="G25" s="14"/>
      <x:c r="H25" s="17" t="n">
        <x:v>46249</x:v>
      </x:c>
      <x:c r="I25" s="21"/>
      <x:c r="J25" s="14" t="str">
        <x:v>unavailable</x:v>
      </x:c>
      <x:c r="K25" s="16" t="str">
        <x:v>The Palace of Nestor at Pylos. Hellenic Ministry of Culture. https://odysseus.culture.gr/h/3/eh355.jsp?obj_id=2562 (accessed 2026-08-15).</x:v>
      </x:c>
      <x:c r="L25" s="16" t="str">
        <x:v>Official archaeological-site record; direct automated access was unavailable during the release check.</x:v>
      </x:c>
    </x:row>
    <x:row r="26" ht="44" customHeight="1">
      <x:c r="A26" s="14" t="str">
        <x:v>src-odysseus-589898851f92</x:v>
      </x:c>
      <x:c r="B26" s="16" t="str">
        <x:v>https://odysseus.culture.gr/h/3/eh351.jsp?obj_id=2501</x:v>
      </x:c>
      <x:c r="C26" s="14" t="str">
        <x:v>Archaeological Site of Dimini</x:v>
      </x:c>
      <x:c r="D26" s="16" t="str">
        <x:v>Hellenic Ministry of Culture</x:v>
      </x:c>
      <x:c r="E26" s="14" t="str">
        <x:v>national_archaeological_service</x:v>
      </x:c>
      <x:c r="F26" s="14" t="str">
        <x:v>en</x:v>
      </x:c>
      <x:c r="G26" s="14"/>
      <x:c r="H26" s="17" t="n">
        <x:v>46249</x:v>
      </x:c>
      <x:c r="I26" s="21"/>
      <x:c r="J26" s="14" t="str">
        <x:v>unavailable</x:v>
      </x:c>
      <x:c r="K26" s="16" t="str">
        <x:v>Archaeological Site of Dimini. Hellenic Ministry of Culture. https://odysseus.culture.gr/h/3/eh351.jsp?obj_id=2501 (accessed 2026-08-15).</x:v>
      </x:c>
      <x:c r="L26" s="16" t="str">
        <x:v>Official archaeological-site record; direct automated access was unavailable during the release check.</x:v>
      </x:c>
    </x:row>
    <x:row r="27" ht="44" customHeight="1">
      <x:c r="A27" s="14" t="str">
        <x:v>src-odysseus-9e3ae0cba911</x:v>
      </x:c>
      <x:c r="B27" s="16" t="str">
        <x:v>https://odysseus.culture.gr/h/2/eh2530.jsp?obj_id=716</x:v>
      </x:c>
      <x:c r="C27" s="14" t="str">
        <x:v>The Palace of Knossos</x:v>
      </x:c>
      <x:c r="D27" s="16" t="str">
        <x:v>Hellenic Ministry of Culture</x:v>
      </x:c>
      <x:c r="E27" s="14" t="str">
        <x:v>national_archaeological_service</x:v>
      </x:c>
      <x:c r="F27" s="14" t="str">
        <x:v>en</x:v>
      </x:c>
      <x:c r="G27" s="14"/>
      <x:c r="H27" s="17" t="n">
        <x:v>46249</x:v>
      </x:c>
      <x:c r="I27" s="21"/>
      <x:c r="J27" s="14" t="str">
        <x:v>unavailable</x:v>
      </x:c>
      <x:c r="K27" s="16" t="str">
        <x:v>The Palace of Knossos. Hellenic Ministry of Culture. https://odysseus.culture.gr/h/2/eh2530.jsp?obj_id=716 (accessed 2026-08-15).</x:v>
      </x:c>
      <x:c r="L27" s="16" t="str">
        <x:v>Official archaeological-site record; direct automated access was unavailable during the release check.</x:v>
      </x:c>
    </x:row>
    <x:row r="28" ht="44" customHeight="1">
      <x:c r="A28" s="14" t="str">
        <x:v>src-penn-a97aa05ea214</x:v>
      </x:c>
      <x:c r="B28" s="16" t="str">
        <x:v>https://www.penn.museum/sites/expedition/olbia-pontica-and-the-olbian-muse</x:v>
      </x:c>
      <x:c r="C28" s="14" t="str">
        <x:v>Expedition Magazine | Olbia Pontica and the ‘Olbian Muse’</x:v>
      </x:c>
      <x:c r="D28" s="16" t="str">
        <x:v>Penn Museum</x:v>
      </x:c>
      <x:c r="E28" s="14" t="str">
        <x:v>museum</x:v>
      </x:c>
      <x:c r="F28" s="14" t="str">
        <x:v>en</x:v>
      </x:c>
      <x:c r="G28" s="14"/>
      <x:c r="H28" s="17" t="n">
        <x:v>46249</x:v>
      </x:c>
      <x:c r="I28" s="21" t="n">
        <x:v>200</x:v>
      </x:c>
      <x:c r="J28" s="14" t="str">
        <x:v>ok</x:v>
      </x:c>
      <x:c r="K28" s="16" t="str">
        <x:v>Expedition Magazine | Olbia Pontica and the ‘Olbian Muse’. Penn Museum. https://www.penn.museum/sites/expedition/olbia-pontica-and-the-olbian-muse (accessed 2026-08-15).</x:v>
      </x:c>
      <x:c r="L28" s="16" t="str">
        <x:v>Source metadata reconciled from the submitted research and cached URL check.</x:v>
      </x:c>
    </x:row>
    <x:row r="29" ht="44" customHeight="1">
      <x:c r="A29" s="14" t="str">
        <x:v>src-persee-a9866e5e43d7</x:v>
      </x:c>
      <x:c r="B29" s="16" t="str">
        <x:v>https://www.persee.fr/doc/bch_0007-4217_1958_num_82_1_2355</x:v>
      </x:c>
      <x:c r="C29" s="14" t="str">
        <x:v>Épigramme de Cyrène en l'honneur du roi Magas</x:v>
      </x:c>
      <x:c r="D29" s="16" t="str">
        <x:v>Persée / Bulletin de Correspondance Hellénique</x:v>
      </x:c>
      <x:c r="E29" s="14" t="str">
        <x:v>peer_reviewed_publication</x:v>
      </x:c>
      <x:c r="F29" s="14" t="str">
        <x:v>fr</x:v>
      </x:c>
      <x:c r="G29" s="14"/>
      <x:c r="H29" s="17" t="n">
        <x:v>46249</x:v>
      </x:c>
      <x:c r="I29" s="21"/>
      <x:c r="J29" s="14" t="str">
        <x:v>unchecked</x:v>
      </x:c>
      <x:c r="K29" s="16" t="str">
        <x:v>Épigramme de Cyrène en l'honneur du roi Magas. Persée / Bulletin de Correspondance Hellénique. https://www.persee.fr/doc/bch_0007-4217_1958_num_82_1_2355 (accessed 2026-08-15).</x:v>
      </x:c>
      <x:c r="L29" s="16" t="str">
        <x:v>Peer-reviewed epigraphic study directly concerning King Magas of Cyrene.</x:v>
      </x:c>
    </x:row>
    <x:row r="30" ht="44" customHeight="1">
      <x:c r="A30" s="14" t="str">
        <x:v>src-pleiades-103565779</x:v>
      </x:c>
      <x:c r="B30" s="16" t="str">
        <x:v>https://pleiades.stoa.org/places/103565779</x:v>
      </x:c>
      <x:c r="C30" s="14" t="str">
        <x:v>Temple of Zeus at Cyrene</x:v>
      </x:c>
      <x:c r="D30" s="16" t="str">
        <x:v>Pleiades</x:v>
      </x:c>
      <x:c r="E30" s="14" t="str">
        <x:v>scholarly_gazetteer</x:v>
      </x:c>
      <x:c r="F30" s="14" t="str">
        <x:v>en</x:v>
      </x:c>
      <x:c r="G30" s="14" t="str">
        <x:v>CC BY 3.0</x:v>
      </x:c>
      <x:c r="H30" s="17" t="n">
        <x:v>46249</x:v>
      </x:c>
      <x:c r="I30" s="21" t="n">
        <x:v>200</x:v>
      </x:c>
      <x:c r="J30" s="14" t="str">
        <x:v>ok</x:v>
      </x:c>
      <x:c r="K30" s="16" t="str">
        <x:v>Temple of Zeus at Cyrene. Pleiades. https://pleiades.stoa.org/places/103565779 (accessed 2026-08-15).</x:v>
      </x:c>
      <x:c r="L30" s="16" t="str">
        <x:v>Pleiades record modified 2025-02-08T02:54:05Z</x:v>
      </x:c>
    </x:row>
    <x:row r="31" ht="44" customHeight="1">
      <x:c r="A31" s="14" t="str">
        <x:v>src-pleiades-148127</x:v>
      </x:c>
      <x:c r="B31" s="16" t="str">
        <x:v>https://pleiades.stoa.org/places/148127</x:v>
      </x:c>
      <x:c r="C31" s="14" t="str">
        <x:v>Massalia/Massilia</x:v>
      </x:c>
      <x:c r="D31" s="16" t="str">
        <x:v>Pleiades</x:v>
      </x:c>
      <x:c r="E31" s="14" t="str">
        <x:v>scholarly_gazetteer</x:v>
      </x:c>
      <x:c r="F31" s="14" t="str">
        <x:v>en</x:v>
      </x:c>
      <x:c r="G31" s="14" t="str">
        <x:v>CC BY 3.0</x:v>
      </x:c>
      <x:c r="H31" s="17" t="n">
        <x:v>46249</x:v>
      </x:c>
      <x:c r="I31" s="21" t="n">
        <x:v>200</x:v>
      </x:c>
      <x:c r="J31" s="14" t="str">
        <x:v>ok</x:v>
      </x:c>
      <x:c r="K31" s="16" t="str">
        <x:v>Massalia/Massilia. Pleiades. https://pleiades.stoa.org/places/148127 (accessed 2026-08-15).</x:v>
      </x:c>
      <x:c r="L31" s="16" t="str">
        <x:v>Pleiades record modified 2026-02-28T22:23:19Z</x:v>
      </x:c>
    </x:row>
    <x:row r="32" ht="44" customHeight="1">
      <x:c r="A32" s="14" t="str">
        <x:v>src-pleiades-182618516</x:v>
      </x:c>
      <x:c r="B32" s="16" t="str">
        <x:v>https://pleiades.stoa.org/places/182618516</x:v>
      </x:c>
      <x:c r="C32" s="14" t="str">
        <x:v>Serapeum of Alexandria</x:v>
      </x:c>
      <x:c r="D32" s="16" t="str">
        <x:v>Pleiades</x:v>
      </x:c>
      <x:c r="E32" s="14" t="str">
        <x:v>scholarly_gazetteer</x:v>
      </x:c>
      <x:c r="F32" s="14" t="str">
        <x:v>en</x:v>
      </x:c>
      <x:c r="G32" s="14" t="str">
        <x:v>CC BY 3.0</x:v>
      </x:c>
      <x:c r="H32" s="17" t="n">
        <x:v>46249</x:v>
      </x:c>
      <x:c r="I32" s="21" t="n">
        <x:v>200</x:v>
      </x:c>
      <x:c r="J32" s="14" t="str">
        <x:v>ok</x:v>
      </x:c>
      <x:c r="K32" s="16" t="str">
        <x:v>Serapeum of Alexandria. Pleiades. https://pleiades.stoa.org/places/182618516 (accessed 2026-08-15).</x:v>
      </x:c>
      <x:c r="L32" s="16" t="str">
        <x:v>Pleiades record modified 2026-05-24T20:43:22Z</x:v>
      </x:c>
    </x:row>
    <x:row r="33" ht="44" customHeight="1">
      <x:c r="A33" s="14" t="str">
        <x:v>src-pleiades-197433</x:v>
      </x:c>
      <x:c r="B33" s="16" t="str">
        <x:v>https://pleiades.stoa.org/places/197433</x:v>
      </x:c>
      <x:c r="C33" s="14" t="str">
        <x:v>Pharus</x:v>
      </x:c>
      <x:c r="D33" s="16" t="str">
        <x:v>Pleiades</x:v>
      </x:c>
      <x:c r="E33" s="14" t="str">
        <x:v>scholarly_gazetteer</x:v>
      </x:c>
      <x:c r="F33" s="14" t="str">
        <x:v>en</x:v>
      </x:c>
      <x:c r="G33" s="14" t="str">
        <x:v>CC BY 3.0</x:v>
      </x:c>
      <x:c r="H33" s="17" t="n">
        <x:v>46249</x:v>
      </x:c>
      <x:c r="I33" s="21" t="n">
        <x:v>200</x:v>
      </x:c>
      <x:c r="J33" s="14" t="str">
        <x:v>ok</x:v>
      </x:c>
      <x:c r="K33" s="16" t="str">
        <x:v>Pharus. Pleiades. https://pleiades.stoa.org/places/197433 (accessed 2026-08-15).</x:v>
      </x:c>
      <x:c r="L33" s="16" t="str">
        <x:v>Pleiades record modified 2020-11-15T15:52:07Z</x:v>
      </x:c>
    </x:row>
    <x:row r="34" ht="44" customHeight="1">
      <x:c r="A34" s="14" t="str">
        <x:v>src-pleiades-197555</x:v>
      </x:c>
      <x:c r="B34" s="16" t="str">
        <x:v>https://pleiades.stoa.org/places/197555</x:v>
      </x:c>
      <x:c r="C34" s="14" t="str">
        <x:v>Tragurium</x:v>
      </x:c>
      <x:c r="D34" s="16" t="str">
        <x:v>Pleiades</x:v>
      </x:c>
      <x:c r="E34" s="14" t="str">
        <x:v>scholarly_gazetteer</x:v>
      </x:c>
      <x:c r="F34" s="14" t="str">
        <x:v>en</x:v>
      </x:c>
      <x:c r="G34" s="14" t="str">
        <x:v>CC BY 3.0</x:v>
      </x:c>
      <x:c r="H34" s="17" t="n">
        <x:v>46249</x:v>
      </x:c>
      <x:c r="I34" s="21" t="n">
        <x:v>200</x:v>
      </x:c>
      <x:c r="J34" s="14" t="str">
        <x:v>ok</x:v>
      </x:c>
      <x:c r="K34" s="16" t="str">
        <x:v>Tragurium. Pleiades. https://pleiades.stoa.org/places/197555 (accessed 2026-08-15).</x:v>
      </x:c>
      <x:c r="L34" s="16" t="str">
        <x:v>Pleiades record modified 2026-05-30T20:21:58Z</x:v>
      </x:c>
    </x:row>
    <x:row r="35" ht="44" customHeight="1">
      <x:c r="A35" s="14" t="str">
        <x:v>src-pleiades-216706</x:v>
      </x:c>
      <x:c r="B35" s="16" t="str">
        <x:v>https://pleiades.stoa.org/places/216706</x:v>
      </x:c>
      <x:c r="C35" s="14" t="str">
        <x:v>Apollonia Pontica/Sozopolis</x:v>
      </x:c>
      <x:c r="D35" s="16" t="str">
        <x:v>Pleiades</x:v>
      </x:c>
      <x:c r="E35" s="14" t="str">
        <x:v>scholarly_gazetteer</x:v>
      </x:c>
      <x:c r="F35" s="14" t="str">
        <x:v>en</x:v>
      </x:c>
      <x:c r="G35" s="14" t="str">
        <x:v>CC BY 3.0</x:v>
      </x:c>
      <x:c r="H35" s="17" t="n">
        <x:v>46249</x:v>
      </x:c>
      <x:c r="I35" s="21" t="n">
        <x:v>200</x:v>
      </x:c>
      <x:c r="J35" s="14" t="str">
        <x:v>ok</x:v>
      </x:c>
      <x:c r="K35" s="16" t="str">
        <x:v>Apollonia Pontica/Sozopolis. Pleiades. https://pleiades.stoa.org/places/216706 (accessed 2026-08-15).</x:v>
      </x:c>
      <x:c r="L35" s="16" t="str">
        <x:v>Pleiades record modified 2023-09-10T02:55:13Z</x:v>
      </x:c>
    </x:row>
    <x:row r="36" ht="44" customHeight="1">
      <x:c r="A36" s="14" t="str">
        <x:v>src-pleiades-216744</x:v>
      </x:c>
      <x:c r="B36" s="16" t="str">
        <x:v>https://pleiades.stoa.org/places/216744</x:v>
      </x:c>
      <x:c r="C36" s="14" t="str">
        <x:v>Callatis</x:v>
      </x:c>
      <x:c r="D36" s="16" t="str">
        <x:v>Pleiades</x:v>
      </x:c>
      <x:c r="E36" s="14" t="str">
        <x:v>scholarly_gazetteer</x:v>
      </x:c>
      <x:c r="F36" s="14" t="str">
        <x:v>en</x:v>
      </x:c>
      <x:c r="G36" s="14" t="str">
        <x:v>CC BY 3.0</x:v>
      </x:c>
      <x:c r="H36" s="17" t="n">
        <x:v>46249</x:v>
      </x:c>
      <x:c r="I36" s="21" t="n">
        <x:v>200</x:v>
      </x:c>
      <x:c r="J36" s="14" t="str">
        <x:v>ok</x:v>
      </x:c>
      <x:c r="K36" s="16" t="str">
        <x:v>Callatis. Pleiades. https://pleiades.stoa.org/places/216744 (accessed 2026-08-15).</x:v>
      </x:c>
      <x:c r="L36" s="16" t="str">
        <x:v>Pleiades record modified 2025-03-08T17:27:24Z</x:v>
      </x:c>
    </x:row>
    <x:row r="37" ht="44" customHeight="1">
      <x:c r="A37" s="14" t="str">
        <x:v>src-pleiades-216839</x:v>
      </x:c>
      <x:c r="B37" s="16" t="str">
        <x:v>https://pleiades.stoa.org/places/216839</x:v>
      </x:c>
      <x:c r="C37" s="14" t="str">
        <x:v>Histria</x:v>
      </x:c>
      <x:c r="D37" s="16" t="str">
        <x:v>Pleiades</x:v>
      </x:c>
      <x:c r="E37" s="14" t="str">
        <x:v>scholarly_gazetteer</x:v>
      </x:c>
      <x:c r="F37" s="14" t="str">
        <x:v>en</x:v>
      </x:c>
      <x:c r="G37" s="14" t="str">
        <x:v>CC BY 3.0</x:v>
      </x:c>
      <x:c r="H37" s="17" t="n">
        <x:v>46249</x:v>
      </x:c>
      <x:c r="I37" s="21" t="n">
        <x:v>200</x:v>
      </x:c>
      <x:c r="J37" s="14" t="str">
        <x:v>ok</x:v>
      </x:c>
      <x:c r="K37" s="16" t="str">
        <x:v>Histria. Pleiades. https://pleiades.stoa.org/places/216839 (accessed 2026-08-15).</x:v>
      </x:c>
      <x:c r="L37" s="16" t="str">
        <x:v>Pleiades record modified 2024-07-09T23:31:18Z</x:v>
      </x:c>
    </x:row>
    <x:row r="38" ht="44" customHeight="1">
      <x:c r="A38" s="14" t="str">
        <x:v>src-pleiades-216882</x:v>
      </x:c>
      <x:c r="B38" s="16" t="str">
        <x:v>https://pleiades.stoa.org/places/216882</x:v>
      </x:c>
      <x:c r="C38" s="14" t="str">
        <x:v>Mesembria</x:v>
      </x:c>
      <x:c r="D38" s="16" t="str">
        <x:v>Pleiades</x:v>
      </x:c>
      <x:c r="E38" s="14" t="str">
        <x:v>scholarly_gazetteer</x:v>
      </x:c>
      <x:c r="F38" s="14" t="str">
        <x:v>en</x:v>
      </x:c>
      <x:c r="G38" s="14" t="str">
        <x:v>CC BY 3.0</x:v>
      </x:c>
      <x:c r="H38" s="17" t="n">
        <x:v>46249</x:v>
      </x:c>
      <x:c r="I38" s="21" t="n">
        <x:v>200</x:v>
      </x:c>
      <x:c r="J38" s="14" t="str">
        <x:v>ok</x:v>
      </x:c>
      <x:c r="K38" s="16" t="str">
        <x:v>Mesembria. Pleiades. https://pleiades.stoa.org/places/216882 (accessed 2026-08-15).</x:v>
      </x:c>
      <x:c r="L38" s="16" t="str">
        <x:v>Pleiades record modified 2025-02-01T15:02:23Z</x:v>
      </x:c>
    </x:row>
    <x:row r="39" ht="44" customHeight="1">
      <x:c r="A39" s="14" t="str">
        <x:v>src-pleiades-216904</x:v>
      </x:c>
      <x:c r="B39" s="16" t="str">
        <x:v>https://pleiades.stoa.org/places/216904</x:v>
      </x:c>
      <x:c r="C39" s="14" t="str">
        <x:v>Odessus</x:v>
      </x:c>
      <x:c r="D39" s="16" t="str">
        <x:v>Pleiades</x:v>
      </x:c>
      <x:c r="E39" s="14" t="str">
        <x:v>scholarly_gazetteer</x:v>
      </x:c>
      <x:c r="F39" s="14" t="str">
        <x:v>en</x:v>
      </x:c>
      <x:c r="G39" s="14" t="str">
        <x:v>CC BY 3.0</x:v>
      </x:c>
      <x:c r="H39" s="17" t="n">
        <x:v>46249</x:v>
      </x:c>
      <x:c r="I39" s="21" t="n">
        <x:v>200</x:v>
      </x:c>
      <x:c r="J39" s="14" t="str">
        <x:v>ok</x:v>
      </x:c>
      <x:c r="K39" s="16" t="str">
        <x:v>Odessus. Pleiades. https://pleiades.stoa.org/places/216904 (accessed 2026-08-15).</x:v>
      </x:c>
      <x:c r="L39" s="16" t="str">
        <x:v>Pleiades record modified 2025-09-25T10:49:55Z</x:v>
      </x:c>
    </x:row>
    <x:row r="40" ht="44" customHeight="1">
      <x:c r="A40" s="14" t="str">
        <x:v>src-pleiades-217016</x:v>
      </x:c>
      <x:c r="B40" s="16" t="str">
        <x:v>https://pleiades.stoa.org/places/217016</x:v>
      </x:c>
      <x:c r="C40" s="14" t="str">
        <x:v>Tomis</x:v>
      </x:c>
      <x:c r="D40" s="16" t="str">
        <x:v>Pleiades</x:v>
      </x:c>
      <x:c r="E40" s="14" t="str">
        <x:v>scholarly_gazetteer</x:v>
      </x:c>
      <x:c r="F40" s="14" t="str">
        <x:v>en</x:v>
      </x:c>
      <x:c r="G40" s="14" t="str">
        <x:v>CC BY 3.0</x:v>
      </x:c>
      <x:c r="H40" s="17" t="n">
        <x:v>46249</x:v>
      </x:c>
      <x:c r="I40" s="21" t="n">
        <x:v>200</x:v>
      </x:c>
      <x:c r="J40" s="14" t="str">
        <x:v>ok</x:v>
      </x:c>
      <x:c r="K40" s="16" t="str">
        <x:v>Tomis. Pleiades. https://pleiades.stoa.org/places/217016 (accessed 2026-08-15).</x:v>
      </x:c>
      <x:c r="L40" s="16" t="str">
        <x:v>Pleiades record modified 2022-04-01T15:47:49Z</x:v>
      </x:c>
    </x:row>
    <x:row r="41" ht="44" customHeight="1">
      <x:c r="A41" s="14" t="str">
        <x:v>src-pleiades-226546</x:v>
      </x:c>
      <x:c r="B41" s="16" t="str">
        <x:v>https://pleiades.stoa.org/places/226546</x:v>
      </x:c>
      <x:c r="C41" s="14" t="str">
        <x:v>Borysthenes/Olbia</x:v>
      </x:c>
      <x:c r="D41" s="16" t="str">
        <x:v>Pleiades</x:v>
      </x:c>
      <x:c r="E41" s="14" t="str">
        <x:v>scholarly_gazetteer</x:v>
      </x:c>
      <x:c r="F41" s="14" t="str">
        <x:v>en</x:v>
      </x:c>
      <x:c r="G41" s="14" t="str">
        <x:v>CC BY 3.0</x:v>
      </x:c>
      <x:c r="H41" s="17" t="n">
        <x:v>46249</x:v>
      </x:c>
      <x:c r="I41" s="21" t="n">
        <x:v>200</x:v>
      </x:c>
      <x:c r="J41" s="14" t="str">
        <x:v>ok</x:v>
      </x:c>
      <x:c r="K41" s="16" t="str">
        <x:v>Borysthenes/Olbia. Pleiades. https://pleiades.stoa.org/places/226546 (accessed 2026-08-15).</x:v>
      </x:c>
      <x:c r="L41" s="16" t="str">
        <x:v>Pleiades record modified 2024-02-29T04:51:25Z</x:v>
      </x:c>
    </x:row>
    <x:row r="42" ht="44" customHeight="1">
      <x:c r="A42" s="14" t="str">
        <x:v>src-pleiades-226564</x:v>
      </x:c>
      <x:c r="B42" s="16" t="str">
        <x:v>https://pleiades.stoa.org/places/226564</x:v>
      </x:c>
      <x:c r="C42" s="14" t="str">
        <x:v>Chersonesos</x:v>
      </x:c>
      <x:c r="D42" s="16" t="str">
        <x:v>Pleiades</x:v>
      </x:c>
      <x:c r="E42" s="14" t="str">
        <x:v>scholarly_gazetteer</x:v>
      </x:c>
      <x:c r="F42" s="14" t="str">
        <x:v>en</x:v>
      </x:c>
      <x:c r="G42" s="14" t="str">
        <x:v>CC BY 3.0</x:v>
      </x:c>
      <x:c r="H42" s="17" t="n">
        <x:v>46249</x:v>
      </x:c>
      <x:c r="I42" s="21" t="n">
        <x:v>200</x:v>
      </x:c>
      <x:c r="J42" s="14" t="str">
        <x:v>ok</x:v>
      </x:c>
      <x:c r="K42" s="16" t="str">
        <x:v>Chersonesos. Pleiades. https://pleiades.stoa.org/places/226564 (accessed 2026-08-15).</x:v>
      </x:c>
      <x:c r="L42" s="16" t="str">
        <x:v>Pleiades record modified 2023-09-17T23:37:46Z</x:v>
      </x:c>
    </x:row>
    <x:row r="43" ht="44" customHeight="1">
      <x:c r="A43" s="14" t="str">
        <x:v>src-pleiades-226800</x:v>
      </x:c>
      <x:c r="B43" s="16" t="str">
        <x:v>https://pleiades.stoa.org/places/226800</x:v>
      </x:c>
      <x:c r="C43" s="14" t="str">
        <x:v>Tyras/Ophioussa</x:v>
      </x:c>
      <x:c r="D43" s="16" t="str">
        <x:v>Pleiades</x:v>
      </x:c>
      <x:c r="E43" s="14" t="str">
        <x:v>scholarly_gazetteer</x:v>
      </x:c>
      <x:c r="F43" s="14" t="str">
        <x:v>en</x:v>
      </x:c>
      <x:c r="G43" s="14" t="str">
        <x:v>CC BY 3.0</x:v>
      </x:c>
      <x:c r="H43" s="17" t="n">
        <x:v>46249</x:v>
      </x:c>
      <x:c r="I43" s="21" t="n">
        <x:v>200</x:v>
      </x:c>
      <x:c r="J43" s="14" t="str">
        <x:v>ok</x:v>
      </x:c>
      <x:c r="K43" s="16" t="str">
        <x:v>Tyras/Ophioussa. Pleiades. https://pleiades.stoa.org/places/226800 (accessed 2026-08-15).</x:v>
      </x:c>
      <x:c r="L43" s="16" t="str">
        <x:v>Pleiades record modified 2022-02-26T03:31:47Z</x:v>
      </x:c>
    </x:row>
    <x:row r="44" ht="44" customHeight="1">
      <x:c r="A44" s="14" t="str">
        <x:v>src-pleiades-232079424</x:v>
      </x:c>
      <x:c r="B44" s="16" t="str">
        <x:v>https://pleiades.stoa.org/places/232079424</x:v>
      </x:c>
      <x:c r="C44" s="14" t="str">
        <x:v>Ploutonion at Hierapolis</x:v>
      </x:c>
      <x:c r="D44" s="16" t="str">
        <x:v>Pleiades</x:v>
      </x:c>
      <x:c r="E44" s="14" t="str">
        <x:v>scholarly_gazetteer</x:v>
      </x:c>
      <x:c r="F44" s="14" t="str">
        <x:v>en</x:v>
      </x:c>
      <x:c r="G44" s="14" t="str">
        <x:v>CC BY 3.0</x:v>
      </x:c>
      <x:c r="H44" s="17" t="n">
        <x:v>46249</x:v>
      </x:c>
      <x:c r="I44" s="21" t="n">
        <x:v>200</x:v>
      </x:c>
      <x:c r="J44" s="14" t="str">
        <x:v>ok</x:v>
      </x:c>
      <x:c r="K44" s="16" t="str">
        <x:v>Ploutonion at Hierapolis. Pleiades. https://pleiades.stoa.org/places/232079424 (accessed 2026-08-15).</x:v>
      </x:c>
      <x:c r="L44" s="16" t="str">
        <x:v>Pleiades record modified 2018-05-14T23:13:05Z</x:v>
      </x:c>
    </x:row>
    <x:row r="45" ht="44" customHeight="1">
      <x:c r="A45" s="14" t="str">
        <x:v>src-pleiades-246382</x:v>
      </x:c>
      <x:c r="B45" s="16" t="str">
        <x:v>https://pleiades.stoa.org/places/246382</x:v>
      </x:c>
      <x:c r="C45" s="14" t="str">
        <x:v>Emporiae</x:v>
      </x:c>
      <x:c r="D45" s="16" t="str">
        <x:v>Pleiades</x:v>
      </x:c>
      <x:c r="E45" s="14" t="str">
        <x:v>scholarly_gazetteer</x:v>
      </x:c>
      <x:c r="F45" s="14" t="str">
        <x:v>en</x:v>
      </x:c>
      <x:c r="G45" s="14" t="str">
        <x:v>CC BY 3.0</x:v>
      </x:c>
      <x:c r="H45" s="17" t="n">
        <x:v>46249</x:v>
      </x:c>
      <x:c r="I45" s="21" t="n">
        <x:v>200</x:v>
      </x:c>
      <x:c r="J45" s="14" t="str">
        <x:v>ok</x:v>
      </x:c>
      <x:c r="K45" s="16" t="str">
        <x:v>Emporiae. Pleiades. https://pleiades.stoa.org/places/246382 (accessed 2026-08-15).</x:v>
      </x:c>
      <x:c r="L45" s="16" t="str">
        <x:v>Pleiades record modified 2022-01-10T20:12:23Z</x:v>
      </x:c>
    </x:row>
    <x:row r="46" ht="44" customHeight="1">
      <x:c r="A46" s="14" t="str">
        <x:v>src-pleiades-298577312</x:v>
      </x:c>
      <x:c r="B46" s="16" t="str">
        <x:v>https://pleiades.stoa.org/places/298577312</x:v>
      </x:c>
      <x:c r="C46" s="14" t="str">
        <x:v>The Temple of Athena Polias at Priene</x:v>
      </x:c>
      <x:c r="D46" s="16" t="str">
        <x:v>Pleiades</x:v>
      </x:c>
      <x:c r="E46" s="14" t="str">
        <x:v>scholarly_gazetteer</x:v>
      </x:c>
      <x:c r="F46" s="14" t="str">
        <x:v>en</x:v>
      </x:c>
      <x:c r="G46" s="14" t="str">
        <x:v>CC BY 3.0</x:v>
      </x:c>
      <x:c r="H46" s="17" t="n">
        <x:v>46249</x:v>
      </x:c>
      <x:c r="I46" s="21" t="n">
        <x:v>200</x:v>
      </x:c>
      <x:c r="J46" s="14" t="str">
        <x:v>ok</x:v>
      </x:c>
      <x:c r="K46" s="16" t="str">
        <x:v>The Temple of Athena Polias at Priene. Pleiades. https://pleiades.stoa.org/places/298577312 (accessed 2026-08-15).</x:v>
      </x:c>
      <x:c r="L46" s="16" t="str">
        <x:v>Pleiades record modified 2025-02-23T19:18:36Z</x:v>
      </x:c>
    </x:row>
    <x:row r="47" ht="44" customHeight="1">
      <x:c r="A47" s="14" t="str">
        <x:v>src-pleiades-372843530</x:v>
      </x:c>
      <x:c r="B47" s="16" t="str">
        <x:v>https://pleiades.stoa.org/places/372843530</x:v>
      </x:c>
      <x:c r="C47" s="14" t="str">
        <x:v>Temple of Athena Alea at Tegea</x:v>
      </x:c>
      <x:c r="D47" s="16" t="str">
        <x:v>Pleiades</x:v>
      </x:c>
      <x:c r="E47" s="14" t="str">
        <x:v>scholarly_gazetteer</x:v>
      </x:c>
      <x:c r="F47" s="14" t="str">
        <x:v>en</x:v>
      </x:c>
      <x:c r="G47" s="14" t="str">
        <x:v>CC BY 3.0</x:v>
      </x:c>
      <x:c r="H47" s="17" t="n">
        <x:v>46249</x:v>
      </x:c>
      <x:c r="I47" s="21" t="n">
        <x:v>200</x:v>
      </x:c>
      <x:c r="J47" s="14" t="str">
        <x:v>ok</x:v>
      </x:c>
      <x:c r="K47" s="16" t="str">
        <x:v>Temple of Athena Alea at Tegea. Pleiades. https://pleiades.stoa.org/places/372843530 (accessed 2026-08-15).</x:v>
      </x:c>
      <x:c r="L47" s="16" t="str">
        <x:v>Pleiades record modified 2026-02-16T02:01:22Z</x:v>
      </x:c>
    </x:row>
    <x:row r="48" ht="44" customHeight="1">
      <x:c r="A48" s="14" t="str">
        <x:v>src-pleiades-373732</x:v>
      </x:c>
      <x:c r="B48" s="16" t="str">
        <x:v>https://pleiades.stoa.org/places/373732</x:v>
      </x:c>
      <x:c r="C48" s="14" t="str">
        <x:v>Apollonia/Sozousa</x:v>
      </x:c>
      <x:c r="D48" s="16" t="str">
        <x:v>Pleiades</x:v>
      </x:c>
      <x:c r="E48" s="14" t="str">
        <x:v>scholarly_gazetteer</x:v>
      </x:c>
      <x:c r="F48" s="14" t="str">
        <x:v>en</x:v>
      </x:c>
      <x:c r="G48" s="14" t="str">
        <x:v>CC BY 3.0</x:v>
      </x:c>
      <x:c r="H48" s="17" t="n">
        <x:v>46249</x:v>
      </x:c>
      <x:c r="I48" s="21" t="n">
        <x:v>200</x:v>
      </x:c>
      <x:c r="J48" s="14" t="str">
        <x:v>ok</x:v>
      </x:c>
      <x:c r="K48" s="16" t="str">
        <x:v>Apollonia/Sozousa. Pleiades. https://pleiades.stoa.org/places/373732 (accessed 2026-08-15).</x:v>
      </x:c>
      <x:c r="L48" s="16" t="str">
        <x:v>Pleiades record modified 2023-09-17T00:57:04Z</x:v>
      </x:c>
    </x:row>
    <x:row r="49" ht="44" customHeight="1">
      <x:c r="A49" s="14" t="str">
        <x:v>src-pleiades-373736</x:v>
      </x:c>
      <x:c r="B49" s="16" t="str">
        <x:v>https://pleiades.stoa.org/places/373736</x:v>
      </x:c>
      <x:c r="C49" s="14" t="str">
        <x:v>Arsinoe/Taucheira</x:v>
      </x:c>
      <x:c r="D49" s="16" t="str">
        <x:v>Pleiades</x:v>
      </x:c>
      <x:c r="E49" s="14" t="str">
        <x:v>scholarly_gazetteer</x:v>
      </x:c>
      <x:c r="F49" s="14" t="str">
        <x:v>en</x:v>
      </x:c>
      <x:c r="G49" s="14" t="str">
        <x:v>CC BY 3.0</x:v>
      </x:c>
      <x:c r="H49" s="17" t="n">
        <x:v>46249</x:v>
      </x:c>
      <x:c r="I49" s="21" t="n">
        <x:v>200</x:v>
      </x:c>
      <x:c r="J49" s="14" t="str">
        <x:v>ok</x:v>
      </x:c>
      <x:c r="K49" s="16" t="str">
        <x:v>Arsinoe/Taucheira. Pleiades. https://pleiades.stoa.org/places/373736 (accessed 2026-08-15).</x:v>
      </x:c>
      <x:c r="L49" s="16" t="str">
        <x:v>Pleiades record modified 2024-05-06T00:42:28Z</x:v>
      </x:c>
    </x:row>
    <x:row r="50" ht="44" customHeight="1">
      <x:c r="A50" s="14" t="str">
        <x:v>src-pleiades-373750</x:v>
      </x:c>
      <x:c r="B50" s="16" t="str">
        <x:v>https://pleiades.stoa.org/places/373750</x:v>
      </x:c>
      <x:c r="C50" s="14" t="str">
        <x:v>Barke</x:v>
      </x:c>
      <x:c r="D50" s="16" t="str">
        <x:v>Pleiades</x:v>
      </x:c>
      <x:c r="E50" s="14" t="str">
        <x:v>scholarly_gazetteer</x:v>
      </x:c>
      <x:c r="F50" s="14" t="str">
        <x:v>en</x:v>
      </x:c>
      <x:c r="G50" s="14" t="str">
        <x:v>CC BY 3.0</x:v>
      </x:c>
      <x:c r="H50" s="17" t="n">
        <x:v>46249</x:v>
      </x:c>
      <x:c r="I50" s="21" t="n">
        <x:v>200</x:v>
      </x:c>
      <x:c r="J50" s="14" t="str">
        <x:v>ok</x:v>
      </x:c>
      <x:c r="K50" s="16" t="str">
        <x:v>Barke. Pleiades. https://pleiades.stoa.org/places/373750 (accessed 2026-08-15).</x:v>
      </x:c>
      <x:c r="L50" s="16" t="str">
        <x:v>Pleiades record modified 2026-02-27T17:11:13Z</x:v>
      </x:c>
    </x:row>
    <x:row r="51" ht="44" customHeight="1">
      <x:c r="A51" s="14" t="str">
        <x:v>src-pleiades-373778</x:v>
      </x:c>
      <x:c r="B51" s="16" t="str">
        <x:v>https://pleiades.stoa.org/places/373778</x:v>
      </x:c>
      <x:c r="C51" s="14" t="str">
        <x:v>Cyrene</x:v>
      </x:c>
      <x:c r="D51" s="16" t="str">
        <x:v>Pleiades</x:v>
      </x:c>
      <x:c r="E51" s="14" t="str">
        <x:v>scholarly_gazetteer</x:v>
      </x:c>
      <x:c r="F51" s="14" t="str">
        <x:v>en</x:v>
      </x:c>
      <x:c r="G51" s="14" t="str">
        <x:v>CC BY 3.0</x:v>
      </x:c>
      <x:c r="H51" s="17" t="n">
        <x:v>46249</x:v>
      </x:c>
      <x:c r="I51" s="21" t="n">
        <x:v>200</x:v>
      </x:c>
      <x:c r="J51" s="14" t="str">
        <x:v>ok</x:v>
      </x:c>
      <x:c r="K51" s="16" t="str">
        <x:v>Cyrene. Pleiades. https://pleiades.stoa.org/places/373778 (accessed 2026-08-15).</x:v>
      </x:c>
      <x:c r="L51" s="16" t="str">
        <x:v>Pleiades record modified 2026-06-25T01:30:59Z</x:v>
      </x:c>
    </x:row>
    <x:row r="52" ht="44" customHeight="1">
      <x:c r="A52" s="14" t="str">
        <x:v>src-pleiades-373786</x:v>
      </x:c>
      <x:c r="B52" s="16" t="str">
        <x:v>https://pleiades.stoa.org/places/373786</x:v>
      </x:c>
      <x:c r="C52" s="14" t="str">
        <x:v>Euesperides</x:v>
      </x:c>
      <x:c r="D52" s="16" t="str">
        <x:v>Pleiades</x:v>
      </x:c>
      <x:c r="E52" s="14" t="str">
        <x:v>scholarly_gazetteer</x:v>
      </x:c>
      <x:c r="F52" s="14" t="str">
        <x:v>en</x:v>
      </x:c>
      <x:c r="G52" s="14" t="str">
        <x:v>CC BY 3.0</x:v>
      </x:c>
      <x:c r="H52" s="17" t="n">
        <x:v>46249</x:v>
      </x:c>
      <x:c r="I52" s="21" t="n">
        <x:v>200</x:v>
      </x:c>
      <x:c r="J52" s="14" t="str">
        <x:v>ok</x:v>
      </x:c>
      <x:c r="K52" s="16" t="str">
        <x:v>Euesperides. Pleiades. https://pleiades.stoa.org/places/373786 (accessed 2026-08-15).</x:v>
      </x:c>
      <x:c r="L52" s="16" t="str">
        <x:v>Pleiades record modified 2024-05-13T14:00:50Z</x:v>
      </x:c>
    </x:row>
    <x:row r="53" ht="44" customHeight="1">
      <x:c r="A53" s="14" t="str">
        <x:v>src-pleiades-373879</x:v>
      </x:c>
      <x:c r="B53" s="16" t="str">
        <x:v>https://pleiades.stoa.org/places/373879</x:v>
      </x:c>
      <x:c r="C53" s="14" t="str">
        <x:v>Ptolemais/Barkes Limen</x:v>
      </x:c>
      <x:c r="D53" s="16" t="str">
        <x:v>Pleiades</x:v>
      </x:c>
      <x:c r="E53" s="14" t="str">
        <x:v>scholarly_gazetteer</x:v>
      </x:c>
      <x:c r="F53" s="14" t="str">
        <x:v>en</x:v>
      </x:c>
      <x:c r="G53" s="14" t="str">
        <x:v>CC BY 3.0</x:v>
      </x:c>
      <x:c r="H53" s="17" t="n">
        <x:v>46249</x:v>
      </x:c>
      <x:c r="I53" s="21" t="n">
        <x:v>200</x:v>
      </x:c>
      <x:c r="J53" s="14" t="str">
        <x:v>ok</x:v>
      </x:c>
      <x:c r="K53" s="16" t="str">
        <x:v>Ptolemais/Barkes Limen. Pleiades. https://pleiades.stoa.org/places/373879 (accessed 2026-08-15).</x:v>
      </x:c>
      <x:c r="L53" s="16" t="str">
        <x:v>Pleiades record modified 2024-10-21T02:04:10Z</x:v>
      </x:c>
    </x:row>
    <x:row r="54" ht="44" customHeight="1">
      <x:c r="A54" s="14" t="str">
        <x:v>src-pleiades-376215160</x:v>
      </x:c>
      <x:c r="B54" s="16" t="str">
        <x:v>https://pleiades.stoa.org/places/376215160</x:v>
      </x:c>
      <x:c r="C54" s="14" t="str">
        <x:v>Hekateion</x:v>
      </x:c>
      <x:c r="D54" s="16" t="str">
        <x:v>Pleiades</x:v>
      </x:c>
      <x:c r="E54" s="14" t="str">
        <x:v>scholarly_gazetteer</x:v>
      </x:c>
      <x:c r="F54" s="14" t="str">
        <x:v>en</x:v>
      </x:c>
      <x:c r="G54" s="14" t="str">
        <x:v>CC BY 3.0</x:v>
      </x:c>
      <x:c r="H54" s="17" t="n">
        <x:v>46249</x:v>
      </x:c>
      <x:c r="I54" s="21" t="n">
        <x:v>200</x:v>
      </x:c>
      <x:c r="J54" s="14" t="str">
        <x:v>ok</x:v>
      </x:c>
      <x:c r="K54" s="16" t="str">
        <x:v>Hekateion. Pleiades. https://pleiades.stoa.org/places/376215160 (accessed 2026-08-15).</x:v>
      </x:c>
      <x:c r="L54" s="16" t="str">
        <x:v>Pleiades record modified 2020-11-24T21:11:43Z</x:v>
      </x:c>
    </x:row>
    <x:row r="55" ht="44" customHeight="1">
      <x:c r="A55" s="14" t="str">
        <x:v>src-pleiades-413014</x:v>
      </x:c>
      <x:c r="B55" s="16" t="str">
        <x:v>https://pleiades.stoa.org/places/413014</x:v>
      </x:c>
      <x:c r="C55" s="14" t="str">
        <x:v>Ancon(a)</x:v>
      </x:c>
      <x:c r="D55" s="16" t="str">
        <x:v>Pleiades</x:v>
      </x:c>
      <x:c r="E55" s="14" t="str">
        <x:v>scholarly_gazetteer</x:v>
      </x:c>
      <x:c r="F55" s="14" t="str">
        <x:v>en</x:v>
      </x:c>
      <x:c r="G55" s="14" t="str">
        <x:v>CC BY 3.0</x:v>
      </x:c>
      <x:c r="H55" s="17" t="n">
        <x:v>46249</x:v>
      </x:c>
      <x:c r="I55" s="21" t="n">
        <x:v>200</x:v>
      </x:c>
      <x:c r="J55" s="14" t="str">
        <x:v>ok</x:v>
      </x:c>
      <x:c r="K55" s="16" t="str">
        <x:v>Ancon(a). Pleiades. https://pleiades.stoa.org/places/413014 (accessed 2026-08-15).</x:v>
      </x:c>
      <x:c r="L55" s="16" t="str">
        <x:v>Pleiades record modified 2026-07-01T13:03:39Z</x:v>
      </x:c>
    </x:row>
    <x:row r="56" ht="44" customHeight="1">
      <x:c r="A56" s="14" t="str">
        <x:v>src-pleiades-414067217</x:v>
      </x:c>
      <x:c r="B56" s="16" t="str">
        <x:v>https://pleiades.stoa.org/places/414067217</x:v>
      </x:c>
      <x:c r="C56" s="14" t="str">
        <x:v>Temple of Athena Lindia</x:v>
      </x:c>
      <x:c r="D56" s="16" t="str">
        <x:v>Pleiades</x:v>
      </x:c>
      <x:c r="E56" s="14" t="str">
        <x:v>scholarly_gazetteer</x:v>
      </x:c>
      <x:c r="F56" s="14" t="str">
        <x:v>en</x:v>
      </x:c>
      <x:c r="G56" s="14" t="str">
        <x:v>CC BY 3.0</x:v>
      </x:c>
      <x:c r="H56" s="17" t="n">
        <x:v>46249</x:v>
      </x:c>
      <x:c r="I56" s="21" t="n">
        <x:v>200</x:v>
      </x:c>
      <x:c r="J56" s="14" t="str">
        <x:v>ok</x:v>
      </x:c>
      <x:c r="K56" s="16" t="str">
        <x:v>Temple of Athena Lindia. Pleiades. https://pleiades.stoa.org/places/414067217 (accessed 2026-08-15).</x:v>
      </x:c>
      <x:c r="L56" s="16" t="str">
        <x:v>Pleiades record modified 2026-03-09T20:03:45Z</x:v>
      </x:c>
    </x:row>
    <x:row r="57" ht="44" customHeight="1">
      <x:c r="A57" s="14" t="str">
        <x:v>src-pleiades-418729933</x:v>
      </x:c>
      <x:c r="B57" s="16" t="str">
        <x:v>https://pleiades.stoa.org/places/418729933</x:v>
      </x:c>
      <x:c r="C57" s="14" t="str">
        <x:v>Temple of Apollo at Syracuse</x:v>
      </x:c>
      <x:c r="D57" s="16" t="str">
        <x:v>Pleiades</x:v>
      </x:c>
      <x:c r="E57" s="14" t="str">
        <x:v>scholarly_gazetteer</x:v>
      </x:c>
      <x:c r="F57" s="14" t="str">
        <x:v>en</x:v>
      </x:c>
      <x:c r="G57" s="14" t="str">
        <x:v>CC BY 3.0</x:v>
      </x:c>
      <x:c r="H57" s="17" t="n">
        <x:v>46249</x:v>
      </x:c>
      <x:c r="I57" s="21" t="n">
        <x:v>200</x:v>
      </x:c>
      <x:c r="J57" s="14" t="str">
        <x:v>ok</x:v>
      </x:c>
      <x:c r="K57" s="16" t="str">
        <x:v>Temple of Apollo at Syracuse. Pleiades. https://pleiades.stoa.org/places/418729933 (accessed 2026-08-15).</x:v>
      </x:c>
      <x:c r="L57" s="16" t="str">
        <x:v>Pleiades record modified 2020-10-25T04:26:23Z</x:v>
      </x:c>
    </x:row>
    <x:row r="58" ht="44" customHeight="1">
      <x:c r="A58" s="14" t="str">
        <x:v>src-pleiades-432808</x:v>
      </x:c>
      <x:c r="B58" s="16" t="str">
        <x:v>https://pleiades.stoa.org/places/432808</x:v>
      </x:c>
      <x:c r="C58" s="14" t="str">
        <x:v>Cumae/Kyme (Campanian)</x:v>
      </x:c>
      <x:c r="D58" s="16" t="str">
        <x:v>Pleiades</x:v>
      </x:c>
      <x:c r="E58" s="14" t="str">
        <x:v>scholarly_gazetteer</x:v>
      </x:c>
      <x:c r="F58" s="14" t="str">
        <x:v>en</x:v>
      </x:c>
      <x:c r="G58" s="14" t="str">
        <x:v>CC BY 3.0</x:v>
      </x:c>
      <x:c r="H58" s="17" t="n">
        <x:v>46249</x:v>
      </x:c>
      <x:c r="I58" s="21" t="n">
        <x:v>200</x:v>
      </x:c>
      <x:c r="J58" s="14" t="str">
        <x:v>ok</x:v>
      </x:c>
      <x:c r="K58" s="16" t="str">
        <x:v>Cumae/Kyme (Campanian). Pleiades. https://pleiades.stoa.org/places/432808 (accessed 2026-08-15).</x:v>
      </x:c>
      <x:c r="L58" s="16" t="str">
        <x:v>Pleiades record modified 2024-07-09T13:36:21Z</x:v>
      </x:c>
    </x:row>
    <x:row r="59" ht="44" customHeight="1">
      <x:c r="A59" s="14" t="str">
        <x:v>src-pleiades-433014</x:v>
      </x:c>
      <x:c r="B59" s="16" t="str">
        <x:v>https://pleiades.stoa.org/places/433014</x:v>
      </x:c>
      <x:c r="C59" s="14" t="str">
        <x:v>Parthenope/Neapolis</x:v>
      </x:c>
      <x:c r="D59" s="16" t="str">
        <x:v>Pleiades</x:v>
      </x:c>
      <x:c r="E59" s="14" t="str">
        <x:v>scholarly_gazetteer</x:v>
      </x:c>
      <x:c r="F59" s="14" t="str">
        <x:v>en</x:v>
      </x:c>
      <x:c r="G59" s="14" t="str">
        <x:v>CC BY 3.0</x:v>
      </x:c>
      <x:c r="H59" s="17" t="n">
        <x:v>46249</x:v>
      </x:c>
      <x:c r="I59" s="21" t="n">
        <x:v>200</x:v>
      </x:c>
      <x:c r="J59" s="14" t="str">
        <x:v>ok</x:v>
      </x:c>
      <x:c r="K59" s="16" t="str">
        <x:v>Parthenope/Neapolis. Pleiades. https://pleiades.stoa.org/places/433014 (accessed 2026-08-15).</x:v>
      </x:c>
      <x:c r="L59" s="16" t="str">
        <x:v>Pleiades record modified 2026-06-04T15:35:37Z</x:v>
      </x:c>
    </x:row>
    <x:row r="60" ht="44" customHeight="1">
      <x:c r="A60" s="14" t="str">
        <x:v>src-pleiades-442610</x:v>
      </x:c>
      <x:c r="B60" s="16" t="str">
        <x:v>https://pleiades.stoa.org/places/442610</x:v>
      </x:c>
      <x:c r="C60" s="14" t="str">
        <x:v>Temple of Hera at Foce del Sele</x:v>
      </x:c>
      <x:c r="D60" s="16" t="str">
        <x:v>Pleiades</x:v>
      </x:c>
      <x:c r="E60" s="14" t="str">
        <x:v>scholarly_gazetteer</x:v>
      </x:c>
      <x:c r="F60" s="14" t="str">
        <x:v>en</x:v>
      </x:c>
      <x:c r="G60" s="14" t="str">
        <x:v>CC BY 3.0</x:v>
      </x:c>
      <x:c r="H60" s="17" t="n">
        <x:v>46249</x:v>
      </x:c>
      <x:c r="I60" s="21" t="n">
        <x:v>200</x:v>
      </x:c>
      <x:c r="J60" s="14" t="str">
        <x:v>ok</x:v>
      </x:c>
      <x:c r="K60" s="16" t="str">
        <x:v>Temple of Hera at Foce del Sele. Pleiades. https://pleiades.stoa.org/places/442610 (accessed 2026-08-15).</x:v>
      </x:c>
      <x:c r="L60" s="16" t="str">
        <x:v>Pleiades record modified 2026-03-08T17:41:06Z</x:v>
      </x:c>
    </x:row>
    <x:row r="61" ht="44" customHeight="1">
      <x:c r="A61" s="14" t="str">
        <x:v>src-pleiades-442611</x:v>
      </x:c>
      <x:c r="B61" s="16" t="str">
        <x:v>https://pleiades.stoa.org/places/442611</x:v>
      </x:c>
      <x:c r="C61" s="14" t="str">
        <x:v>Hera temple</x:v>
      </x:c>
      <x:c r="D61" s="16" t="str">
        <x:v>Pleiades</x:v>
      </x:c>
      <x:c r="E61" s="14" t="str">
        <x:v>scholarly_gazetteer</x:v>
      </x:c>
      <x:c r="F61" s="14" t="str">
        <x:v>en</x:v>
      </x:c>
      <x:c r="G61" s="14" t="str">
        <x:v>CC BY 3.0</x:v>
      </x:c>
      <x:c r="H61" s="17" t="n">
        <x:v>46249</x:v>
      </x:c>
      <x:c r="I61" s="21" t="n">
        <x:v>200</x:v>
      </x:c>
      <x:c r="J61" s="14" t="str">
        <x:v>ok</x:v>
      </x:c>
      <x:c r="K61" s="16" t="str">
        <x:v>Hera temple. Pleiades. https://pleiades.stoa.org/places/442611 (accessed 2026-08-15).</x:v>
      </x:c>
      <x:c r="L61" s="16" t="str">
        <x:v>Pleiades record modified 2025-07-11T11:53:04Z</x:v>
      </x:c>
    </x:row>
    <x:row r="62" ht="44" customHeight="1">
      <x:c r="A62" s="14" t="str">
        <x:v>src-pleiades-442658</x:v>
      </x:c>
      <x:c r="B62" s="16" t="str">
        <x:v>https://pleiades.stoa.org/places/442658</x:v>
      </x:c>
      <x:c r="C62" s="14" t="str">
        <x:v>Metapontum</x:v>
      </x:c>
      <x:c r="D62" s="16" t="str">
        <x:v>Pleiades</x:v>
      </x:c>
      <x:c r="E62" s="14" t="str">
        <x:v>scholarly_gazetteer</x:v>
      </x:c>
      <x:c r="F62" s="14" t="str">
        <x:v>en</x:v>
      </x:c>
      <x:c r="G62" s="14" t="str">
        <x:v>CC BY 3.0</x:v>
      </x:c>
      <x:c r="H62" s="17" t="n">
        <x:v>46249</x:v>
      </x:c>
      <x:c r="I62" s="21" t="n">
        <x:v>200</x:v>
      </x:c>
      <x:c r="J62" s="14" t="str">
        <x:v>ok</x:v>
      </x:c>
      <x:c r="K62" s="16" t="str">
        <x:v>Metapontum. Pleiades. https://pleiades.stoa.org/places/442658 (accessed 2026-08-15).</x:v>
      </x:c>
      <x:c r="L62" s="16" t="str">
        <x:v>Pleiades record modified 2025-10-02T03:32:17Z</x:v>
      </x:c>
    </x:row>
    <x:row r="63" ht="44" customHeight="1">
      <x:c r="A63" s="14" t="str">
        <x:v>src-pleiades-442733</x:v>
      </x:c>
      <x:c r="B63" s="16" t="str">
        <x:v>https://pleiades.stoa.org/places/442733</x:v>
      </x:c>
      <x:c r="C63" s="14" t="str">
        <x:v>Poseidonia/Paestum</x:v>
      </x:c>
      <x:c r="D63" s="16" t="str">
        <x:v>Pleiades</x:v>
      </x:c>
      <x:c r="E63" s="14" t="str">
        <x:v>scholarly_gazetteer</x:v>
      </x:c>
      <x:c r="F63" s="14" t="str">
        <x:v>en</x:v>
      </x:c>
      <x:c r="G63" s="14" t="str">
        <x:v>CC BY 3.0</x:v>
      </x:c>
      <x:c r="H63" s="17" t="n">
        <x:v>46249</x:v>
      </x:c>
      <x:c r="I63" s="21" t="n">
        <x:v>200</x:v>
      </x:c>
      <x:c r="J63" s="14" t="str">
        <x:v>ok</x:v>
      </x:c>
      <x:c r="K63" s="16" t="str">
        <x:v>Poseidonia/Paestum. Pleiades. https://pleiades.stoa.org/places/442733 (accessed 2026-08-15).</x:v>
      </x:c>
      <x:c r="L63" s="16" t="str">
        <x:v>Pleiades record modified 2026-07-17T14:18:07Z</x:v>
      </x:c>
    </x:row>
    <x:row r="64" ht="44" customHeight="1">
      <x:c r="A64" s="14" t="str">
        <x:v>src-pleiades-442810</x:v>
      </x:c>
      <x:c r="B64" s="16" t="str">
        <x:v>https://pleiades.stoa.org/places/442810</x:v>
      </x:c>
      <x:c r="C64" s="14" t="str">
        <x:v>Taras/Tarentum/Neptunia</x:v>
      </x:c>
      <x:c r="D64" s="16" t="str">
        <x:v>Pleiades</x:v>
      </x:c>
      <x:c r="E64" s="14" t="str">
        <x:v>scholarly_gazetteer</x:v>
      </x:c>
      <x:c r="F64" s="14" t="str">
        <x:v>en</x:v>
      </x:c>
      <x:c r="G64" s="14" t="str">
        <x:v>CC BY 3.0</x:v>
      </x:c>
      <x:c r="H64" s="17" t="n">
        <x:v>46249</x:v>
      </x:c>
      <x:c r="I64" s="21" t="n">
        <x:v>200</x:v>
      </x:c>
      <x:c r="J64" s="14" t="str">
        <x:v>ok</x:v>
      </x:c>
      <x:c r="K64" s="16" t="str">
        <x:v>Taras/Tarentum/Neptunia. Pleiades. https://pleiades.stoa.org/places/442810 (accessed 2026-08-15).</x:v>
      </x:c>
      <x:c r="L64" s="16" t="str">
        <x:v>Pleiades record modified 2026-06-21T23:24:52Z</x:v>
      </x:c>
    </x:row>
    <x:row r="65" ht="44" customHeight="1">
      <x:c r="A65" s="14" t="str">
        <x:v>src-pleiades-452317</x:v>
      </x:c>
      <x:c r="B65" s="16" t="str">
        <x:v>https://pleiades.stoa.org/places/452317</x:v>
      </x:c>
      <x:c r="C65" s="14" t="str">
        <x:v>Croto(n)</x:v>
      </x:c>
      <x:c r="D65" s="16" t="str">
        <x:v>Pleiades</x:v>
      </x:c>
      <x:c r="E65" s="14" t="str">
        <x:v>scholarly_gazetteer</x:v>
      </x:c>
      <x:c r="F65" s="14" t="str">
        <x:v>en</x:v>
      </x:c>
      <x:c r="G65" s="14" t="str">
        <x:v>CC BY 3.0</x:v>
      </x:c>
      <x:c r="H65" s="17" t="n">
        <x:v>46249</x:v>
      </x:c>
      <x:c r="I65" s="21" t="n">
        <x:v>200</x:v>
      </x:c>
      <x:c r="J65" s="14" t="str">
        <x:v>ok</x:v>
      </x:c>
      <x:c r="K65" s="16" t="str">
        <x:v>Croto(n). Pleiades. https://pleiades.stoa.org/places/452317 (accessed 2026-08-15).</x:v>
      </x:c>
      <x:c r="L65" s="16" t="str">
        <x:v>Pleiades record modified 2025-07-12T21:23:36Z</x:v>
      </x:c>
    </x:row>
    <x:row r="66" ht="44" customHeight="1">
      <x:c r="A66" s="14" t="str">
        <x:v>src-pleiades-452332</x:v>
      </x:c>
      <x:c r="B66" s="16" t="str">
        <x:v>https://pleiades.stoa.org/places/452332</x:v>
      </x:c>
      <x:c r="C66" s="14" t="str">
        <x:v>Temple of Hera Lacinia</x:v>
      </x:c>
      <x:c r="D66" s="16" t="str">
        <x:v>Pleiades</x:v>
      </x:c>
      <x:c r="E66" s="14" t="str">
        <x:v>scholarly_gazetteer</x:v>
      </x:c>
      <x:c r="F66" s="14" t="str">
        <x:v>en</x:v>
      </x:c>
      <x:c r="G66" s="14" t="str">
        <x:v>CC BY 3.0</x:v>
      </x:c>
      <x:c r="H66" s="17" t="n">
        <x:v>46249</x:v>
      </x:c>
      <x:c r="I66" s="21" t="n">
        <x:v>200</x:v>
      </x:c>
      <x:c r="J66" s="14" t="str">
        <x:v>ok</x:v>
      </x:c>
      <x:c r="K66" s="16" t="str">
        <x:v>Temple of Hera Lacinia. Pleiades. https://pleiades.stoa.org/places/452332 (accessed 2026-08-15).</x:v>
      </x:c>
      <x:c r="L66" s="16" t="str">
        <x:v>Pleiades record modified 2025-11-01T08:24:33Z</x:v>
      </x:c>
    </x:row>
    <x:row r="67" ht="44" customHeight="1">
      <x:c r="A67" s="14" t="str">
        <x:v>src-pleiades-452369</x:v>
      </x:c>
      <x:c r="B67" s="16" t="str">
        <x:v>https://pleiades.stoa.org/places/452369</x:v>
      </x:c>
      <x:c r="C67" s="14" t="str">
        <x:v>Lokroi Epizephyrioi</x:v>
      </x:c>
      <x:c r="D67" s="16" t="str">
        <x:v>Pleiades</x:v>
      </x:c>
      <x:c r="E67" s="14" t="str">
        <x:v>scholarly_gazetteer</x:v>
      </x:c>
      <x:c r="F67" s="14" t="str">
        <x:v>en</x:v>
      </x:c>
      <x:c r="G67" s="14" t="str">
        <x:v>CC BY 3.0</x:v>
      </x:c>
      <x:c r="H67" s="17" t="n">
        <x:v>46249</x:v>
      </x:c>
      <x:c r="I67" s="21" t="n">
        <x:v>200</x:v>
      </x:c>
      <x:c r="J67" s="14" t="str">
        <x:v>ok</x:v>
      </x:c>
      <x:c r="K67" s="16" t="str">
        <x:v>Lokroi Epizephyrioi. Pleiades. https://pleiades.stoa.org/places/452369 (accessed 2026-08-15).</x:v>
      </x:c>
      <x:c r="L67" s="16" t="str">
        <x:v>Pleiades record modified 2026-05-31T14:52:55Z</x:v>
      </x:c>
    </x:row>
    <x:row r="68" ht="44" customHeight="1">
      <x:c r="A68" s="14" t="str">
        <x:v>src-pleiades-452416</x:v>
      </x:c>
      <x:c r="B68" s="16" t="str">
        <x:v>https://pleiades.stoa.org/places/452416</x:v>
      </x:c>
      <x:c r="C68" s="14" t="str">
        <x:v>Rhegion/Regium</x:v>
      </x:c>
      <x:c r="D68" s="16" t="str">
        <x:v>Pleiades</x:v>
      </x:c>
      <x:c r="E68" s="14" t="str">
        <x:v>scholarly_gazetteer</x:v>
      </x:c>
      <x:c r="F68" s="14" t="str">
        <x:v>en</x:v>
      </x:c>
      <x:c r="G68" s="14" t="str">
        <x:v>CC BY 3.0</x:v>
      </x:c>
      <x:c r="H68" s="17" t="n">
        <x:v>46249</x:v>
      </x:c>
      <x:c r="I68" s="21" t="n">
        <x:v>200</x:v>
      </x:c>
      <x:c r="J68" s="14" t="str">
        <x:v>ok</x:v>
      </x:c>
      <x:c r="K68" s="16" t="str">
        <x:v>Rhegion/Regium. Pleiades. https://pleiades.stoa.org/places/452416 (accessed 2026-08-15).</x:v>
      </x:c>
      <x:c r="L68" s="16" t="str">
        <x:v>Pleiades record modified 2025-05-14T16:42:53Z</x:v>
      </x:c>
    </x:row>
    <x:row r="69" ht="44" customHeight="1">
      <x:c r="A69" s="14" t="str">
        <x:v>src-pleiades-452457</x:v>
      </x:c>
      <x:c r="B69" s="16" t="str">
        <x:v>https://pleiades.stoa.org/places/452457</x:v>
      </x:c>
      <x:c r="C69" s="14" t="str">
        <x:v>Sybaris/Thurii/Copia</x:v>
      </x:c>
      <x:c r="D69" s="16" t="str">
        <x:v>Pleiades</x:v>
      </x:c>
      <x:c r="E69" s="14" t="str">
        <x:v>scholarly_gazetteer</x:v>
      </x:c>
      <x:c r="F69" s="14" t="str">
        <x:v>en</x:v>
      </x:c>
      <x:c r="G69" s="14" t="str">
        <x:v>CC BY 3.0</x:v>
      </x:c>
      <x:c r="H69" s="17" t="n">
        <x:v>46249</x:v>
      </x:c>
      <x:c r="I69" s="21" t="n">
        <x:v>200</x:v>
      </x:c>
      <x:c r="J69" s="14" t="str">
        <x:v>ok</x:v>
      </x:c>
      <x:c r="K69" s="16" t="str">
        <x:v>Sybaris/Thurii/Copia. Pleiades. https://pleiades.stoa.org/places/452457 (accessed 2026-08-15).</x:v>
      </x:c>
      <x:c r="L69" s="16" t="str">
        <x:v>Pleiades record modified 2025-06-24T23:07:21Z</x:v>
      </x:c>
    </x:row>
    <x:row r="70" ht="44" customHeight="1">
      <x:c r="A70" s="14" t="str">
        <x:v>src-pleiades-452488</x:v>
      </x:c>
      <x:c r="B70" s="16" t="str">
        <x:v>https://pleiades.stoa.org/places/452488</x:v>
      </x:c>
      <x:c r="C70" s="14" t="str">
        <x:v>Velia/Elea</x:v>
      </x:c>
      <x:c r="D70" s="16" t="str">
        <x:v>Pleiades</x:v>
      </x:c>
      <x:c r="E70" s="14" t="str">
        <x:v>scholarly_gazetteer</x:v>
      </x:c>
      <x:c r="F70" s="14" t="str">
        <x:v>en</x:v>
      </x:c>
      <x:c r="G70" s="14" t="str">
        <x:v>CC BY 3.0</x:v>
      </x:c>
      <x:c r="H70" s="17" t="n">
        <x:v>46249</x:v>
      </x:c>
      <x:c r="I70" s="21" t="n">
        <x:v>200</x:v>
      </x:c>
      <x:c r="J70" s="14" t="str">
        <x:v>ok</x:v>
      </x:c>
      <x:c r="K70" s="16" t="str">
        <x:v>Velia/Elea. Pleiades. https://pleiades.stoa.org/places/452488 (accessed 2026-08-15).</x:v>
      </x:c>
      <x:c r="L70" s="16" t="str">
        <x:v>Pleiades record modified 2025-07-31T00:50:03Z</x:v>
      </x:c>
    </x:row>
    <x:row r="71" ht="44" customHeight="1">
      <x:c r="A71" s="14" t="str">
        <x:v>src-pleiades-462086</x:v>
      </x:c>
      <x:c r="B71" s="16" t="str">
        <x:v>https://pleiades.stoa.org/places/462086</x:v>
      </x:c>
      <x:c r="C71" s="14" t="str">
        <x:v>Akragas/Agrigentum</x:v>
      </x:c>
      <x:c r="D71" s="16" t="str">
        <x:v>Pleiades</x:v>
      </x:c>
      <x:c r="E71" s="14" t="str">
        <x:v>scholarly_gazetteer</x:v>
      </x:c>
      <x:c r="F71" s="14" t="str">
        <x:v>en</x:v>
      </x:c>
      <x:c r="G71" s="14" t="str">
        <x:v>CC BY 3.0</x:v>
      </x:c>
      <x:c r="H71" s="17" t="n">
        <x:v>46249</x:v>
      </x:c>
      <x:c r="I71" s="21" t="n">
        <x:v>200</x:v>
      </x:c>
      <x:c r="J71" s="14" t="str">
        <x:v>ok</x:v>
      </x:c>
      <x:c r="K71" s="16" t="str">
        <x:v>Akragas/Agrigentum. Pleiades. https://pleiades.stoa.org/places/462086 (accessed 2026-08-15).</x:v>
      </x:c>
      <x:c r="L71" s="16" t="str">
        <x:v>Pleiades record modified 2026-04-06T18:19:00Z</x:v>
      </x:c>
    </x:row>
    <x:row r="72" ht="44" customHeight="1">
      <x:c r="A72" s="14" t="str">
        <x:v>src-pleiades-462214</x:v>
      </x:c>
      <x:c r="B72" s="16" t="str">
        <x:v>https://pleiades.stoa.org/places/462214</x:v>
      </x:c>
      <x:c r="C72" s="14" t="str">
        <x:v>Gela</x:v>
      </x:c>
      <x:c r="D72" s="16" t="str">
        <x:v>Pleiades</x:v>
      </x:c>
      <x:c r="E72" s="14" t="str">
        <x:v>scholarly_gazetteer</x:v>
      </x:c>
      <x:c r="F72" s="14" t="str">
        <x:v>en</x:v>
      </x:c>
      <x:c r="G72" s="14" t="str">
        <x:v>CC BY 3.0</x:v>
      </x:c>
      <x:c r="H72" s="17" t="n">
        <x:v>46249</x:v>
      </x:c>
      <x:c r="I72" s="21" t="n">
        <x:v>200</x:v>
      </x:c>
      <x:c r="J72" s="14" t="str">
        <x:v>ok</x:v>
      </x:c>
      <x:c r="K72" s="16" t="str">
        <x:v>Gela. Pleiades. https://pleiades.stoa.org/places/462214 (accessed 2026-08-15).</x:v>
      </x:c>
      <x:c r="L72" s="16" t="str">
        <x:v>Pleiades record modified 2024-07-11T19:05:00Z</x:v>
      </x:c>
    </x:row>
    <x:row r="73" ht="44" customHeight="1">
      <x:c r="A73" s="14" t="str">
        <x:v>src-pleiades-462244</x:v>
      </x:c>
      <x:c r="B73" s="16" t="str">
        <x:v>https://pleiades.stoa.org/places/462244</x:v>
      </x:c>
      <x:c r="C73" s="14" t="str">
        <x:v>Himera</x:v>
      </x:c>
      <x:c r="D73" s="16" t="str">
        <x:v>Pleiades</x:v>
      </x:c>
      <x:c r="E73" s="14" t="str">
        <x:v>scholarly_gazetteer</x:v>
      </x:c>
      <x:c r="F73" s="14" t="str">
        <x:v>en</x:v>
      </x:c>
      <x:c r="G73" s="14" t="str">
        <x:v>CC BY 3.0</x:v>
      </x:c>
      <x:c r="H73" s="17" t="n">
        <x:v>46249</x:v>
      </x:c>
      <x:c r="I73" s="21" t="n">
        <x:v>200</x:v>
      </x:c>
      <x:c r="J73" s="14" t="str">
        <x:v>ok</x:v>
      </x:c>
      <x:c r="K73" s="16" t="str">
        <x:v>Himera. Pleiades. https://pleiades.stoa.org/places/462244 (accessed 2026-08-15).</x:v>
      </x:c>
      <x:c r="L73" s="16" t="str">
        <x:v>Pleiades record modified 2026-01-15T19:42:37Z</x:v>
      </x:c>
    </x:row>
    <x:row r="74" ht="44" customHeight="1">
      <x:c r="A74" s="14" t="str">
        <x:v>src-pleiades-462270</x:v>
      </x:c>
      <x:c r="B74" s="16" t="str">
        <x:v>https://pleiades.stoa.org/places/462270</x:v>
      </x:c>
      <x:c r="C74" s="14" t="str">
        <x:v>Katane/Catina</x:v>
      </x:c>
      <x:c r="D74" s="16" t="str">
        <x:v>Pleiades</x:v>
      </x:c>
      <x:c r="E74" s="14" t="str">
        <x:v>scholarly_gazetteer</x:v>
      </x:c>
      <x:c r="F74" s="14" t="str">
        <x:v>en</x:v>
      </x:c>
      <x:c r="G74" s="14" t="str">
        <x:v>CC BY 3.0</x:v>
      </x:c>
      <x:c r="H74" s="17" t="n">
        <x:v>46249</x:v>
      </x:c>
      <x:c r="I74" s="21" t="n">
        <x:v>200</x:v>
      </x:c>
      <x:c r="J74" s="14" t="str">
        <x:v>ok</x:v>
      </x:c>
      <x:c r="K74" s="16" t="str">
        <x:v>Katane/Catina. Pleiades. https://pleiades.stoa.org/places/462270 (accessed 2026-08-15).</x:v>
      </x:c>
      <x:c r="L74" s="16" t="str">
        <x:v>Pleiades record modified 2025-04-30T17:25:38Z</x:v>
      </x:c>
    </x:row>
    <x:row r="75" ht="44" customHeight="1">
      <x:c r="A75" s="14" t="str">
        <x:v>src-pleiades-462279</x:v>
      </x:c>
      <x:c r="B75" s="16" t="str">
        <x:v>https://pleiades.stoa.org/places/462279</x:v>
      </x:c>
      <x:c r="C75" s="14" t="str">
        <x:v>Leontini</x:v>
      </x:c>
      <x:c r="D75" s="16" t="str">
        <x:v>Pleiades</x:v>
      </x:c>
      <x:c r="E75" s="14" t="str">
        <x:v>scholarly_gazetteer</x:v>
      </x:c>
      <x:c r="F75" s="14" t="str">
        <x:v>en</x:v>
      </x:c>
      <x:c r="G75" s="14" t="str">
        <x:v>CC BY 3.0</x:v>
      </x:c>
      <x:c r="H75" s="17" t="n">
        <x:v>46249</x:v>
      </x:c>
      <x:c r="I75" s="21" t="n">
        <x:v>200</x:v>
      </x:c>
      <x:c r="J75" s="14" t="str">
        <x:v>ok</x:v>
      </x:c>
      <x:c r="K75" s="16" t="str">
        <x:v>Leontini. Pleiades. https://pleiades.stoa.org/places/462279 (accessed 2026-08-15).</x:v>
      </x:c>
      <x:c r="L75" s="16" t="str">
        <x:v>Pleiades record modified 2026-05-11T01:03:41Z</x:v>
      </x:c>
    </x:row>
    <x:row r="76" ht="44" customHeight="1">
      <x:c r="A76" s="14" t="str">
        <x:v>src-pleiades-462307</x:v>
      </x:c>
      <x:c r="B76" s="16" t="str">
        <x:v>https://pleiades.stoa.org/places/462307</x:v>
      </x:c>
      <x:c r="C76" s="14" t="str">
        <x:v>Megara Hyblaia</x:v>
      </x:c>
      <x:c r="D76" s="16" t="str">
        <x:v>Pleiades</x:v>
      </x:c>
      <x:c r="E76" s="14" t="str">
        <x:v>scholarly_gazetteer</x:v>
      </x:c>
      <x:c r="F76" s="14" t="str">
        <x:v>en</x:v>
      </x:c>
      <x:c r="G76" s="14" t="str">
        <x:v>CC BY 3.0</x:v>
      </x:c>
      <x:c r="H76" s="17" t="n">
        <x:v>46249</x:v>
      </x:c>
      <x:c r="I76" s="21" t="n">
        <x:v>200</x:v>
      </x:c>
      <x:c r="J76" s="14" t="str">
        <x:v>ok</x:v>
      </x:c>
      <x:c r="K76" s="16" t="str">
        <x:v>Megara Hyblaia. Pleiades. https://pleiades.stoa.org/places/462307 (accessed 2026-08-15).</x:v>
      </x:c>
      <x:c r="L76" s="16" t="str">
        <x:v>Pleiades record modified 2025-07-12T17:23:47Z</x:v>
      </x:c>
    </x:row>
    <x:row r="77" ht="44" customHeight="1">
      <x:c r="A77" s="14" t="str">
        <x:v>src-pleiades-462386</x:v>
      </x:c>
      <x:c r="B77" s="16" t="str">
        <x:v>https://pleiades.stoa.org/places/462386</x:v>
      </x:c>
      <x:c r="C77" s="14" t="str">
        <x:v>Naxos (settlement)</x:v>
      </x:c>
      <x:c r="D77" s="16" t="str">
        <x:v>Pleiades</x:v>
      </x:c>
      <x:c r="E77" s="14" t="str">
        <x:v>scholarly_gazetteer</x:v>
      </x:c>
      <x:c r="F77" s="14" t="str">
        <x:v>en</x:v>
      </x:c>
      <x:c r="G77" s="14" t="str">
        <x:v>CC BY 3.0</x:v>
      </x:c>
      <x:c r="H77" s="17" t="n">
        <x:v>46249</x:v>
      </x:c>
      <x:c r="I77" s="21" t="n">
        <x:v>200</x:v>
      </x:c>
      <x:c r="J77" s="14" t="str">
        <x:v>ok</x:v>
      </x:c>
      <x:c r="K77" s="16" t="str">
        <x:v>Naxos (settlement). Pleiades. https://pleiades.stoa.org/places/462386 (accessed 2026-08-15).</x:v>
      </x:c>
      <x:c r="L77" s="16" t="str">
        <x:v>Pleiades record modified 2024-07-09T18:38:46Z</x:v>
      </x:c>
    </x:row>
    <x:row r="78" ht="44" customHeight="1">
      <x:c r="A78" s="14" t="str">
        <x:v>src-pleiades-462489</x:v>
      </x:c>
      <x:c r="B78" s="16" t="str">
        <x:v>https://pleiades.stoa.org/places/462489</x:v>
      </x:c>
      <x:c r="C78" s="14" t="str">
        <x:v>Selinus</x:v>
      </x:c>
      <x:c r="D78" s="16" t="str">
        <x:v>Pleiades</x:v>
      </x:c>
      <x:c r="E78" s="14" t="str">
        <x:v>scholarly_gazetteer</x:v>
      </x:c>
      <x:c r="F78" s="14" t="str">
        <x:v>en</x:v>
      </x:c>
      <x:c r="G78" s="14" t="str">
        <x:v>CC BY 3.0</x:v>
      </x:c>
      <x:c r="H78" s="17" t="n">
        <x:v>46249</x:v>
      </x:c>
      <x:c r="I78" s="21" t="n">
        <x:v>200</x:v>
      </x:c>
      <x:c r="J78" s="14" t="str">
        <x:v>ok</x:v>
      </x:c>
      <x:c r="K78" s="16" t="str">
        <x:v>Selinus. Pleiades. https://pleiades.stoa.org/places/462489 (accessed 2026-08-15).</x:v>
      </x:c>
      <x:c r="L78" s="16" t="str">
        <x:v>Pleiades record modified 2026-03-09T14:15:50Z</x:v>
      </x:c>
    </x:row>
    <x:row r="79" ht="44" customHeight="1">
      <x:c r="A79" s="14" t="str">
        <x:v>src-pleiades-462503</x:v>
      </x:c>
      <x:c r="B79" s="16" t="str">
        <x:v>https://pleiades.stoa.org/places/462503</x:v>
      </x:c>
      <x:c r="C79" s="14" t="str">
        <x:v>Syracusae/Syrakousai</x:v>
      </x:c>
      <x:c r="D79" s="16" t="str">
        <x:v>Pleiades</x:v>
      </x:c>
      <x:c r="E79" s="14" t="str">
        <x:v>scholarly_gazetteer</x:v>
      </x:c>
      <x:c r="F79" s="14" t="str">
        <x:v>en</x:v>
      </x:c>
      <x:c r="G79" s="14" t="str">
        <x:v>CC BY 3.0</x:v>
      </x:c>
      <x:c r="H79" s="17" t="n">
        <x:v>46249</x:v>
      </x:c>
      <x:c r="I79" s="21" t="n">
        <x:v>200</x:v>
      </x:c>
      <x:c r="J79" s="14" t="str">
        <x:v>ok</x:v>
      </x:c>
      <x:c r="K79" s="16" t="str">
        <x:v>Syracusae/Syrakousai. Pleiades. https://pleiades.stoa.org/places/462503 (accessed 2026-08-15).</x:v>
      </x:c>
      <x:c r="L79" s="16" t="str">
        <x:v>Pleiades record modified 2026-05-11T14:30:51Z</x:v>
      </x:c>
    </x:row>
    <x:row r="80" ht="44" customHeight="1">
      <x:c r="A80" s="14" t="str">
        <x:v>src-pleiades-462538</x:v>
      </x:c>
      <x:c r="B80" s="16" t="str">
        <x:v>https://pleiades.stoa.org/places/462538</x:v>
      </x:c>
      <x:c r="C80" s="14" t="str">
        <x:v>Zancle/Messana</x:v>
      </x:c>
      <x:c r="D80" s="16" t="str">
        <x:v>Pleiades</x:v>
      </x:c>
      <x:c r="E80" s="14" t="str">
        <x:v>scholarly_gazetteer</x:v>
      </x:c>
      <x:c r="F80" s="14" t="str">
        <x:v>en</x:v>
      </x:c>
      <x:c r="G80" s="14" t="str">
        <x:v>CC BY 3.0</x:v>
      </x:c>
      <x:c r="H80" s="17" t="n">
        <x:v>46249</x:v>
      </x:c>
      <x:c r="I80" s="21" t="n">
        <x:v>200</x:v>
      </x:c>
      <x:c r="J80" s="14" t="str">
        <x:v>ok</x:v>
      </x:c>
      <x:c r="K80" s="16" t="str">
        <x:v>Zancle/Messana. Pleiades. https://pleiades.stoa.org/places/462538 (accessed 2026-08-15).</x:v>
      </x:c>
      <x:c r="L80" s="16" t="str">
        <x:v>Pleiades record modified 2026-06-05T01:03:52Z</x:v>
      </x:c>
    </x:row>
    <x:row r="81" ht="44" customHeight="1">
      <x:c r="A81" s="14" t="str">
        <x:v>src-pleiades-464482220</x:v>
      </x:c>
      <x:c r="B81" s="16" t="str">
        <x:v>https://pleiades.stoa.org/places/464482220</x:v>
      </x:c>
      <x:c r="C81" s="14" t="str">
        <x:v>Sanctuary of Apollo at Cyrene</x:v>
      </x:c>
      <x:c r="D81" s="16" t="str">
        <x:v>Pleiades</x:v>
      </x:c>
      <x:c r="E81" s="14" t="str">
        <x:v>scholarly_gazetteer</x:v>
      </x:c>
      <x:c r="F81" s="14" t="str">
        <x:v>en</x:v>
      </x:c>
      <x:c r="G81" s="14" t="str">
        <x:v>CC BY 3.0</x:v>
      </x:c>
      <x:c r="H81" s="17" t="n">
        <x:v>46249</x:v>
      </x:c>
      <x:c r="I81" s="21" t="n">
        <x:v>200</x:v>
      </x:c>
      <x:c r="J81" s="14" t="str">
        <x:v>ok</x:v>
      </x:c>
      <x:c r="K81" s="16" t="str">
        <x:v>Sanctuary of Apollo at Cyrene. Pleiades. https://pleiades.stoa.org/places/464482220 (accessed 2026-08-15).</x:v>
      </x:c>
      <x:c r="L81" s="16" t="str">
        <x:v>Pleiades record modified 2019-02-02T02:58:52Z</x:v>
      </x:c>
    </x:row>
    <x:row r="82" ht="44" customHeight="1">
      <x:c r="A82" s="14" t="str">
        <x:v>src-pleiades-481728</x:v>
      </x:c>
      <x:c r="B82" s="16" t="str">
        <x:v>https://pleiades.stoa.org/places/481728</x:v>
      </x:c>
      <x:c r="C82" s="14" t="str">
        <x:v>Apollonia</x:v>
      </x:c>
      <x:c r="D82" s="16" t="str">
        <x:v>Pleiades</x:v>
      </x:c>
      <x:c r="E82" s="14" t="str">
        <x:v>scholarly_gazetteer</x:v>
      </x:c>
      <x:c r="F82" s="14" t="str">
        <x:v>en</x:v>
      </x:c>
      <x:c r="G82" s="14" t="str">
        <x:v>CC BY 3.0</x:v>
      </x:c>
      <x:c r="H82" s="17" t="n">
        <x:v>46249</x:v>
      </x:c>
      <x:c r="I82" s="21" t="n">
        <x:v>200</x:v>
      </x:c>
      <x:c r="J82" s="14" t="str">
        <x:v>ok</x:v>
      </x:c>
      <x:c r="K82" s="16" t="str">
        <x:v>Apollonia. Pleiades. https://pleiades.stoa.org/places/481728 (accessed 2026-08-15).</x:v>
      </x:c>
      <x:c r="L82" s="16" t="str">
        <x:v>Pleiades record modified 2026-07-30T17:38:53Z</x:v>
      </x:c>
    </x:row>
    <x:row r="83" ht="44" customHeight="1">
      <x:c r="A83" s="14" t="str">
        <x:v>src-pleiades-481818</x:v>
      </x:c>
      <x:c r="B83" s="16" t="str">
        <x:v>https://pleiades.stoa.org/places/481818</x:v>
      </x:c>
      <x:c r="C83" s="14" t="str">
        <x:v>Dyrr(h)achium/Epidamnos</x:v>
      </x:c>
      <x:c r="D83" s="16" t="str">
        <x:v>Pleiades</x:v>
      </x:c>
      <x:c r="E83" s="14" t="str">
        <x:v>scholarly_gazetteer</x:v>
      </x:c>
      <x:c r="F83" s="14" t="str">
        <x:v>en</x:v>
      </x:c>
      <x:c r="G83" s="14" t="str">
        <x:v>CC BY 3.0</x:v>
      </x:c>
      <x:c r="H83" s="17" t="n">
        <x:v>46249</x:v>
      </x:c>
      <x:c r="I83" s="21" t="n">
        <x:v>200</x:v>
      </x:c>
      <x:c r="J83" s="14" t="str">
        <x:v>ok</x:v>
      </x:c>
      <x:c r="K83" s="16" t="str">
        <x:v>Dyrr(h)achium/Epidamnos. Pleiades. https://pleiades.stoa.org/places/481818 (accessed 2026-08-15).</x:v>
      </x:c>
      <x:c r="L83" s="16" t="str">
        <x:v>Pleiades record modified 2024-11-30T02:25:47Z</x:v>
      </x:c>
    </x:row>
    <x:row r="84" ht="44" customHeight="1">
      <x:c r="A84" s="14" t="str">
        <x:v>src-pleiades-491512</x:v>
      </x:c>
      <x:c r="B84" s="16" t="str">
        <x:v>https://pleiades.stoa.org/places/491512</x:v>
      </x:c>
      <x:c r="C84" s="14" t="str">
        <x:v>Aigeai</x:v>
      </x:c>
      <x:c r="D84" s="16" t="str">
        <x:v>Pleiades</x:v>
      </x:c>
      <x:c r="E84" s="14" t="str">
        <x:v>scholarly_gazetteer</x:v>
      </x:c>
      <x:c r="F84" s="14" t="str">
        <x:v>en</x:v>
      </x:c>
      <x:c r="G84" s="14" t="str">
        <x:v>CC BY 3.0</x:v>
      </x:c>
      <x:c r="H84" s="17" t="n">
        <x:v>46249</x:v>
      </x:c>
      <x:c r="I84" s="21" t="n">
        <x:v>200</x:v>
      </x:c>
      <x:c r="J84" s="14" t="str">
        <x:v>ok</x:v>
      </x:c>
      <x:c r="K84" s="16" t="str">
        <x:v>Aigeai. Pleiades. https://pleiades.stoa.org/places/491512 (accessed 2026-08-15).</x:v>
      </x:c>
      <x:c r="L84" s="16" t="str">
        <x:v>Pleiades record modified 2026-03-06T21:45:02Z</x:v>
      </x:c>
    </x:row>
    <x:row r="85" ht="44" customHeight="1">
      <x:c r="A85" s="14" t="str">
        <x:v>src-pleiades-491572</x:v>
      </x:c>
      <x:c r="B85" s="16" t="str">
        <x:v>https://pleiades.stoa.org/places/491572</x:v>
      </x:c>
      <x:c r="C85" s="14" t="str">
        <x:v>Dion</x:v>
      </x:c>
      <x:c r="D85" s="16" t="str">
        <x:v>Pleiades</x:v>
      </x:c>
      <x:c r="E85" s="14" t="str">
        <x:v>scholarly_gazetteer</x:v>
      </x:c>
      <x:c r="F85" s="14" t="str">
        <x:v>en</x:v>
      </x:c>
      <x:c r="G85" s="14" t="str">
        <x:v>CC BY 3.0</x:v>
      </x:c>
      <x:c r="H85" s="17" t="n">
        <x:v>46249</x:v>
      </x:c>
      <x:c r="I85" s="21" t="n">
        <x:v>500</x:v>
      </x:c>
      <x:c r="J85" s="14" t="str">
        <x:v>unavailable</x:v>
      </x:c>
      <x:c r="K85" s="16" t="str">
        <x:v>Dion. Pleiades. https://pleiades.stoa.org/places/491572 (accessed 2026-08-15).</x:v>
      </x:c>
      <x:c r="L85" s="16" t="str">
        <x:v>Pleiades record modified 2024-09-12T21:17:21Z; URL check: HTTP 500</x:v>
      </x:c>
    </x:row>
    <x:row r="86" ht="44" customHeight="1">
      <x:c r="A86" s="14" t="str">
        <x:v>src-pleiades-491678</x:v>
      </x:c>
      <x:c r="B86" s="16" t="str">
        <x:v>https://pleiades.stoa.org/places/491678</x:v>
      </x:c>
      <x:c r="C86" s="14" t="str">
        <x:v>Olynthos</x:v>
      </x:c>
      <x:c r="D86" s="16" t="str">
        <x:v>Pleiades</x:v>
      </x:c>
      <x:c r="E86" s="14" t="str">
        <x:v>scholarly_gazetteer</x:v>
      </x:c>
      <x:c r="F86" s="14" t="str">
        <x:v>en</x:v>
      </x:c>
      <x:c r="G86" s="14" t="str">
        <x:v>CC BY 3.0</x:v>
      </x:c>
      <x:c r="H86" s="17" t="n">
        <x:v>46249</x:v>
      </x:c>
      <x:c r="I86" s="21" t="n">
        <x:v>200</x:v>
      </x:c>
      <x:c r="J86" s="14" t="str">
        <x:v>ok</x:v>
      </x:c>
      <x:c r="K86" s="16" t="str">
        <x:v>Olynthos. Pleiades. https://pleiades.stoa.org/places/491678 (accessed 2026-08-15).</x:v>
      </x:c>
      <x:c r="L86" s="16" t="str">
        <x:v>Pleiades record modified 2025-09-14T15:41:27Z</x:v>
      </x:c>
    </x:row>
    <x:row r="87" ht="44" customHeight="1">
      <x:c r="A87" s="14" t="str">
        <x:v>src-pleiades-491687</x:v>
      </x:c>
      <x:c r="B87" s="16" t="str">
        <x:v>https://pleiades.stoa.org/places/491687</x:v>
      </x:c>
      <x:c r="C87" s="14" t="str">
        <x:v>Pella/Diokletianoupolis</x:v>
      </x:c>
      <x:c r="D87" s="16" t="str">
        <x:v>Pleiades</x:v>
      </x:c>
      <x:c r="E87" s="14" t="str">
        <x:v>scholarly_gazetteer</x:v>
      </x:c>
      <x:c r="F87" s="14" t="str">
        <x:v>en</x:v>
      </x:c>
      <x:c r="G87" s="14" t="str">
        <x:v>CC BY 3.0</x:v>
      </x:c>
      <x:c r="H87" s="17" t="n">
        <x:v>46249</x:v>
      </x:c>
      <x:c r="I87" s="21" t="n">
        <x:v>200</x:v>
      </x:c>
      <x:c r="J87" s="14" t="str">
        <x:v>ok</x:v>
      </x:c>
      <x:c r="K87" s="16" t="str">
        <x:v>Pella/Diokletianoupolis. Pleiades. https://pleiades.stoa.org/places/491687 (accessed 2026-08-15).</x:v>
      </x:c>
      <x:c r="L87" s="16" t="str">
        <x:v>Pleiades record modified 2024-10-30T20:42:12Z</x:v>
      </x:c>
    </x:row>
    <x:row r="88" ht="44" customHeight="1">
      <x:c r="A88" s="14" t="str">
        <x:v>src-pleiades-491703</x:v>
      </x:c>
      <x:c r="B88" s="16" t="str">
        <x:v>https://pleiades.stoa.org/places/491703</x:v>
      </x:c>
      <x:c r="C88" s="14" t="str">
        <x:v>Pydna</x:v>
      </x:c>
      <x:c r="D88" s="16" t="str">
        <x:v>Pleiades</x:v>
      </x:c>
      <x:c r="E88" s="14" t="str">
        <x:v>scholarly_gazetteer</x:v>
      </x:c>
      <x:c r="F88" s="14" t="str">
        <x:v>en</x:v>
      </x:c>
      <x:c r="G88" s="14" t="str">
        <x:v>CC BY 3.0</x:v>
      </x:c>
      <x:c r="H88" s="17" t="n">
        <x:v>46249</x:v>
      </x:c>
      <x:c r="I88" s="21" t="n">
        <x:v>200</x:v>
      </x:c>
      <x:c r="J88" s="14" t="str">
        <x:v>ok</x:v>
      </x:c>
      <x:c r="K88" s="16" t="str">
        <x:v>Pydna. Pleiades. https://pleiades.stoa.org/places/491703 (accessed 2026-08-15).</x:v>
      </x:c>
      <x:c r="L88" s="16" t="str">
        <x:v>Pleiades record modified 2025-04-30T17:41:40Z</x:v>
      </x:c>
    </x:row>
    <x:row r="89" ht="44" customHeight="1">
      <x:c r="A89" s="14" t="str">
        <x:v>src-pleiades-491741</x:v>
      </x:c>
      <x:c r="B89" s="16" t="str">
        <x:v>https://pleiades.stoa.org/places/491741</x:v>
      </x:c>
      <x:c r="C89" s="14" t="str">
        <x:v>Thessalonica</x:v>
      </x:c>
      <x:c r="D89" s="16" t="str">
        <x:v>Pleiades</x:v>
      </x:c>
      <x:c r="E89" s="14" t="str">
        <x:v>scholarly_gazetteer</x:v>
      </x:c>
      <x:c r="F89" s="14" t="str">
        <x:v>en</x:v>
      </x:c>
      <x:c r="G89" s="14" t="str">
        <x:v>CC BY 3.0</x:v>
      </x:c>
      <x:c r="H89" s="17" t="n">
        <x:v>46249</x:v>
      </x:c>
      <x:c r="I89" s="21" t="n">
        <x:v>200</x:v>
      </x:c>
      <x:c r="J89" s="14" t="str">
        <x:v>ok</x:v>
      </x:c>
      <x:c r="K89" s="16" t="str">
        <x:v>Thessalonica. Pleiades. https://pleiades.stoa.org/places/491741 (accessed 2026-08-15).</x:v>
      </x:c>
      <x:c r="L89" s="16" t="str">
        <x:v>Pleiades record modified 2025-11-27T14:50:56Z</x:v>
      </x:c>
    </x:row>
    <x:row r="90" ht="44" customHeight="1">
      <x:c r="A90" s="14" t="str">
        <x:v>src-pleiades-501325</x:v>
      </x:c>
      <x:c r="B90" s="16" t="str">
        <x:v>https://pleiades.stoa.org/places/501325</x:v>
      </x:c>
      <x:c r="C90" s="14" t="str">
        <x:v>Abydos</x:v>
      </x:c>
      <x:c r="D90" s="16" t="str">
        <x:v>Pleiades</x:v>
      </x:c>
      <x:c r="E90" s="14" t="str">
        <x:v>scholarly_gazetteer</x:v>
      </x:c>
      <x:c r="F90" s="14" t="str">
        <x:v>en</x:v>
      </x:c>
      <x:c r="G90" s="14" t="str">
        <x:v>CC BY 3.0</x:v>
      </x:c>
      <x:c r="H90" s="17" t="n">
        <x:v>46249</x:v>
      </x:c>
      <x:c r="I90" s="21" t="n">
        <x:v>200</x:v>
      </x:c>
      <x:c r="J90" s="14" t="str">
        <x:v>ok</x:v>
      </x:c>
      <x:c r="K90" s="16" t="str">
        <x:v>Abydos. Pleiades. https://pleiades.stoa.org/places/501325 (accessed 2026-08-15).</x:v>
      </x:c>
      <x:c r="L90" s="16" t="str">
        <x:v>Pleiades record modified 2025-03-15T16:00:55Z</x:v>
      </x:c>
    </x:row>
    <x:row r="91" ht="44" customHeight="1">
      <x:c r="A91" s="14" t="str">
        <x:v>src-pleiades-501347</x:v>
      </x:c>
      <x:c r="B91" s="16" t="str">
        <x:v>https://pleiades.stoa.org/places/501347</x:v>
      </x:c>
      <x:c r="C91" s="14" t="str">
        <x:v>Amphipolis</x:v>
      </x:c>
      <x:c r="D91" s="16" t="str">
        <x:v>Pleiades</x:v>
      </x:c>
      <x:c r="E91" s="14" t="str">
        <x:v>scholarly_gazetteer</x:v>
      </x:c>
      <x:c r="F91" s="14" t="str">
        <x:v>en</x:v>
      </x:c>
      <x:c r="G91" s="14" t="str">
        <x:v>CC BY 3.0</x:v>
      </x:c>
      <x:c r="H91" s="17" t="n">
        <x:v>46249</x:v>
      </x:c>
      <x:c r="I91" s="21" t="n">
        <x:v>200</x:v>
      </x:c>
      <x:c r="J91" s="14" t="str">
        <x:v>ok</x:v>
      </x:c>
      <x:c r="K91" s="16" t="str">
        <x:v>Amphipolis. Pleiades. https://pleiades.stoa.org/places/501347 (accessed 2026-08-15).</x:v>
      </x:c>
      <x:c r="L91" s="16" t="str">
        <x:v>Pleiades record modified 2026-03-08T03:10:29Z</x:v>
      </x:c>
    </x:row>
    <x:row r="92" ht="44" customHeight="1">
      <x:c r="A92" s="14" t="str">
        <x:v>src-pleiades-501458</x:v>
      </x:c>
      <x:c r="B92" s="16" t="str">
        <x:v>https://pleiades.stoa.org/places/501458</x:v>
      </x:c>
      <x:c r="C92" s="14" t="str">
        <x:v>Kardia/Lysimacheia</x:v>
      </x:c>
      <x:c r="D92" s="16" t="str">
        <x:v>Pleiades</x:v>
      </x:c>
      <x:c r="E92" s="14" t="str">
        <x:v>scholarly_gazetteer</x:v>
      </x:c>
      <x:c r="F92" s="14" t="str">
        <x:v>en</x:v>
      </x:c>
      <x:c r="G92" s="14" t="str">
        <x:v>CC BY 3.0</x:v>
      </x:c>
      <x:c r="H92" s="17" t="n">
        <x:v>46249</x:v>
      </x:c>
      <x:c r="I92" s="21" t="n">
        <x:v>200</x:v>
      </x:c>
      <x:c r="J92" s="14" t="str">
        <x:v>ok</x:v>
      </x:c>
      <x:c r="K92" s="16" t="str">
        <x:v>Kardia/Lysimacheia. Pleiades. https://pleiades.stoa.org/places/501458 (accessed 2026-08-15).</x:v>
      </x:c>
      <x:c r="L92" s="16" t="str">
        <x:v>Pleiades record modified 2025-11-04T19:55:44Z</x:v>
      </x:c>
    </x:row>
    <x:row r="93" ht="44" customHeight="1">
      <x:c r="A93" s="14" t="str">
        <x:v>src-pleiades-501482</x:v>
      </x:c>
      <x:c r="B93" s="16" t="str">
        <x:v>https://pleiades.stoa.org/places/501482</x:v>
      </x:c>
      <x:c r="C93" s="14" t="str">
        <x:v>Krenides/Philippi/Col. Augusta Iulia Philippensis</x:v>
      </x:c>
      <x:c r="D93" s="16" t="str">
        <x:v>Pleiades</x:v>
      </x:c>
      <x:c r="E93" s="14" t="str">
        <x:v>scholarly_gazetteer</x:v>
      </x:c>
      <x:c r="F93" s="14" t="str">
        <x:v>en</x:v>
      </x:c>
      <x:c r="G93" s="14" t="str">
        <x:v>CC BY 3.0</x:v>
      </x:c>
      <x:c r="H93" s="17" t="n">
        <x:v>46249</x:v>
      </x:c>
      <x:c r="I93" s="21" t="n">
        <x:v>200</x:v>
      </x:c>
      <x:c r="J93" s="14" t="str">
        <x:v>ok</x:v>
      </x:c>
      <x:c r="K93" s="16" t="str">
        <x:v>Krenides/Philippi/Col. Augusta Iulia Philippensis. Pleiades. https://pleiades.stoa.org/places/501482 (accessed 2026-08-15).</x:v>
      </x:c>
      <x:c r="L93" s="16" t="str">
        <x:v>Pleiades record modified 2026-03-04T19:08:15Z</x:v>
      </x:c>
    </x:row>
    <x:row r="94" ht="44" customHeight="1">
      <x:c r="A94" s="14" t="str">
        <x:v>src-pleiades-501511</x:v>
      </x:c>
      <x:c r="B94" s="16" t="str">
        <x:v>https://pleiades.stoa.org/places/501511</x:v>
      </x:c>
      <x:c r="C94" s="14" t="str">
        <x:v>Megaloi Theoi (sanctuary, Samothrace)</x:v>
      </x:c>
      <x:c r="D94" s="16" t="str">
        <x:v>Pleiades</x:v>
      </x:c>
      <x:c r="E94" s="14" t="str">
        <x:v>scholarly_gazetteer</x:v>
      </x:c>
      <x:c r="F94" s="14" t="str">
        <x:v>en</x:v>
      </x:c>
      <x:c r="G94" s="14" t="str">
        <x:v>CC BY 3.0</x:v>
      </x:c>
      <x:c r="H94" s="17" t="n">
        <x:v>46249</x:v>
      </x:c>
      <x:c r="I94" s="21" t="n">
        <x:v>200</x:v>
      </x:c>
      <x:c r="J94" s="14" t="str">
        <x:v>ok</x:v>
      </x:c>
      <x:c r="K94" s="16" t="str">
        <x:v>Megaloi Theoi (sanctuary, Samothrace). Pleiades. https://pleiades.stoa.org/places/501511 (accessed 2026-08-15).</x:v>
      </x:c>
      <x:c r="L94" s="16" t="str">
        <x:v>Pleiades record modified 2023-12-18T22:56:11Z</x:v>
      </x:c>
    </x:row>
    <x:row r="95" ht="44" customHeight="1">
      <x:c r="A95" s="14" t="str">
        <x:v>src-pleiades-501570</x:v>
      </x:c>
      <x:c r="B95" s="16" t="str">
        <x:v>https://pleiades.stoa.org/places/501570</x:v>
      </x:c>
      <x:c r="C95" s="14" t="str">
        <x:v>Pityoussa/Lampsacus</x:v>
      </x:c>
      <x:c r="D95" s="16" t="str">
        <x:v>Pleiades</x:v>
      </x:c>
      <x:c r="E95" s="14" t="str">
        <x:v>scholarly_gazetteer</x:v>
      </x:c>
      <x:c r="F95" s="14" t="str">
        <x:v>en</x:v>
      </x:c>
      <x:c r="G95" s="14" t="str">
        <x:v>CC BY 3.0</x:v>
      </x:c>
      <x:c r="H95" s="17" t="n">
        <x:v>46249</x:v>
      </x:c>
      <x:c r="I95" s="21" t="n">
        <x:v>200</x:v>
      </x:c>
      <x:c r="J95" s="14" t="str">
        <x:v>ok</x:v>
      </x:c>
      <x:c r="K95" s="16" t="str">
        <x:v>Pityoussa/Lampsacus. Pleiades. https://pleiades.stoa.org/places/501570 (accessed 2026-08-15).</x:v>
      </x:c>
      <x:c r="L95" s="16" t="str">
        <x:v>Pleiades record modified 2024-05-24T14:24:23Z</x:v>
      </x:c>
    </x:row>
    <x:row r="96" ht="44" customHeight="1">
      <x:c r="A96" s="14" t="str">
        <x:v>src-pleiades-502577471</x:v>
      </x:c>
      <x:c r="B96" s="16" t="str">
        <x:v>https://pleiades.stoa.org/places/502577471</x:v>
      </x:c>
      <x:c r="C96" s="14" t="str">
        <x:v>Temple of Demeter at the Sanctuary of Demeter Malophoros, Selinus</x:v>
      </x:c>
      <x:c r="D96" s="16" t="str">
        <x:v>Pleiades</x:v>
      </x:c>
      <x:c r="E96" s="14" t="str">
        <x:v>scholarly_gazetteer</x:v>
      </x:c>
      <x:c r="F96" s="14" t="str">
        <x:v>en</x:v>
      </x:c>
      <x:c r="G96" s="14" t="str">
        <x:v>CC BY 3.0</x:v>
      </x:c>
      <x:c r="H96" s="17" t="n">
        <x:v>46249</x:v>
      </x:c>
      <x:c r="I96" s="21" t="n">
        <x:v>200</x:v>
      </x:c>
      <x:c r="J96" s="14" t="str">
        <x:v>ok</x:v>
      </x:c>
      <x:c r="K96" s="16" t="str">
        <x:v>Temple of Demeter at the Sanctuary of Demeter Malophoros, Selinus. Pleiades. https://pleiades.stoa.org/places/502577471 (accessed 2026-08-15).</x:v>
      </x:c>
      <x:c r="L96" s="16" t="str">
        <x:v>Pleiades record modified 2026-08-08T18:17:49Z</x:v>
      </x:c>
    </x:row>
    <x:row r="97" ht="44" customHeight="1">
      <x:c r="A97" s="14" t="str">
        <x:v>src-pleiades-511218</x:v>
      </x:c>
      <x:c r="B97" s="16" t="str">
        <x:v>https://pleiades.stoa.org/places/511218</x:v>
      </x:c>
      <x:c r="C97" s="14" t="str">
        <x:v>Cyzicus</x:v>
      </x:c>
      <x:c r="D97" s="16" t="str">
        <x:v>Pleiades</x:v>
      </x:c>
      <x:c r="E97" s="14" t="str">
        <x:v>scholarly_gazetteer</x:v>
      </x:c>
      <x:c r="F97" s="14" t="str">
        <x:v>en</x:v>
      </x:c>
      <x:c r="G97" s="14" t="str">
        <x:v>CC BY 3.0</x:v>
      </x:c>
      <x:c r="H97" s="17" t="n">
        <x:v>46249</x:v>
      </x:c>
      <x:c r="I97" s="21" t="n">
        <x:v>200</x:v>
      </x:c>
      <x:c r="J97" s="14" t="str">
        <x:v>ok</x:v>
      </x:c>
      <x:c r="K97" s="16" t="str">
        <x:v>Cyzicus. Pleiades. https://pleiades.stoa.org/places/511218 (accessed 2026-08-15).</x:v>
      </x:c>
      <x:c r="L97" s="16" t="str">
        <x:v>Pleiades record modified 2024-10-16T20:23:33Z</x:v>
      </x:c>
    </x:row>
    <x:row r="98" ht="44" customHeight="1">
      <x:c r="A98" s="14" t="str">
        <x:v>src-pleiades-513711610</x:v>
      </x:c>
      <x:c r="B98" s="16" t="str">
        <x:v>https://pleiades.stoa.org/places/513711610</x:v>
      </x:c>
      <x:c r="C98" s="14" t="str">
        <x:v>Temple of Athena Pronaia</x:v>
      </x:c>
      <x:c r="D98" s="16" t="str">
        <x:v>Pleiades</x:v>
      </x:c>
      <x:c r="E98" s="14" t="str">
        <x:v>scholarly_gazetteer</x:v>
      </x:c>
      <x:c r="F98" s="14" t="str">
        <x:v>en</x:v>
      </x:c>
      <x:c r="G98" s="14" t="str">
        <x:v>CC BY 3.0</x:v>
      </x:c>
      <x:c r="H98" s="17" t="n">
        <x:v>46249</x:v>
      </x:c>
      <x:c r="I98" s="21" t="n">
        <x:v>200</x:v>
      </x:c>
      <x:c r="J98" s="14" t="str">
        <x:v>ok</x:v>
      </x:c>
      <x:c r="K98" s="16" t="str">
        <x:v>Temple of Athena Pronaia. Pleiades. https://pleiades.stoa.org/places/513711610 (accessed 2026-08-15).</x:v>
      </x:c>
      <x:c r="L98" s="16" t="str">
        <x:v>Pleiades record modified 2026-05-19T14:49:33Z</x:v>
      </x:c>
    </x:row>
    <x:row r="99" ht="44" customHeight="1">
      <x:c r="A99" s="14" t="str">
        <x:v>src-pleiades-520985</x:v>
      </x:c>
      <x:c r="B99" s="16" t="str">
        <x:v>https://pleiades.stoa.org/places/520985</x:v>
      </x:c>
      <x:c r="C99" s="14" t="str">
        <x:v>Byzantium</x:v>
      </x:c>
      <x:c r="D99" s="16" t="str">
        <x:v>Pleiades</x:v>
      </x:c>
      <x:c r="E99" s="14" t="str">
        <x:v>scholarly_gazetteer</x:v>
      </x:c>
      <x:c r="F99" s="14" t="str">
        <x:v>en</x:v>
      </x:c>
      <x:c r="G99" s="14" t="str">
        <x:v>CC BY 3.0</x:v>
      </x:c>
      <x:c r="H99" s="17" t="n">
        <x:v>46249</x:v>
      </x:c>
      <x:c r="I99" s="21" t="n">
        <x:v>200</x:v>
      </x:c>
      <x:c r="J99" s="14" t="str">
        <x:v>ok</x:v>
      </x:c>
      <x:c r="K99" s="16" t="str">
        <x:v>Byzantium. Pleiades. https://pleiades.stoa.org/places/520985 (accessed 2026-08-15).</x:v>
      </x:c>
      <x:c r="L99" s="16" t="str">
        <x:v>Pleiades record modified 2025-10-29T14:08:36Z</x:v>
      </x:c>
    </x:row>
    <x:row r="100" ht="44" customHeight="1">
      <x:c r="A100" s="14" t="str">
        <x:v>src-pleiades-520988</x:v>
      </x:c>
      <x:c r="B100" s="16" t="str">
        <x:v>https://pleiades.stoa.org/places/520988</x:v>
      </x:c>
      <x:c r="C100" s="14" t="str">
        <x:v>Chalcedon</x:v>
      </x:c>
      <x:c r="D100" s="16" t="str">
        <x:v>Pleiades</x:v>
      </x:c>
      <x:c r="E100" s="14" t="str">
        <x:v>scholarly_gazetteer</x:v>
      </x:c>
      <x:c r="F100" s="14" t="str">
        <x:v>en</x:v>
      </x:c>
      <x:c r="G100" s="14" t="str">
        <x:v>CC BY 3.0</x:v>
      </x:c>
      <x:c r="H100" s="17" t="n">
        <x:v>46249</x:v>
      </x:c>
      <x:c r="I100" s="21" t="n">
        <x:v>200</x:v>
      </x:c>
      <x:c r="J100" s="14" t="str">
        <x:v>ok</x:v>
      </x:c>
      <x:c r="K100" s="16" t="str">
        <x:v>Chalcedon. Pleiades. https://pleiades.stoa.org/places/520988 (accessed 2026-08-15).</x:v>
      </x:c>
      <x:c r="L100" s="16" t="str">
        <x:v>Pleiades record modified 2024-07-02T15:40:54Z</x:v>
      </x:c>
    </x:row>
    <x:row r="101" ht="44" customHeight="1">
      <x:c r="A101" s="14" t="str">
        <x:v>src-pleiades-530794</x:v>
      </x:c>
      <x:c r="B101" s="16" t="str">
        <x:v>https://pleiades.stoa.org/places/530794</x:v>
      </x:c>
      <x:c r="C101" s="14" t="str">
        <x:v>Ambracia</x:v>
      </x:c>
      <x:c r="D101" s="16" t="str">
        <x:v>Pleiades</x:v>
      </x:c>
      <x:c r="E101" s="14" t="str">
        <x:v>scholarly_gazetteer</x:v>
      </x:c>
      <x:c r="F101" s="14" t="str">
        <x:v>en</x:v>
      </x:c>
      <x:c r="G101" s="14" t="str">
        <x:v>CC BY 3.0</x:v>
      </x:c>
      <x:c r="H101" s="17" t="n">
        <x:v>46249</x:v>
      </x:c>
      <x:c r="I101" s="21" t="n">
        <x:v>200</x:v>
      </x:c>
      <x:c r="J101" s="14" t="str">
        <x:v>ok</x:v>
      </x:c>
      <x:c r="K101" s="16" t="str">
        <x:v>Ambracia. Pleiades. https://pleiades.stoa.org/places/530794 (accessed 2026-08-15).</x:v>
      </x:c>
      <x:c r="L101" s="16" t="str">
        <x:v>Pleiades record modified 2026-03-07T22:05:50Z</x:v>
      </x:c>
    </x:row>
    <x:row r="102" ht="44" customHeight="1">
      <x:c r="A102" s="14" t="str">
        <x:v>src-pleiades-530834</x:v>
      </x:c>
      <x:c r="B102" s="16" t="str">
        <x:v>https://pleiades.stoa.org/places/530834</x:v>
      </x:c>
      <x:c r="C102" s="14" t="str">
        <x:v>Corcyra (settlement)</x:v>
      </x:c>
      <x:c r="D102" s="16" t="str">
        <x:v>Pleiades</x:v>
      </x:c>
      <x:c r="E102" s="14" t="str">
        <x:v>scholarly_gazetteer</x:v>
      </x:c>
      <x:c r="F102" s="14" t="str">
        <x:v>en</x:v>
      </x:c>
      <x:c r="G102" s="14" t="str">
        <x:v>CC BY 3.0</x:v>
      </x:c>
      <x:c r="H102" s="17" t="n">
        <x:v>46249</x:v>
      </x:c>
      <x:c r="I102" s="21" t="n">
        <x:v>200</x:v>
      </x:c>
      <x:c r="J102" s="14" t="str">
        <x:v>ok</x:v>
      </x:c>
      <x:c r="K102" s="16" t="str">
        <x:v>Corcyra (settlement). Pleiades. https://pleiades.stoa.org/places/530834 (accessed 2026-08-15).</x:v>
      </x:c>
      <x:c r="L102" s="16" t="str">
        <x:v>Pleiades record modified 2026-05-23T01:51:08Z</x:v>
      </x:c>
    </x:row>
    <x:row r="103" ht="44" customHeight="1">
      <x:c r="A103" s="14" t="str">
        <x:v>src-pleiades-530843</x:v>
      </x:c>
      <x:c r="B103" s="16" t="str">
        <x:v>https://pleiades.stoa.org/places/530843</x:v>
      </x:c>
      <x:c r="C103" s="14" t="str">
        <x:v>Dodona (Epirus)</x:v>
      </x:c>
      <x:c r="D103" s="16" t="str">
        <x:v>Pleiades</x:v>
      </x:c>
      <x:c r="E103" s="14" t="str">
        <x:v>scholarly_gazetteer</x:v>
      </x:c>
      <x:c r="F103" s="14" t="str">
        <x:v>en</x:v>
      </x:c>
      <x:c r="G103" s="14" t="str">
        <x:v>CC BY 3.0</x:v>
      </x:c>
      <x:c r="H103" s="17" t="n">
        <x:v>46249</x:v>
      </x:c>
      <x:c r="I103" s="21" t="n">
        <x:v>200</x:v>
      </x:c>
      <x:c r="J103" s="14" t="str">
        <x:v>ok</x:v>
      </x:c>
      <x:c r="K103" s="16" t="str">
        <x:v>Dodona (Epirus). Pleiades. https://pleiades.stoa.org/places/530843 (accessed 2026-08-15).</x:v>
      </x:c>
      <x:c r="L103" s="16" t="str">
        <x:v>Pleiades record modified 2022-06-07T22:53:33Z</x:v>
      </x:c>
    </x:row>
    <x:row r="104" ht="44" customHeight="1">
      <x:c r="A104" s="14" t="str">
        <x:v>src-pleiades-540628</x:v>
      </x:c>
      <x:c r="B104" s="16" t="str">
        <x:v>https://pleiades.stoa.org/places/540628</x:v>
      </x:c>
      <x:c r="C104" s="14" t="str">
        <x:v>Amphiareion</x:v>
      </x:c>
      <x:c r="D104" s="16" t="str">
        <x:v>Pleiades</x:v>
      </x:c>
      <x:c r="E104" s="14" t="str">
        <x:v>scholarly_gazetteer</x:v>
      </x:c>
      <x:c r="F104" s="14" t="str">
        <x:v>en</x:v>
      </x:c>
      <x:c r="G104" s="14" t="str">
        <x:v>CC BY 3.0</x:v>
      </x:c>
      <x:c r="H104" s="17" t="n">
        <x:v>46249</x:v>
      </x:c>
      <x:c r="I104" s="21" t="n">
        <x:v>200</x:v>
      </x:c>
      <x:c r="J104" s="14" t="str">
        <x:v>ok</x:v>
      </x:c>
      <x:c r="K104" s="16" t="str">
        <x:v>Amphiareion. Pleiades. https://pleiades.stoa.org/places/540628 (accessed 2026-08-15).</x:v>
      </x:c>
      <x:c r="L104" s="16" t="str">
        <x:v>Pleiades record modified 2025-10-24T02:32:52Z</x:v>
      </x:c>
    </x:row>
    <x:row r="105" ht="44" customHeight="1">
      <x:c r="A105" s="14" t="str">
        <x:v>src-pleiades-540703</x:v>
      </x:c>
      <x:c r="B105" s="16" t="str">
        <x:v>https://pleiades.stoa.org/places/540703</x:v>
      </x:c>
      <x:c r="C105" s="14" t="str">
        <x:v>Chalcis</x:v>
      </x:c>
      <x:c r="D105" s="16" t="str">
        <x:v>Pleiades</x:v>
      </x:c>
      <x:c r="E105" s="14" t="str">
        <x:v>scholarly_gazetteer</x:v>
      </x:c>
      <x:c r="F105" s="14" t="str">
        <x:v>en</x:v>
      </x:c>
      <x:c r="G105" s="14" t="str">
        <x:v>CC BY 3.0</x:v>
      </x:c>
      <x:c r="H105" s="17" t="n">
        <x:v>46249</x:v>
      </x:c>
      <x:c r="I105" s="21" t="n">
        <x:v>200</x:v>
      </x:c>
      <x:c r="J105" s="14" t="str">
        <x:v>ok</x:v>
      </x:c>
      <x:c r="K105" s="16" t="str">
        <x:v>Chalcis. Pleiades. https://pleiades.stoa.org/places/540703 (accessed 2026-08-15).</x:v>
      </x:c>
      <x:c r="L105" s="16" t="str">
        <x:v>Pleiades record modified 2024-02-25T02:21:56Z</x:v>
      </x:c>
    </x:row>
    <x:row r="106" ht="44" customHeight="1">
      <x:c r="A106" s="14" t="str">
        <x:v>src-pleiades-540726</x:v>
      </x:c>
      <x:c r="B106" s="16" t="str">
        <x:v>https://pleiades.stoa.org/places/540726</x:v>
      </x:c>
      <x:c r="C106" s="14" t="str">
        <x:v>Delphi</x:v>
      </x:c>
      <x:c r="D106" s="16" t="str">
        <x:v>Pleiades</x:v>
      </x:c>
      <x:c r="E106" s="14" t="str">
        <x:v>scholarly_gazetteer</x:v>
      </x:c>
      <x:c r="F106" s="14" t="str">
        <x:v>en</x:v>
      </x:c>
      <x:c r="G106" s="14" t="str">
        <x:v>CC BY 3.0</x:v>
      </x:c>
      <x:c r="H106" s="17" t="n">
        <x:v>46249</x:v>
      </x:c>
      <x:c r="I106" s="21" t="n">
        <x:v>200</x:v>
      </x:c>
      <x:c r="J106" s="14" t="str">
        <x:v>ok</x:v>
      </x:c>
      <x:c r="K106" s="16" t="str">
        <x:v>Delphi. Pleiades. https://pleiades.stoa.org/places/540726 (accessed 2026-08-15).</x:v>
      </x:c>
      <x:c r="L106" s="16" t="str">
        <x:v>Pleiades record modified 2026-05-19T14:12:07Z</x:v>
      </x:c>
    </x:row>
    <x:row r="107" ht="44" customHeight="1">
      <x:c r="A107" s="14" t="str">
        <x:v>src-pleiades-540730</x:v>
      </x:c>
      <x:c r="B107" s="16" t="str">
        <x:v>https://pleiades.stoa.org/places/540730</x:v>
      </x:c>
      <x:c r="C107" s="14" t="str">
        <x:v>Demetrias (Magnesian)</x:v>
      </x:c>
      <x:c r="D107" s="16" t="str">
        <x:v>Pleiades</x:v>
      </x:c>
      <x:c r="E107" s="14" t="str">
        <x:v>scholarly_gazetteer</x:v>
      </x:c>
      <x:c r="F107" s="14" t="str">
        <x:v>en</x:v>
      </x:c>
      <x:c r="G107" s="14" t="str">
        <x:v>CC BY 3.0</x:v>
      </x:c>
      <x:c r="H107" s="17" t="n">
        <x:v>46249</x:v>
      </x:c>
      <x:c r="I107" s="21" t="n">
        <x:v>200</x:v>
      </x:c>
      <x:c r="J107" s="14" t="str">
        <x:v>ok</x:v>
      </x:c>
      <x:c r="K107" s="16" t="str">
        <x:v>Demetrias (Magnesian). Pleiades. https://pleiades.stoa.org/places/540730 (accessed 2026-08-15).</x:v>
      </x:c>
      <x:c r="L107" s="16" t="str">
        <x:v>Pleiades record modified 2026-07-29T16:01:21Z</x:v>
      </x:c>
    </x:row>
    <x:row r="108" ht="44" customHeight="1">
      <x:c r="A108" s="14" t="str">
        <x:v>src-pleiades-540905</x:v>
      </x:c>
      <x:c r="B108" s="16" t="str">
        <x:v>https://pleiades.stoa.org/places/540905</x:v>
      </x:c>
      <x:c r="C108" s="14" t="str">
        <x:v>Larissa</x:v>
      </x:c>
      <x:c r="D108" s="16" t="str">
        <x:v>Pleiades</x:v>
      </x:c>
      <x:c r="E108" s="14" t="str">
        <x:v>scholarly_gazetteer</x:v>
      </x:c>
      <x:c r="F108" s="14" t="str">
        <x:v>en</x:v>
      </x:c>
      <x:c r="G108" s="14" t="str">
        <x:v>CC BY 3.0</x:v>
      </x:c>
      <x:c r="H108" s="17" t="n">
        <x:v>46249</x:v>
      </x:c>
      <x:c r="I108" s="21" t="n">
        <x:v>200</x:v>
      </x:c>
      <x:c r="J108" s="14" t="str">
        <x:v>ok</x:v>
      </x:c>
      <x:c r="K108" s="16" t="str">
        <x:v>Larissa. Pleiades. https://pleiades.stoa.org/places/540905 (accessed 2026-08-15).</x:v>
      </x:c>
      <x:c r="L108" s="16" t="str">
        <x:v>Pleiades record modified 2026-01-08T04:53:46Z</x:v>
      </x:c>
    </x:row>
    <x:row r="109" ht="44" customHeight="1">
      <x:c r="A109" s="14" t="str">
        <x:v>src-pleiades-541044</x:v>
      </x:c>
      <x:c r="B109" s="16" t="str">
        <x:v>https://pleiades.stoa.org/places/541044</x:v>
      </x:c>
      <x:c r="C109" s="14" t="str">
        <x:v>Pherai</x:v>
      </x:c>
      <x:c r="D109" s="16" t="str">
        <x:v>Pleiades</x:v>
      </x:c>
      <x:c r="E109" s="14" t="str">
        <x:v>scholarly_gazetteer</x:v>
      </x:c>
      <x:c r="F109" s="14" t="str">
        <x:v>en</x:v>
      </x:c>
      <x:c r="G109" s="14" t="str">
        <x:v>CC BY 3.0</x:v>
      </x:c>
      <x:c r="H109" s="17" t="n">
        <x:v>46249</x:v>
      </x:c>
      <x:c r="I109" s="21" t="n">
        <x:v>200</x:v>
      </x:c>
      <x:c r="J109" s="14" t="str">
        <x:v>ok</x:v>
      </x:c>
      <x:c r="K109" s="16" t="str">
        <x:v>Pherai. Pleiades. https://pleiades.stoa.org/places/541044 (accessed 2026-08-15).</x:v>
      </x:c>
      <x:c r="L109" s="16" t="str">
        <x:v>Pleiades record modified 2025-04-27T02:30:46Z</x:v>
      </x:c>
    </x:row>
    <x:row r="110" ht="44" customHeight="1">
      <x:c r="A110" s="14" t="str">
        <x:v>src-pleiades-541138</x:v>
      </x:c>
      <x:c r="B110" s="16" t="str">
        <x:v>https://pleiades.stoa.org/places/541138</x:v>
      </x:c>
      <x:c r="C110" s="14" t="str">
        <x:v>Thebai/Thebae</x:v>
      </x:c>
      <x:c r="D110" s="16" t="str">
        <x:v>Pleiades</x:v>
      </x:c>
      <x:c r="E110" s="14" t="str">
        <x:v>scholarly_gazetteer</x:v>
      </x:c>
      <x:c r="F110" s="14" t="str">
        <x:v>en</x:v>
      </x:c>
      <x:c r="G110" s="14" t="str">
        <x:v>CC BY 3.0</x:v>
      </x:c>
      <x:c r="H110" s="17" t="n">
        <x:v>46249</x:v>
      </x:c>
      <x:c r="I110" s="21" t="n">
        <x:v>200</x:v>
      </x:c>
      <x:c r="J110" s="14" t="str">
        <x:v>ok</x:v>
      </x:c>
      <x:c r="K110" s="16" t="str">
        <x:v>Thebai/Thebae. Pleiades. https://pleiades.stoa.org/places/541138 (accessed 2026-08-15).</x:v>
      </x:c>
      <x:c r="L110" s="16" t="str">
        <x:v>Pleiades record modified 2026-03-27T19:58:04Z</x:v>
      </x:c>
    </x:row>
    <x:row r="111" ht="44" customHeight="1">
      <x:c r="A111" s="14" t="str">
        <x:v>src-pleiades-550459</x:v>
      </x:c>
      <x:c r="B111" s="16" t="str">
        <x:v>https://pleiades.stoa.org/places/550459</x:v>
      </x:c>
      <x:c r="C111" s="14" t="str">
        <x:v>Asklepieion</x:v>
      </x:c>
      <x:c r="D111" s="16" t="str">
        <x:v>Pleiades</x:v>
      </x:c>
      <x:c r="E111" s="14" t="str">
        <x:v>scholarly_gazetteer</x:v>
      </x:c>
      <x:c r="F111" s="14" t="str">
        <x:v>en</x:v>
      </x:c>
      <x:c r="G111" s="14" t="str">
        <x:v>CC BY 3.0</x:v>
      </x:c>
      <x:c r="H111" s="17" t="n">
        <x:v>46249</x:v>
      </x:c>
      <x:c r="I111" s="21" t="n">
        <x:v>200</x:v>
      </x:c>
      <x:c r="J111" s="14" t="str">
        <x:v>ok</x:v>
      </x:c>
      <x:c r="K111" s="16" t="str">
        <x:v>Asklepieion. Pleiades. https://pleiades.stoa.org/places/550459 (accessed 2026-08-15).</x:v>
      </x:c>
      <x:c r="L111" s="16" t="str">
        <x:v>Pleiades record modified 2025-10-31T14:25:04Z</x:v>
      </x:c>
    </x:row>
    <x:row r="112" ht="44" customHeight="1">
      <x:c r="A112" s="14" t="str">
        <x:v>src-pleiades-550463</x:v>
      </x:c>
      <x:c r="B112" s="16" t="str">
        <x:v>https://pleiades.stoa.org/places/550463</x:v>
      </x:c>
      <x:c r="C112" s="14" t="str">
        <x:v>Assos/Apollonia</x:v>
      </x:c>
      <x:c r="D112" s="16" t="str">
        <x:v>Pleiades</x:v>
      </x:c>
      <x:c r="E112" s="14" t="str">
        <x:v>scholarly_gazetteer</x:v>
      </x:c>
      <x:c r="F112" s="14" t="str">
        <x:v>en</x:v>
      </x:c>
      <x:c r="G112" s="14" t="str">
        <x:v>CC BY 3.0</x:v>
      </x:c>
      <x:c r="H112" s="17" t="n">
        <x:v>46249</x:v>
      </x:c>
      <x:c r="I112" s="21" t="n">
        <x:v>200</x:v>
      </x:c>
      <x:c r="J112" s="14" t="str">
        <x:v>ok</x:v>
      </x:c>
      <x:c r="K112" s="16" t="str">
        <x:v>Assos/Apollonia. Pleiades. https://pleiades.stoa.org/places/550463 (accessed 2026-08-15).</x:v>
      </x:c>
      <x:c r="L112" s="16" t="str">
        <x:v>Pleiades record modified 2023-04-05T18:39:24Z</x:v>
      </x:c>
    </x:row>
    <x:row r="113" ht="44" customHeight="1">
      <x:c r="A113" s="14" t="str">
        <x:v>src-pleiades-550496</x:v>
      </x:c>
      <x:c r="B113" s="16" t="str">
        <x:v>https://pleiades.stoa.org/places/550496</x:v>
      </x:c>
      <x:c r="C113" s="14" t="str">
        <x:v>Chios (settlement)</x:v>
      </x:c>
      <x:c r="D113" s="16" t="str">
        <x:v>Pleiades</x:v>
      </x:c>
      <x:c r="E113" s="14" t="str">
        <x:v>scholarly_gazetteer</x:v>
      </x:c>
      <x:c r="F113" s="14" t="str">
        <x:v>en</x:v>
      </x:c>
      <x:c r="G113" s="14" t="str">
        <x:v>CC BY 3.0</x:v>
      </x:c>
      <x:c r="H113" s="17" t="n">
        <x:v>46249</x:v>
      </x:c>
      <x:c r="I113" s="21" t="n">
        <x:v>200</x:v>
      </x:c>
      <x:c r="J113" s="14" t="str">
        <x:v>ok</x:v>
      </x:c>
      <x:c r="K113" s="16" t="str">
        <x:v>Chios (settlement). Pleiades. https://pleiades.stoa.org/places/550496 (accessed 2026-08-15).</x:v>
      </x:c>
      <x:c r="L113" s="16" t="str">
        <x:v>Pleiades record modified 2023-08-29T14:40:52Z</x:v>
      </x:c>
    </x:row>
    <x:row r="114" ht="44" customHeight="1">
      <x:c r="A114" s="14" t="str">
        <x:v>src-pleiades-550506</x:v>
      </x:c>
      <x:c r="B114" s="16" t="str">
        <x:v>https://pleiades.stoa.org/places/550506</x:v>
      </x:c>
      <x:c r="C114" s="14" t="str">
        <x:v>Cyme</x:v>
      </x:c>
      <x:c r="D114" s="16" t="str">
        <x:v>Pleiades</x:v>
      </x:c>
      <x:c r="E114" s="14" t="str">
        <x:v>scholarly_gazetteer</x:v>
      </x:c>
      <x:c r="F114" s="14" t="str">
        <x:v>en</x:v>
      </x:c>
      <x:c r="G114" s="14" t="str">
        <x:v>CC BY 3.0</x:v>
      </x:c>
      <x:c r="H114" s="17" t="n">
        <x:v>46249</x:v>
      </x:c>
      <x:c r="I114" s="21" t="n">
        <x:v>200</x:v>
      </x:c>
      <x:c r="J114" s="14" t="str">
        <x:v>ok</x:v>
      </x:c>
      <x:c r="K114" s="16" t="str">
        <x:v>Cyme. Pleiades. https://pleiades.stoa.org/places/550506 (accessed 2026-08-15).</x:v>
      </x:c>
      <x:c r="L114" s="16" t="str">
        <x:v>Pleiades record modified 2023-04-11T22:06:35Z</x:v>
      </x:c>
    </x:row>
    <x:row r="115" ht="44" customHeight="1">
      <x:c r="A115" s="14" t="str">
        <x:v>src-pleiades-550535</x:v>
      </x:c>
      <x:c r="B115" s="16" t="str">
        <x:v>https://pleiades.stoa.org/places/550535</x:v>
      </x:c>
      <x:c r="C115" s="14" t="str">
        <x:v>Erythrai</x:v>
      </x:c>
      <x:c r="D115" s="16" t="str">
        <x:v>Pleiades</x:v>
      </x:c>
      <x:c r="E115" s="14" t="str">
        <x:v>scholarly_gazetteer</x:v>
      </x:c>
      <x:c r="F115" s="14" t="str">
        <x:v>en</x:v>
      </x:c>
      <x:c r="G115" s="14" t="str">
        <x:v>CC BY 3.0</x:v>
      </x:c>
      <x:c r="H115" s="17" t="n">
        <x:v>46249</x:v>
      </x:c>
      <x:c r="I115" s="21" t="n">
        <x:v>200</x:v>
      </x:c>
      <x:c r="J115" s="14" t="str">
        <x:v>ok</x:v>
      </x:c>
      <x:c r="K115" s="16" t="str">
        <x:v>Erythrai. Pleiades. https://pleiades.stoa.org/places/550535 (accessed 2026-08-15).</x:v>
      </x:c>
      <x:c r="L115" s="16" t="str">
        <x:v>Pleiades record modified 2024-10-02T19:23:44Z</x:v>
      </x:c>
    </x:row>
    <x:row r="116" ht="44" customHeight="1">
      <x:c r="A116" s="14" t="str">
        <x:v>src-pleiades-550604</x:v>
      </x:c>
      <x:c r="B116" s="16" t="str">
        <x:v>https://pleiades.stoa.org/places/550604</x:v>
      </x:c>
      <x:c r="C116" s="14" t="str">
        <x:v>Kabeireion</x:v>
      </x:c>
      <x:c r="D116" s="16" t="str">
        <x:v>Pleiades</x:v>
      </x:c>
      <x:c r="E116" s="14" t="str">
        <x:v>scholarly_gazetteer</x:v>
      </x:c>
      <x:c r="F116" s="14" t="str">
        <x:v>en</x:v>
      </x:c>
      <x:c r="G116" s="14" t="str">
        <x:v>CC BY 3.0</x:v>
      </x:c>
      <x:c r="H116" s="17" t="n">
        <x:v>46249</x:v>
      </x:c>
      <x:c r="I116" s="21" t="n">
        <x:v>200</x:v>
      </x:c>
      <x:c r="J116" s="14" t="str">
        <x:v>ok</x:v>
      </x:c>
      <x:c r="K116" s="16" t="str">
        <x:v>Kabeireion. Pleiades. https://pleiades.stoa.org/places/550604 (accessed 2026-08-15).</x:v>
      </x:c>
      <x:c r="L116" s="16" t="str">
        <x:v>Pleiades record modified 2023-05-22T16:01:24Z</x:v>
      </x:c>
    </x:row>
    <x:row r="117" ht="44" customHeight="1">
      <x:c r="A117" s="14" t="str">
        <x:v>src-pleiades-550651</x:v>
      </x:c>
      <x:c r="B117" s="16" t="str">
        <x:v>https://pleiades.stoa.org/places/550651</x:v>
      </x:c>
      <x:c r="C117" s="14" t="str">
        <x:v>Klazomenai (later)</x:v>
      </x:c>
      <x:c r="D117" s="16" t="str">
        <x:v>Pleiades</x:v>
      </x:c>
      <x:c r="E117" s="14" t="str">
        <x:v>scholarly_gazetteer</x:v>
      </x:c>
      <x:c r="F117" s="14" t="str">
        <x:v>en</x:v>
      </x:c>
      <x:c r="G117" s="14" t="str">
        <x:v>CC BY 3.0</x:v>
      </x:c>
      <x:c r="H117" s="17" t="n">
        <x:v>46249</x:v>
      </x:c>
      <x:c r="I117" s="21" t="n">
        <x:v>200</x:v>
      </x:c>
      <x:c r="J117" s="14" t="str">
        <x:v>ok</x:v>
      </x:c>
      <x:c r="K117" s="16" t="str">
        <x:v>Klazomenai (later). Pleiades. https://pleiades.stoa.org/places/550651 (accessed 2026-08-15).</x:v>
      </x:c>
      <x:c r="L117" s="16" t="str">
        <x:v>Pleiades record modified 2023-08-29T15:49:37Z</x:v>
      </x:c>
    </x:row>
    <x:row r="118" ht="44" customHeight="1">
      <x:c r="A118" s="14" t="str">
        <x:v>src-pleiades-550756</x:v>
      </x:c>
      <x:c r="B118" s="16" t="str">
        <x:v>https://pleiades.stoa.org/places/550756</x:v>
      </x:c>
      <x:c r="C118" s="14" t="str">
        <x:v>Myrina/Sebastopolis</x:v>
      </x:c>
      <x:c r="D118" s="16" t="str">
        <x:v>Pleiades</x:v>
      </x:c>
      <x:c r="E118" s="14" t="str">
        <x:v>scholarly_gazetteer</x:v>
      </x:c>
      <x:c r="F118" s="14" t="str">
        <x:v>en</x:v>
      </x:c>
      <x:c r="G118" s="14" t="str">
        <x:v>CC BY 3.0</x:v>
      </x:c>
      <x:c r="H118" s="17" t="n">
        <x:v>46249</x:v>
      </x:c>
      <x:c r="I118" s="21" t="n">
        <x:v>200</x:v>
      </x:c>
      <x:c r="J118" s="14" t="str">
        <x:v>ok</x:v>
      </x:c>
      <x:c r="K118" s="16" t="str">
        <x:v>Myrina/Sebastopolis. Pleiades. https://pleiades.stoa.org/places/550756 (accessed 2026-08-15).</x:v>
      </x:c>
      <x:c r="L118" s="16" t="str">
        <x:v>Pleiades record modified 2025-10-09T03:32:18Z</x:v>
      </x:c>
    </x:row>
    <x:row r="119" ht="44" customHeight="1">
      <x:c r="A119" s="14" t="str">
        <x:v>src-pleiades-550763</x:v>
      </x:c>
      <x:c r="B119" s="16" t="str">
        <x:v>https://pleiades.stoa.org/places/550763</x:v>
      </x:c>
      <x:c r="C119" s="14" t="str">
        <x:v>Mytilene</x:v>
      </x:c>
      <x:c r="D119" s="16" t="str">
        <x:v>Pleiades</x:v>
      </x:c>
      <x:c r="E119" s="14" t="str">
        <x:v>scholarly_gazetteer</x:v>
      </x:c>
      <x:c r="F119" s="14" t="str">
        <x:v>en</x:v>
      </x:c>
      <x:c r="G119" s="14" t="str">
        <x:v>CC BY 3.0</x:v>
      </x:c>
      <x:c r="H119" s="17" t="n">
        <x:v>46249</x:v>
      </x:c>
      <x:c r="I119" s="21" t="n">
        <x:v>200</x:v>
      </x:c>
      <x:c r="J119" s="14" t="str">
        <x:v>ok</x:v>
      </x:c>
      <x:c r="K119" s="16" t="str">
        <x:v>Mytilene. Pleiades. https://pleiades.stoa.org/places/550763 (accessed 2026-08-15).</x:v>
      </x:c>
      <x:c r="L119" s="16" t="str">
        <x:v>Pleiades record modified 2026-01-08T19:01:02Z</x:v>
      </x:c>
    </x:row>
    <x:row r="120" ht="44" customHeight="1">
      <x:c r="A120" s="14" t="str">
        <x:v>src-pleiades-550812</x:v>
      </x:c>
      <x:c r="B120" s="16" t="str">
        <x:v>https://pleiades.stoa.org/places/550812</x:v>
      </x:c>
      <x:c r="C120" s="14" t="str">
        <x:v>Pergamum</x:v>
      </x:c>
      <x:c r="D120" s="16" t="str">
        <x:v>Pleiades</x:v>
      </x:c>
      <x:c r="E120" s="14" t="str">
        <x:v>scholarly_gazetteer</x:v>
      </x:c>
      <x:c r="F120" s="14" t="str">
        <x:v>en</x:v>
      </x:c>
      <x:c r="G120" s="14" t="str">
        <x:v>CC BY 3.0</x:v>
      </x:c>
      <x:c r="H120" s="17" t="n">
        <x:v>46249</x:v>
      </x:c>
      <x:c r="I120" s="21" t="n">
        <x:v>200</x:v>
      </x:c>
      <x:c r="J120" s="14" t="str">
        <x:v>ok</x:v>
      </x:c>
      <x:c r="K120" s="16" t="str">
        <x:v>Pergamum. Pleiades. https://pleiades.stoa.org/places/550812 (accessed 2026-08-15).</x:v>
      </x:c>
      <x:c r="L120" s="16" t="str">
        <x:v>Pleiades record modified 2026-05-06T21:49:05Z</x:v>
      </x:c>
    </x:row>
    <x:row r="121" ht="44" customHeight="1">
      <x:c r="A121" s="14" t="str">
        <x:v>src-pleiades-550823</x:v>
      </x:c>
      <x:c r="B121" s="16" t="str">
        <x:v>https://pleiades.stoa.org/places/550823</x:v>
      </x:c>
      <x:c r="C121" s="14" t="str">
        <x:v>Phocaea</x:v>
      </x:c>
      <x:c r="D121" s="16" t="str">
        <x:v>Pleiades</x:v>
      </x:c>
      <x:c r="E121" s="14" t="str">
        <x:v>scholarly_gazetteer</x:v>
      </x:c>
      <x:c r="F121" s="14" t="str">
        <x:v>en</x:v>
      </x:c>
      <x:c r="G121" s="14" t="str">
        <x:v>CC BY 3.0</x:v>
      </x:c>
      <x:c r="H121" s="17" t="n">
        <x:v>46249</x:v>
      </x:c>
      <x:c r="I121" s="21" t="n">
        <x:v>200</x:v>
      </x:c>
      <x:c r="J121" s="14" t="str">
        <x:v>ok</x:v>
      </x:c>
      <x:c r="K121" s="16" t="str">
        <x:v>Phocaea. Pleiades. https://pleiades.stoa.org/places/550823 (accessed 2026-08-15).</x:v>
      </x:c>
      <x:c r="L121" s="16" t="str">
        <x:v>Pleiades record modified 2023-09-12T23:45:16Z</x:v>
      </x:c>
    </x:row>
    <x:row r="122" ht="44" customHeight="1">
      <x:c r="A122" s="14" t="str">
        <x:v>src-pleiades-550892</x:v>
      </x:c>
      <x:c r="B122" s="16" t="str">
        <x:v>https://pleiades.stoa.org/places/550892</x:v>
      </x:c>
      <x:c r="C122" s="14" t="str">
        <x:v>Smintheion</x:v>
      </x:c>
      <x:c r="D122" s="16" t="str">
        <x:v>Pleiades</x:v>
      </x:c>
      <x:c r="E122" s="14" t="str">
        <x:v>scholarly_gazetteer</x:v>
      </x:c>
      <x:c r="F122" s="14" t="str">
        <x:v>en</x:v>
      </x:c>
      <x:c r="G122" s="14" t="str">
        <x:v>CC BY 3.0</x:v>
      </x:c>
      <x:c r="H122" s="17" t="n">
        <x:v>46249</x:v>
      </x:c>
      <x:c r="I122" s="21" t="n">
        <x:v>200</x:v>
      </x:c>
      <x:c r="J122" s="14" t="str">
        <x:v>ok</x:v>
      </x:c>
      <x:c r="K122" s="16" t="str">
        <x:v>Smintheion. Pleiades. https://pleiades.stoa.org/places/550892 (accessed 2026-08-15).</x:v>
      </x:c>
      <x:c r="L122" s="16" t="str">
        <x:v>Pleiades record modified 2026-04-07T03:24:14Z</x:v>
      </x:c>
    </x:row>
    <x:row r="123" ht="44" customHeight="1">
      <x:c r="A123" s="14" t="str">
        <x:v>src-pleiades-550893</x:v>
      </x:c>
      <x:c r="B123" s="16" t="str">
        <x:v>https://pleiades.stoa.org/places/550893</x:v>
      </x:c>
      <x:c r="C123" s="14" t="str">
        <x:v>Smyrna/Eurydikeia</x:v>
      </x:c>
      <x:c r="D123" s="16" t="str">
        <x:v>Pleiades</x:v>
      </x:c>
      <x:c r="E123" s="14" t="str">
        <x:v>scholarly_gazetteer</x:v>
      </x:c>
      <x:c r="F123" s="14" t="str">
        <x:v>en</x:v>
      </x:c>
      <x:c r="G123" s="14" t="str">
        <x:v>CC BY 3.0</x:v>
      </x:c>
      <x:c r="H123" s="17" t="n">
        <x:v>46249</x:v>
      </x:c>
      <x:c r="I123" s="21" t="n">
        <x:v>200</x:v>
      </x:c>
      <x:c r="J123" s="14" t="str">
        <x:v>ok</x:v>
      </x:c>
      <x:c r="K123" s="16" t="str">
        <x:v>Smyrna/Eurydikeia. Pleiades. https://pleiades.stoa.org/places/550893 (accessed 2026-08-15).</x:v>
      </x:c>
      <x:c r="L123" s="16" t="str">
        <x:v>Pleiades record modified 2024-09-06T21:55:36Z</x:v>
      </x:c>
    </x:row>
    <x:row r="124" ht="44" customHeight="1">
      <x:c r="A124" s="14" t="str">
        <x:v>src-pleiades-550913</x:v>
      </x:c>
      <x:c r="B124" s="16" t="str">
        <x:v>https://pleiades.stoa.org/places/550913</x:v>
      </x:c>
      <x:c r="C124" s="14" t="str">
        <x:v>Teos</x:v>
      </x:c>
      <x:c r="D124" s="16" t="str">
        <x:v>Pleiades</x:v>
      </x:c>
      <x:c r="E124" s="14" t="str">
        <x:v>scholarly_gazetteer</x:v>
      </x:c>
      <x:c r="F124" s="14" t="str">
        <x:v>en</x:v>
      </x:c>
      <x:c r="G124" s="14" t="str">
        <x:v>CC BY 3.0</x:v>
      </x:c>
      <x:c r="H124" s="17" t="n">
        <x:v>46249</x:v>
      </x:c>
      <x:c r="I124" s="21" t="n">
        <x:v>200</x:v>
      </x:c>
      <x:c r="J124" s="14" t="str">
        <x:v>ok</x:v>
      </x:c>
      <x:c r="K124" s="16" t="str">
        <x:v>Teos. Pleiades. https://pleiades.stoa.org/places/550913 (accessed 2026-08-15).</x:v>
      </x:c>
      <x:c r="L124" s="16" t="str">
        <x:v>Pleiades record modified 2024-09-21T00:57:25Z</x:v>
      </x:c>
    </x:row>
    <x:row r="125" ht="44" customHeight="1">
      <x:c r="A125" s="14" t="str">
        <x:v>src-pleiades-559217802</x:v>
      </x:c>
      <x:c r="B125" s="16" t="str">
        <x:v>https://pleiades.stoa.org/places/559217802</x:v>
      </x:c>
      <x:c r="C125" s="14" t="str">
        <x:v>Iuktas</x:v>
      </x:c>
      <x:c r="D125" s="16" t="str">
        <x:v>Pleiades</x:v>
      </x:c>
      <x:c r="E125" s="14" t="str">
        <x:v>scholarly_gazetteer</x:v>
      </x:c>
      <x:c r="F125" s="14" t="str">
        <x:v>en</x:v>
      </x:c>
      <x:c r="G125" s="14" t="str">
        <x:v>CC BY 3.0</x:v>
      </x:c>
      <x:c r="H125" s="17" t="n">
        <x:v>46249</x:v>
      </x:c>
      <x:c r="I125" s="21" t="n">
        <x:v>200</x:v>
      </x:c>
      <x:c r="J125" s="14" t="str">
        <x:v>ok</x:v>
      </x:c>
      <x:c r="K125" s="16" t="str">
        <x:v>Iuktas. Pleiades. https://pleiades.stoa.org/places/559217802 (accessed 2026-08-15).</x:v>
      </x:c>
      <x:c r="L125" s="16" t="str">
        <x:v>Pleiades record modified 2025-11-12T12:49:31Z</x:v>
      </x:c>
    </x:row>
    <x:row r="126" ht="44" customHeight="1">
      <x:c r="A126" s="14" t="str">
        <x:v>src-pleiades-570106</x:v>
      </x:c>
      <x:c r="B126" s="16" t="str">
        <x:v>https://pleiades.stoa.org/places/570106</x:v>
      </x:c>
      <x:c r="C126" s="14" t="str">
        <x:v>Argos</x:v>
      </x:c>
      <x:c r="D126" s="16" t="str">
        <x:v>Pleiades</x:v>
      </x:c>
      <x:c r="E126" s="14" t="str">
        <x:v>scholarly_gazetteer</x:v>
      </x:c>
      <x:c r="F126" s="14" t="str">
        <x:v>en</x:v>
      </x:c>
      <x:c r="G126" s="14" t="str">
        <x:v>CC BY 3.0</x:v>
      </x:c>
      <x:c r="H126" s="17" t="n">
        <x:v>46249</x:v>
      </x:c>
      <x:c r="I126" s="21" t="n">
        <x:v>200</x:v>
      </x:c>
      <x:c r="J126" s="14" t="str">
        <x:v>ok</x:v>
      </x:c>
      <x:c r="K126" s="16" t="str">
        <x:v>Argos. Pleiades. https://pleiades.stoa.org/places/570106 (accessed 2026-08-15).</x:v>
      </x:c>
      <x:c r="L126" s="16" t="str">
        <x:v>Pleiades record modified 2026-05-12T21:03:39Z</x:v>
      </x:c>
    </x:row>
    <x:row r="127" ht="44" customHeight="1">
      <x:c r="A127" s="14" t="str">
        <x:v>src-pleiades-570127</x:v>
      </x:c>
      <x:c r="B127" s="16" t="str">
        <x:v>https://pleiades.stoa.org/places/570127</x:v>
      </x:c>
      <x:c r="C127" s="14" t="str">
        <x:v>Sanctuary of Asklepios at Epidauros</x:v>
      </x:c>
      <x:c r="D127" s="16" t="str">
        <x:v>Pleiades</x:v>
      </x:c>
      <x:c r="E127" s="14" t="str">
        <x:v>scholarly_gazetteer</x:v>
      </x:c>
      <x:c r="F127" s="14" t="str">
        <x:v>en</x:v>
      </x:c>
      <x:c r="G127" s="14" t="str">
        <x:v>CC BY 3.0</x:v>
      </x:c>
      <x:c r="H127" s="17" t="n">
        <x:v>46249</x:v>
      </x:c>
      <x:c r="I127" s="21" t="n">
        <x:v>200</x:v>
      </x:c>
      <x:c r="J127" s="14" t="str">
        <x:v>ok</x:v>
      </x:c>
      <x:c r="K127" s="16" t="str">
        <x:v>Sanctuary of Asklepios at Epidauros. Pleiades. https://pleiades.stoa.org/places/570127 (accessed 2026-08-15).</x:v>
      </x:c>
      <x:c r="L127" s="16" t="str">
        <x:v>Pleiades record modified 2026-06-29T17:57:04Z</x:v>
      </x:c>
    </x:row>
    <x:row r="128" ht="44" customHeight="1">
      <x:c r="A128" s="14" t="str">
        <x:v>src-pleiades-570148</x:v>
      </x:c>
      <x:c r="B128" s="16" t="str">
        <x:v>https://pleiades.stoa.org/places/570148</x:v>
      </x:c>
      <x:c r="C128" s="14" t="str">
        <x:v>Bassai</x:v>
      </x:c>
      <x:c r="D128" s="16" t="str">
        <x:v>Pleiades</x:v>
      </x:c>
      <x:c r="E128" s="14" t="str">
        <x:v>scholarly_gazetteer</x:v>
      </x:c>
      <x:c r="F128" s="14" t="str">
        <x:v>en</x:v>
      </x:c>
      <x:c r="G128" s="14" t="str">
        <x:v>CC BY 3.0</x:v>
      </x:c>
      <x:c r="H128" s="17" t="n">
        <x:v>46249</x:v>
      </x:c>
      <x:c r="I128" s="21" t="n">
        <x:v>200</x:v>
      </x:c>
      <x:c r="J128" s="14" t="str">
        <x:v>ok</x:v>
      </x:c>
      <x:c r="K128" s="16" t="str">
        <x:v>Bassai. Pleiades. https://pleiades.stoa.org/places/570148 (accessed 2026-08-15).</x:v>
      </x:c>
      <x:c r="L128" s="16" t="str">
        <x:v>Pleiades record modified 2026-08-08T18:04:32Z</x:v>
      </x:c>
    </x:row>
    <x:row r="129" ht="44" customHeight="1">
      <x:c r="A129" s="14" t="str">
        <x:v>src-pleiades-570182</x:v>
      </x:c>
      <x:c r="B129" s="16" t="str">
        <x:v>https://pleiades.stoa.org/places/570182</x:v>
      </x:c>
      <x:c r="C129" s="14" t="str">
        <x:v>Corinthus/Korinthos</x:v>
      </x:c>
      <x:c r="D129" s="16" t="str">
        <x:v>Pleiades</x:v>
      </x:c>
      <x:c r="E129" s="14" t="str">
        <x:v>scholarly_gazetteer</x:v>
      </x:c>
      <x:c r="F129" s="14" t="str">
        <x:v>en</x:v>
      </x:c>
      <x:c r="G129" s="14" t="str">
        <x:v>CC BY 3.0</x:v>
      </x:c>
      <x:c r="H129" s="17" t="n">
        <x:v>46249</x:v>
      </x:c>
      <x:c r="I129" s="21" t="n">
        <x:v>200</x:v>
      </x:c>
      <x:c r="J129" s="14" t="str">
        <x:v>ok</x:v>
      </x:c>
      <x:c r="K129" s="16" t="str">
        <x:v>Corinthus/Korinthos. Pleiades. https://pleiades.stoa.org/places/570182 (accessed 2026-08-15).</x:v>
      </x:c>
      <x:c r="L129" s="16" t="str">
        <x:v>Pleiades record modified 2026-02-09T03:04:08Z</x:v>
      </x:c>
    </x:row>
    <x:row r="130" ht="44" customHeight="1">
      <x:c r="A130" s="14" t="str">
        <x:v>src-pleiades-570228</x:v>
      </x:c>
      <x:c r="B130" s="16" t="str">
        <x:v>https://pleiades.stoa.org/places/570228</x:v>
      </x:c>
      <x:c r="C130" s="14" t="str">
        <x:v>Epidauros</x:v>
      </x:c>
      <x:c r="D130" s="16" t="str">
        <x:v>Pleiades</x:v>
      </x:c>
      <x:c r="E130" s="14" t="str">
        <x:v>scholarly_gazetteer</x:v>
      </x:c>
      <x:c r="F130" s="14" t="str">
        <x:v>en</x:v>
      </x:c>
      <x:c r="G130" s="14" t="str">
        <x:v>CC BY 3.0</x:v>
      </x:c>
      <x:c r="H130" s="17" t="n">
        <x:v>46249</x:v>
      </x:c>
      <x:c r="I130" s="21" t="n">
        <x:v>200</x:v>
      </x:c>
      <x:c r="J130" s="14" t="str">
        <x:v>ok</x:v>
      </x:c>
      <x:c r="K130" s="16" t="str">
        <x:v>Epidauros. Pleiades. https://pleiades.stoa.org/places/570228 (accessed 2026-08-15).</x:v>
      </x:c>
      <x:c r="L130" s="16" t="str">
        <x:v>Pleiades record modified 2024-06-01T16:22:42Z</x:v>
      </x:c>
    </x:row>
    <x:row r="131" ht="44" customHeight="1">
      <x:c r="A131" s="14" t="str">
        <x:v>src-pleiades-570288</x:v>
      </x:c>
      <x:c r="B131" s="16" t="str">
        <x:v>https://pleiades.stoa.org/places/570288</x:v>
      </x:c>
      <x:c r="C131" s="14" t="str">
        <x:v>Heraion</x:v>
      </x:c>
      <x:c r="D131" s="16" t="str">
        <x:v>Pleiades</x:v>
      </x:c>
      <x:c r="E131" s="14" t="str">
        <x:v>scholarly_gazetteer</x:v>
      </x:c>
      <x:c r="F131" s="14" t="str">
        <x:v>en</x:v>
      </x:c>
      <x:c r="G131" s="14" t="str">
        <x:v>CC BY 3.0</x:v>
      </x:c>
      <x:c r="H131" s="17" t="n">
        <x:v>46249</x:v>
      </x:c>
      <x:c r="I131" s="21" t="n">
        <x:v>200</x:v>
      </x:c>
      <x:c r="J131" s="14" t="str">
        <x:v>ok</x:v>
      </x:c>
      <x:c r="K131" s="16" t="str">
        <x:v>Heraion. Pleiades. https://pleiades.stoa.org/places/570288 (accessed 2026-08-15).</x:v>
      </x:c>
      <x:c r="L131" s="16" t="str">
        <x:v>Pleiades record modified 2025-12-28T19:26:18Z</x:v>
      </x:c>
    </x:row>
    <x:row r="132" ht="44" customHeight="1">
      <x:c r="A132" s="14" t="str">
        <x:v>src-pleiades-570289</x:v>
      </x:c>
      <x:c r="B132" s="16" t="str">
        <x:v>https://pleiades.stoa.org/places/570289</x:v>
      </x:c>
      <x:c r="C132" s="14" t="str">
        <x:v>Heraion (Argolis)</x:v>
      </x:c>
      <x:c r="D132" s="16" t="str">
        <x:v>Pleiades</x:v>
      </x:c>
      <x:c r="E132" s="14" t="str">
        <x:v>scholarly_gazetteer</x:v>
      </x:c>
      <x:c r="F132" s="14" t="str">
        <x:v>en</x:v>
      </x:c>
      <x:c r="G132" s="14" t="str">
        <x:v>CC BY 3.0</x:v>
      </x:c>
      <x:c r="H132" s="17" t="n">
        <x:v>46249</x:v>
      </x:c>
      <x:c r="I132" s="21" t="n">
        <x:v>200</x:v>
      </x:c>
      <x:c r="J132" s="14" t="str">
        <x:v>ok</x:v>
      </x:c>
      <x:c r="K132" s="16" t="str">
        <x:v>Heraion (Argolis). Pleiades. https://pleiades.stoa.org/places/570289 (accessed 2026-08-15).</x:v>
      </x:c>
      <x:c r="L132" s="16" t="str">
        <x:v>Pleiades record modified 2026-03-08T17:46:25Z</x:v>
      </x:c>
    </x:row>
    <x:row r="133" ht="44" customHeight="1">
      <x:c r="A133" s="14" t="str">
        <x:v>src-pleiades-570316</x:v>
      </x:c>
      <x:c r="B133" s="16" t="str">
        <x:v>https://pleiades.stoa.org/places/570316</x:v>
      </x:c>
      <x:c r="C133" s="14" t="str">
        <x:v>Isthmia</x:v>
      </x:c>
      <x:c r="D133" s="16" t="str">
        <x:v>Pleiades</x:v>
      </x:c>
      <x:c r="E133" s="14" t="str">
        <x:v>scholarly_gazetteer</x:v>
      </x:c>
      <x:c r="F133" s="14" t="str">
        <x:v>en</x:v>
      </x:c>
      <x:c r="G133" s="14" t="str">
        <x:v>CC BY 3.0</x:v>
      </x:c>
      <x:c r="H133" s="17" t="n">
        <x:v>46249</x:v>
      </x:c>
      <x:c r="I133" s="21" t="n">
        <x:v>200</x:v>
      </x:c>
      <x:c r="J133" s="14" t="str">
        <x:v>ok</x:v>
      </x:c>
      <x:c r="K133" s="16" t="str">
        <x:v>Isthmia. Pleiades. https://pleiades.stoa.org/places/570316 (accessed 2026-08-15).</x:v>
      </x:c>
      <x:c r="L133" s="16" t="str">
        <x:v>Pleiades record modified 2026-07-06T17:22:39Z</x:v>
      </x:c>
    </x:row>
    <x:row r="134" ht="44" customHeight="1">
      <x:c r="A134" s="14" t="str">
        <x:v>src-pleiades-570459</x:v>
      </x:c>
      <x:c r="B134" s="16" t="str">
        <x:v>https://pleiades.stoa.org/places/570459</x:v>
      </x:c>
      <x:c r="C134" s="14" t="str">
        <x:v>Mantineia/Antigoneia</x:v>
      </x:c>
      <x:c r="D134" s="16" t="str">
        <x:v>Pleiades</x:v>
      </x:c>
      <x:c r="E134" s="14" t="str">
        <x:v>scholarly_gazetteer</x:v>
      </x:c>
      <x:c r="F134" s="14" t="str">
        <x:v>en</x:v>
      </x:c>
      <x:c r="G134" s="14" t="str">
        <x:v>CC BY 3.0</x:v>
      </x:c>
      <x:c r="H134" s="17" t="n">
        <x:v>46249</x:v>
      </x:c>
      <x:c r="I134" s="21" t="n">
        <x:v>200</x:v>
      </x:c>
      <x:c r="J134" s="14" t="str">
        <x:v>ok</x:v>
      </x:c>
      <x:c r="K134" s="16" t="str">
        <x:v>Mantineia/Antigoneia. Pleiades. https://pleiades.stoa.org/places/570459 (accessed 2026-08-15).</x:v>
      </x:c>
      <x:c r="L134" s="16" t="str">
        <x:v>Pleiades record modified 2024-02-05T16:49:39Z</x:v>
      </x:c>
    </x:row>
    <x:row r="135" ht="44" customHeight="1">
      <x:c r="A135" s="14" t="str">
        <x:v>src-pleiades-570467</x:v>
      </x:c>
      <x:c r="B135" s="16" t="str">
        <x:v>https://pleiades.stoa.org/places/570467</x:v>
      </x:c>
      <x:c r="C135" s="14" t="str">
        <x:v>Megalopolis</x:v>
      </x:c>
      <x:c r="D135" s="16" t="str">
        <x:v>Pleiades</x:v>
      </x:c>
      <x:c r="E135" s="14" t="str">
        <x:v>scholarly_gazetteer</x:v>
      </x:c>
      <x:c r="F135" s="14" t="str">
        <x:v>en</x:v>
      </x:c>
      <x:c r="G135" s="14" t="str">
        <x:v>CC BY 3.0</x:v>
      </x:c>
      <x:c r="H135" s="17" t="n">
        <x:v>46249</x:v>
      </x:c>
      <x:c r="I135" s="21" t="n">
        <x:v>200</x:v>
      </x:c>
      <x:c r="J135" s="14" t="str">
        <x:v>ok</x:v>
      </x:c>
      <x:c r="K135" s="16" t="str">
        <x:v>Megalopolis. Pleiades. https://pleiades.stoa.org/places/570467 (accessed 2026-08-15).</x:v>
      </x:c>
      <x:c r="L135" s="16" t="str">
        <x:v>Pleiades record modified 2026-07-24T13:05:11Z</x:v>
      </x:c>
    </x:row>
    <x:row r="136" ht="44" customHeight="1">
      <x:c r="A136" s="14" t="str">
        <x:v>src-pleiades-570468</x:v>
      </x:c>
      <x:c r="B136" s="16" t="str">
        <x:v>https://pleiades.stoa.org/places/570468</x:v>
      </x:c>
      <x:c r="C136" s="14" t="str">
        <x:v>Megara</x:v>
      </x:c>
      <x:c r="D136" s="16" t="str">
        <x:v>Pleiades</x:v>
      </x:c>
      <x:c r="E136" s="14" t="str">
        <x:v>scholarly_gazetteer</x:v>
      </x:c>
      <x:c r="F136" s="14" t="str">
        <x:v>en</x:v>
      </x:c>
      <x:c r="G136" s="14" t="str">
        <x:v>CC BY 3.0</x:v>
      </x:c>
      <x:c r="H136" s="17" t="n">
        <x:v>46249</x:v>
      </x:c>
      <x:c r="I136" s="21" t="n">
        <x:v>200</x:v>
      </x:c>
      <x:c r="J136" s="14" t="str">
        <x:v>ok</x:v>
      </x:c>
      <x:c r="K136" s="16" t="str">
        <x:v>Megara. Pleiades. https://pleiades.stoa.org/places/570468 (accessed 2026-08-15).</x:v>
      </x:c>
      <x:c r="L136" s="16" t="str">
        <x:v>Pleiades record modified 2025-07-06T13:39:36Z</x:v>
      </x:c>
    </x:row>
    <x:row r="137" ht="44" customHeight="1">
      <x:c r="A137" s="14" t="str">
        <x:v>src-pleiades-570477</x:v>
      </x:c>
      <x:c r="B137" s="16" t="str">
        <x:v>https://pleiades.stoa.org/places/570477</x:v>
      </x:c>
      <x:c r="C137" s="14" t="str">
        <x:v>Menelaion</x:v>
      </x:c>
      <x:c r="D137" s="16" t="str">
        <x:v>Pleiades</x:v>
      </x:c>
      <x:c r="E137" s="14" t="str">
        <x:v>scholarly_gazetteer</x:v>
      </x:c>
      <x:c r="F137" s="14" t="str">
        <x:v>en</x:v>
      </x:c>
      <x:c r="G137" s="14" t="str">
        <x:v>CC BY 3.0</x:v>
      </x:c>
      <x:c r="H137" s="17" t="n">
        <x:v>46249</x:v>
      </x:c>
      <x:c r="I137" s="21" t="n">
        <x:v>200</x:v>
      </x:c>
      <x:c r="J137" s="14" t="str">
        <x:v>ok</x:v>
      </x:c>
      <x:c r="K137" s="16" t="str">
        <x:v>Menelaion. Pleiades. https://pleiades.stoa.org/places/570477 (accessed 2026-08-15).</x:v>
      </x:c>
      <x:c r="L137" s="16" t="str">
        <x:v>Pleiades record modified 2024-03-23T15:18:48Z</x:v>
      </x:c>
    </x:row>
    <x:row r="138" ht="44" customHeight="1">
      <x:c r="A138" s="14" t="str">
        <x:v>src-pleiades-570479</x:v>
      </x:c>
      <x:c r="B138" s="16" t="str">
        <x:v>https://pleiades.stoa.org/places/570479</x:v>
      </x:c>
      <x:c r="C138" s="14" t="str">
        <x:v>Messene</x:v>
      </x:c>
      <x:c r="D138" s="16" t="str">
        <x:v>Pleiades</x:v>
      </x:c>
      <x:c r="E138" s="14" t="str">
        <x:v>scholarly_gazetteer</x:v>
      </x:c>
      <x:c r="F138" s="14" t="str">
        <x:v>en</x:v>
      </x:c>
      <x:c r="G138" s="14" t="str">
        <x:v>CC BY 3.0</x:v>
      </x:c>
      <x:c r="H138" s="17" t="n">
        <x:v>46249</x:v>
      </x:c>
      <x:c r="I138" s="21" t="n">
        <x:v>200</x:v>
      </x:c>
      <x:c r="J138" s="14" t="str">
        <x:v>ok</x:v>
      </x:c>
      <x:c r="K138" s="16" t="str">
        <x:v>Messene. Pleiades. https://pleiades.stoa.org/places/570479 (accessed 2026-08-15).</x:v>
      </x:c>
      <x:c r="L138" s="16" t="str">
        <x:v>Pleiades record modified 2026-07-24T14:21:32Z</x:v>
      </x:c>
    </x:row>
    <x:row r="139" ht="44" customHeight="1">
      <x:c r="A139" s="14" t="str">
        <x:v>src-pleiades-570504</x:v>
      </x:c>
      <x:c r="B139" s="16" t="str">
        <x:v>https://pleiades.stoa.org/places/570504</x:v>
      </x:c>
      <x:c r="C139" s="14" t="str">
        <x:v>Nemea</x:v>
      </x:c>
      <x:c r="D139" s="16" t="str">
        <x:v>Pleiades</x:v>
      </x:c>
      <x:c r="E139" s="14" t="str">
        <x:v>scholarly_gazetteer</x:v>
      </x:c>
      <x:c r="F139" s="14" t="str">
        <x:v>en</x:v>
      </x:c>
      <x:c r="G139" s="14" t="str">
        <x:v>CC BY 3.0</x:v>
      </x:c>
      <x:c r="H139" s="17" t="n">
        <x:v>46249</x:v>
      </x:c>
      <x:c r="I139" s="21" t="n">
        <x:v>200</x:v>
      </x:c>
      <x:c r="J139" s="14" t="str">
        <x:v>ok</x:v>
      </x:c>
      <x:c r="K139" s="16" t="str">
        <x:v>Nemea. Pleiades. https://pleiades.stoa.org/places/570504 (accessed 2026-08-15).</x:v>
      </x:c>
      <x:c r="L139" s="16" t="str">
        <x:v>Pleiades record modified 2024-06-05T18:52:36Z</x:v>
      </x:c>
    </x:row>
    <x:row r="140" ht="44" customHeight="1">
      <x:c r="A140" s="14" t="str">
        <x:v>src-pleiades-570531</x:v>
      </x:c>
      <x:c r="B140" s="16" t="str">
        <x:v>https://pleiades.stoa.org/places/570531</x:v>
      </x:c>
      <x:c r="C140" s="14" t="str">
        <x:v>Olympia</x:v>
      </x:c>
      <x:c r="D140" s="16" t="str">
        <x:v>Pleiades</x:v>
      </x:c>
      <x:c r="E140" s="14" t="str">
        <x:v>scholarly_gazetteer</x:v>
      </x:c>
      <x:c r="F140" s="14" t="str">
        <x:v>en</x:v>
      </x:c>
      <x:c r="G140" s="14" t="str">
        <x:v>CC BY 3.0</x:v>
      </x:c>
      <x:c r="H140" s="17" t="n">
        <x:v>46249</x:v>
      </x:c>
      <x:c r="I140" s="21" t="n">
        <x:v>200</x:v>
      </x:c>
      <x:c r="J140" s="14" t="str">
        <x:v>ok</x:v>
      </x:c>
      <x:c r="K140" s="16" t="str">
        <x:v>Olympia. Pleiades. https://pleiades.stoa.org/places/570531 (accessed 2026-08-15).</x:v>
      </x:c>
      <x:c r="L140" s="16" t="str">
        <x:v>Pleiades record modified 2026-07-19T01:01:51Z</x:v>
      </x:c>
    </x:row>
    <x:row r="141" ht="44" customHeight="1">
      <x:c r="A141" s="14" t="str">
        <x:v>src-pleiades-570567</x:v>
      </x:c>
      <x:c r="B141" s="16" t="str">
        <x:v>https://pleiades.stoa.org/places/570567</x:v>
      </x:c>
      <x:c r="C141" s="14" t="str">
        <x:v>Patra(e)</x:v>
      </x:c>
      <x:c r="D141" s="16" t="str">
        <x:v>Pleiades</x:v>
      </x:c>
      <x:c r="E141" s="14" t="str">
        <x:v>scholarly_gazetteer</x:v>
      </x:c>
      <x:c r="F141" s="14" t="str">
        <x:v>en</x:v>
      </x:c>
      <x:c r="G141" s="14" t="str">
        <x:v>CC BY 3.0</x:v>
      </x:c>
      <x:c r="H141" s="17" t="n">
        <x:v>46249</x:v>
      </x:c>
      <x:c r="I141" s="21" t="n">
        <x:v>200</x:v>
      </x:c>
      <x:c r="J141" s="14" t="str">
        <x:v>ok</x:v>
      </x:c>
      <x:c r="K141" s="16" t="str">
        <x:v>Patra(e). Pleiades. https://pleiades.stoa.org/places/570567 (accessed 2026-08-15).</x:v>
      </x:c>
      <x:c r="L141" s="16" t="str">
        <x:v>Pleiades record modified 2024-03-22T10:06:47Z</x:v>
      </x:c>
    </x:row>
    <x:row r="142" ht="44" customHeight="1">
      <x:c r="A142" s="14" t="str">
        <x:v>src-pleiades-570668</x:v>
      </x:c>
      <x:c r="B142" s="16" t="str">
        <x:v>https://pleiades.stoa.org/places/570668</x:v>
      </x:c>
      <x:c r="C142" s="14" t="str">
        <x:v>Sicyon/Demetrias</x:v>
      </x:c>
      <x:c r="D142" s="16" t="str">
        <x:v>Pleiades</x:v>
      </x:c>
      <x:c r="E142" s="14" t="str">
        <x:v>scholarly_gazetteer</x:v>
      </x:c>
      <x:c r="F142" s="14" t="str">
        <x:v>en</x:v>
      </x:c>
      <x:c r="G142" s="14" t="str">
        <x:v>CC BY 3.0</x:v>
      </x:c>
      <x:c r="H142" s="17" t="n">
        <x:v>46249</x:v>
      </x:c>
      <x:c r="I142" s="21" t="n">
        <x:v>200</x:v>
      </x:c>
      <x:c r="J142" s="14" t="str">
        <x:v>ok</x:v>
      </x:c>
      <x:c r="K142" s="16" t="str">
        <x:v>Sicyon/Demetrias. Pleiades. https://pleiades.stoa.org/places/570668 (accessed 2026-08-15).</x:v>
      </x:c>
      <x:c r="L142" s="16" t="str">
        <x:v>Pleiades record modified 2025-07-15T03:33:20Z</x:v>
      </x:c>
    </x:row>
    <x:row r="143" ht="44" customHeight="1">
      <x:c r="A143" s="14" t="str">
        <x:v>src-pleiades-570685</x:v>
      </x:c>
      <x:c r="B143" s="16" t="str">
        <x:v>https://pleiades.stoa.org/places/570685</x:v>
      </x:c>
      <x:c r="C143" s="14" t="str">
        <x:v>Sparta</x:v>
      </x:c>
      <x:c r="D143" s="16" t="str">
        <x:v>Pleiades</x:v>
      </x:c>
      <x:c r="E143" s="14" t="str">
        <x:v>scholarly_gazetteer</x:v>
      </x:c>
      <x:c r="F143" s="14" t="str">
        <x:v>en</x:v>
      </x:c>
      <x:c r="G143" s="14" t="str">
        <x:v>CC BY 3.0</x:v>
      </x:c>
      <x:c r="H143" s="17" t="n">
        <x:v>46249</x:v>
      </x:c>
      <x:c r="I143" s="21" t="n">
        <x:v>200</x:v>
      </x:c>
      <x:c r="J143" s="14" t="str">
        <x:v>ok</x:v>
      </x:c>
      <x:c r="K143" s="16" t="str">
        <x:v>Sparta. Pleiades. https://pleiades.stoa.org/places/570685 (accessed 2026-08-15).</x:v>
      </x:c>
      <x:c r="L143" s="16" t="str">
        <x:v>Pleiades record modified 2026-03-20T21:09:51Z</x:v>
      </x:c>
    </x:row>
    <x:row r="144" ht="44" customHeight="1">
      <x:c r="A144" s="14" t="str">
        <x:v>src-pleiades-570707</x:v>
      </x:c>
      <x:c r="B144" s="16" t="str">
        <x:v>https://pleiades.stoa.org/places/570707</x:v>
      </x:c>
      <x:c r="C144" s="14" t="str">
        <x:v>Tegea</x:v>
      </x:c>
      <x:c r="D144" s="16" t="str">
        <x:v>Pleiades</x:v>
      </x:c>
      <x:c r="E144" s="14" t="str">
        <x:v>scholarly_gazetteer</x:v>
      </x:c>
      <x:c r="F144" s="14" t="str">
        <x:v>en</x:v>
      </x:c>
      <x:c r="G144" s="14" t="str">
        <x:v>CC BY 3.0</x:v>
      </x:c>
      <x:c r="H144" s="17" t="n">
        <x:v>46249</x:v>
      </x:c>
      <x:c r="I144" s="21" t="n">
        <x:v>200</x:v>
      </x:c>
      <x:c r="J144" s="14" t="str">
        <x:v>ok</x:v>
      </x:c>
      <x:c r="K144" s="16" t="str">
        <x:v>Tegea. Pleiades. https://pleiades.stoa.org/places/570707 (accessed 2026-08-15).</x:v>
      </x:c>
      <x:c r="L144" s="16" t="str">
        <x:v>Pleiades record modified 2025-08-03T12:43:28Z</x:v>
      </x:c>
    </x:row>
    <x:row r="145" ht="44" customHeight="1">
      <x:c r="A145" s="14" t="str">
        <x:v>src-pleiades-570764</x:v>
      </x:c>
      <x:c r="B145" s="16" t="str">
        <x:v>https://pleiades.stoa.org/places/570764</x:v>
      </x:c>
      <x:c r="C145" s="14" t="str">
        <x:v>Sanctuary of Zeus Lykaios</x:v>
      </x:c>
      <x:c r="D145" s="16" t="str">
        <x:v>Pleiades</x:v>
      </x:c>
      <x:c r="E145" s="14" t="str">
        <x:v>scholarly_gazetteer</x:v>
      </x:c>
      <x:c r="F145" s="14" t="str">
        <x:v>en</x:v>
      </x:c>
      <x:c r="G145" s="14" t="str">
        <x:v>CC BY 3.0</x:v>
      </x:c>
      <x:c r="H145" s="17" t="n">
        <x:v>46249</x:v>
      </x:c>
      <x:c r="I145" s="21" t="n">
        <x:v>200</x:v>
      </x:c>
      <x:c r="J145" s="14" t="str">
        <x:v>ok</x:v>
      </x:c>
      <x:c r="K145" s="16" t="str">
        <x:v>Sanctuary of Zeus Lykaios. Pleiades. https://pleiades.stoa.org/places/570764 (accessed 2026-08-15).</x:v>
      </x:c>
      <x:c r="L145" s="16" t="str">
        <x:v>Pleiades record modified 2026-02-20T04:14:37Z</x:v>
      </x:c>
    </x:row>
    <x:row r="146" ht="44" customHeight="1">
      <x:c r="A146" s="14" t="str">
        <x:v>src-pleiades-579853</x:v>
      </x:c>
      <x:c r="B146" s="16" t="str">
        <x:v>https://pleiades.stoa.org/places/579853</x:v>
      </x:c>
      <x:c r="C146" s="14" t="str">
        <x:v>Aigina (settlement)</x:v>
      </x:c>
      <x:c r="D146" s="16" t="str">
        <x:v>Pleiades</x:v>
      </x:c>
      <x:c r="E146" s="14" t="str">
        <x:v>scholarly_gazetteer</x:v>
      </x:c>
      <x:c r="F146" s="14" t="str">
        <x:v>en</x:v>
      </x:c>
      <x:c r="G146" s="14" t="str">
        <x:v>CC BY 3.0</x:v>
      </x:c>
      <x:c r="H146" s="17" t="n">
        <x:v>46249</x:v>
      </x:c>
      <x:c r="I146" s="21" t="n">
        <x:v>200</x:v>
      </x:c>
      <x:c r="J146" s="14" t="str">
        <x:v>ok</x:v>
      </x:c>
      <x:c r="K146" s="16" t="str">
        <x:v>Aigina (settlement). Pleiades. https://pleiades.stoa.org/places/579853 (accessed 2026-08-15).</x:v>
      </x:c>
      <x:c r="L146" s="16" t="str">
        <x:v>Pleiades record modified 2026-07-01T20:05:27Z</x:v>
      </x:c>
    </x:row>
    <x:row r="147" ht="44" customHeight="1">
      <x:c r="A147" s="14" t="str">
        <x:v>src-pleiades-579872</x:v>
      </x:c>
      <x:c r="B147" s="16" t="str">
        <x:v>https://pleiades.stoa.org/places/579872</x:v>
      </x:c>
      <x:c r="C147" s="14" t="str">
        <x:v>Temple of Aphaia on Aegina</x:v>
      </x:c>
      <x:c r="D147" s="16" t="str">
        <x:v>Pleiades</x:v>
      </x:c>
      <x:c r="E147" s="14" t="str">
        <x:v>scholarly_gazetteer</x:v>
      </x:c>
      <x:c r="F147" s="14" t="str">
        <x:v>en</x:v>
      </x:c>
      <x:c r="G147" s="14" t="str">
        <x:v>CC BY 3.0</x:v>
      </x:c>
      <x:c r="H147" s="17" t="n">
        <x:v>46249</x:v>
      </x:c>
      <x:c r="I147" s="21" t="n">
        <x:v>200</x:v>
      </x:c>
      <x:c r="J147" s="14" t="str">
        <x:v>ok</x:v>
      </x:c>
      <x:c r="K147" s="16" t="str">
        <x:v>Temple of Aphaia on Aegina. Pleiades. https://pleiades.stoa.org/places/579872 (accessed 2026-08-15).</x:v>
      </x:c>
      <x:c r="L147" s="16" t="str">
        <x:v>Pleiades record modified 2021-03-07T19:08:45Z</x:v>
      </x:c>
    </x:row>
    <x:row r="148" ht="44" customHeight="1">
      <x:c r="A148" s="14" t="str">
        <x:v>src-pleiades-579879</x:v>
      </x:c>
      <x:c r="B148" s="16" t="str">
        <x:v>https://pleiades.stoa.org/places/579879</x:v>
      </x:c>
      <x:c r="C148" s="14" t="str">
        <x:v>Brauron/sanctuary of Artemis Brauronia</x:v>
      </x:c>
      <x:c r="D148" s="16" t="str">
        <x:v>Pleiades</x:v>
      </x:c>
      <x:c r="E148" s="14" t="str">
        <x:v>scholarly_gazetteer</x:v>
      </x:c>
      <x:c r="F148" s="14" t="str">
        <x:v>en</x:v>
      </x:c>
      <x:c r="G148" s="14" t="str">
        <x:v>CC BY 3.0</x:v>
      </x:c>
      <x:c r="H148" s="17" t="n">
        <x:v>46249</x:v>
      </x:c>
      <x:c r="I148" s="21" t="n">
        <x:v>200</x:v>
      </x:c>
      <x:c r="J148" s="14" t="str">
        <x:v>ok</x:v>
      </x:c>
      <x:c r="K148" s="16" t="str">
        <x:v>Brauron/sanctuary of Artemis Brauronia. Pleiades. https://pleiades.stoa.org/places/579879 (accessed 2026-08-15).</x:v>
      </x:c>
      <x:c r="L148" s="16" t="str">
        <x:v>Pleiades record modified 2026-03-08T15:52:09Z</x:v>
      </x:c>
    </x:row>
    <x:row r="149" ht="44" customHeight="1">
      <x:c r="A149" s="14" t="str">
        <x:v>src-pleiades-579885</x:v>
      </x:c>
      <x:c r="B149" s="16" t="str">
        <x:v>https://pleiades.stoa.org/places/579885</x:v>
      </x:c>
      <x:c r="C149" s="14" t="str">
        <x:v>Athenae</x:v>
      </x:c>
      <x:c r="D149" s="16" t="str">
        <x:v>Pleiades</x:v>
      </x:c>
      <x:c r="E149" s="14" t="str">
        <x:v>scholarly_gazetteer</x:v>
      </x:c>
      <x:c r="F149" s="14" t="str">
        <x:v>en</x:v>
      </x:c>
      <x:c r="G149" s="14" t="str">
        <x:v>CC BY 3.0</x:v>
      </x:c>
      <x:c r="H149" s="17" t="n">
        <x:v>46249</x:v>
      </x:c>
      <x:c r="I149" s="21" t="n">
        <x:v>200</x:v>
      </x:c>
      <x:c r="J149" s="14" t="str">
        <x:v>ok</x:v>
      </x:c>
      <x:c r="K149" s="16" t="str">
        <x:v>Athenae. Pleiades. https://pleiades.stoa.org/places/579885 (accessed 2026-08-15).</x:v>
      </x:c>
      <x:c r="L149" s="16" t="str">
        <x:v>Pleiades record modified 2026-08-11T13:59:57Z</x:v>
      </x:c>
    </x:row>
    <x:row r="150" ht="44" customHeight="1">
      <x:c r="A150" s="14" t="str">
        <x:v>src-pleiades-579910</x:v>
      </x:c>
      <x:c r="B150" s="16" t="str">
        <x:v>https://pleiades.stoa.org/places/579910</x:v>
      </x:c>
      <x:c r="C150" s="14" t="str">
        <x:v>Demeter Sanctuary (Eleusis)</x:v>
      </x:c>
      <x:c r="D150" s="16" t="str">
        <x:v>Pleiades</x:v>
      </x:c>
      <x:c r="E150" s="14" t="str">
        <x:v>scholarly_gazetteer</x:v>
      </x:c>
      <x:c r="F150" s="14" t="str">
        <x:v>en</x:v>
      </x:c>
      <x:c r="G150" s="14" t="str">
        <x:v>CC BY 3.0</x:v>
      </x:c>
      <x:c r="H150" s="17" t="n">
        <x:v>46249</x:v>
      </x:c>
      <x:c r="I150" s="21" t="n">
        <x:v>200</x:v>
      </x:c>
      <x:c r="J150" s="14" t="str">
        <x:v>ok</x:v>
      </x:c>
      <x:c r="K150" s="16" t="str">
        <x:v>Demeter Sanctuary (Eleusis). Pleiades. https://pleiades.stoa.org/places/579910 (accessed 2026-08-15).</x:v>
      </x:c>
      <x:c r="L150" s="16" t="str">
        <x:v>Pleiades record modified 2025-10-01T21:14:42Z</x:v>
      </x:c>
    </x:row>
    <x:row r="151" ht="44" customHeight="1">
      <x:c r="A151" s="14" t="str">
        <x:v>src-pleiades-579925</x:v>
      </x:c>
      <x:c r="B151" s="16" t="str">
        <x:v>https://pleiades.stoa.org/places/579925</x:v>
      </x:c>
      <x:c r="C151" s="14" t="str">
        <x:v>Eretria (Euboea)</x:v>
      </x:c>
      <x:c r="D151" s="16" t="str">
        <x:v>Pleiades</x:v>
      </x:c>
      <x:c r="E151" s="14" t="str">
        <x:v>scholarly_gazetteer</x:v>
      </x:c>
      <x:c r="F151" s="14" t="str">
        <x:v>en</x:v>
      </x:c>
      <x:c r="G151" s="14" t="str">
        <x:v>CC BY 3.0</x:v>
      </x:c>
      <x:c r="H151" s="17" t="n">
        <x:v>46249</x:v>
      </x:c>
      <x:c r="I151" s="21" t="n">
        <x:v>200</x:v>
      </x:c>
      <x:c r="J151" s="14" t="str">
        <x:v>ok</x:v>
      </x:c>
      <x:c r="K151" s="16" t="str">
        <x:v>Eretria (Euboea). Pleiades. https://pleiades.stoa.org/places/579925 (accessed 2026-08-15).</x:v>
      </x:c>
      <x:c r="L151" s="16" t="str">
        <x:v>Pleiades record modified 2026-04-28T20:10:11Z</x:v>
      </x:c>
    </x:row>
    <x:row r="152" ht="44" customHeight="1">
      <x:c r="A152" s="14" t="str">
        <x:v>src-pleiades-580062</x:v>
      </x:c>
      <x:c r="B152" s="16" t="str">
        <x:v>https://pleiades.stoa.org/places/580062</x:v>
      </x:c>
      <x:c r="C152" s="14" t="str">
        <x:v>Peiraieus/Piraeus</x:v>
      </x:c>
      <x:c r="D152" s="16" t="str">
        <x:v>Pleiades</x:v>
      </x:c>
      <x:c r="E152" s="14" t="str">
        <x:v>scholarly_gazetteer</x:v>
      </x:c>
      <x:c r="F152" s="14" t="str">
        <x:v>en</x:v>
      </x:c>
      <x:c r="G152" s="14" t="str">
        <x:v>CC BY 3.0</x:v>
      </x:c>
      <x:c r="H152" s="17" t="n">
        <x:v>46249</x:v>
      </x:c>
      <x:c r="I152" s="21" t="n">
        <x:v>200</x:v>
      </x:c>
      <x:c r="J152" s="14" t="str">
        <x:v>ok</x:v>
      </x:c>
      <x:c r="K152" s="16" t="str">
        <x:v>Peiraieus/Piraeus. Pleiades. https://pleiades.stoa.org/places/580062 (accessed 2026-08-15).</x:v>
      </x:c>
      <x:c r="L152" s="16" t="str">
        <x:v>Pleiades record modified 2025-07-06T01:41:00Z</x:v>
      </x:c>
    </x:row>
    <x:row r="153" ht="44" customHeight="1">
      <x:c r="A153" s="14" t="str">
        <x:v>src-pleiades-580086</x:v>
      </x:c>
      <x:c r="B153" s="16" t="str">
        <x:v>https://pleiades.stoa.org/places/580086</x:v>
      </x:c>
      <x:c r="C153" s="14" t="str">
        <x:v>Temple of Poseidon at Sounion</x:v>
      </x:c>
      <x:c r="D153" s="16" t="str">
        <x:v>Pleiades</x:v>
      </x:c>
      <x:c r="E153" s="14" t="str">
        <x:v>scholarly_gazetteer</x:v>
      </x:c>
      <x:c r="F153" s="14" t="str">
        <x:v>en</x:v>
      </x:c>
      <x:c r="G153" s="14" t="str">
        <x:v>CC BY 3.0</x:v>
      </x:c>
      <x:c r="H153" s="17" t="n">
        <x:v>46249</x:v>
      </x:c>
      <x:c r="I153" s="21" t="n">
        <x:v>200</x:v>
      </x:c>
      <x:c r="J153" s="14" t="str">
        <x:v>ok</x:v>
      </x:c>
      <x:c r="K153" s="16" t="str">
        <x:v>Temple of Poseidon at Sounion. Pleiades. https://pleiades.stoa.org/places/580086 (accessed 2026-08-15).</x:v>
      </x:c>
      <x:c r="L153" s="16" t="str">
        <x:v>Pleiades record modified 2026-08-08T18:07:12Z</x:v>
      </x:c>
    </x:row>
    <x:row r="154" ht="44" customHeight="1">
      <x:c r="A154" s="14" t="str">
        <x:v>src-pleiades-589796</x:v>
      </x:c>
      <x:c r="B154" s="16" t="str">
        <x:v>https://pleiades.stoa.org/places/589796</x:v>
      </x:c>
      <x:c r="C154" s="14" t="str">
        <x:v>Gortyn(a)</x:v>
      </x:c>
      <x:c r="D154" s="16" t="str">
        <x:v>Pleiades</x:v>
      </x:c>
      <x:c r="E154" s="14" t="str">
        <x:v>scholarly_gazetteer</x:v>
      </x:c>
      <x:c r="F154" s="14" t="str">
        <x:v>en</x:v>
      </x:c>
      <x:c r="G154" s="14" t="str">
        <x:v>CC BY 3.0</x:v>
      </x:c>
      <x:c r="H154" s="17" t="n">
        <x:v>46249</x:v>
      </x:c>
      <x:c r="I154" s="21" t="n">
        <x:v>200</x:v>
      </x:c>
      <x:c r="J154" s="14" t="str">
        <x:v>ok</x:v>
      </x:c>
      <x:c r="K154" s="16" t="str">
        <x:v>Gortyn(a). Pleiades. https://pleiades.stoa.org/places/589796 (accessed 2026-08-15).</x:v>
      </x:c>
      <x:c r="L154" s="16" t="str">
        <x:v>Pleiades record modified 2025-12-14T20:12:33Z</x:v>
      </x:c>
    </x:row>
    <x:row r="155" ht="44" customHeight="1">
      <x:c r="A155" s="14" t="str">
        <x:v>src-pleiades-589817</x:v>
      </x:c>
      <x:c r="B155" s="16" t="str">
        <x:v>https://pleiades.stoa.org/places/589817</x:v>
      </x:c>
      <x:c r="C155" s="14" t="str">
        <x:v>Idaion Antron</x:v>
      </x:c>
      <x:c r="D155" s="16" t="str">
        <x:v>Pleiades</x:v>
      </x:c>
      <x:c r="E155" s="14" t="str">
        <x:v>scholarly_gazetteer</x:v>
      </x:c>
      <x:c r="F155" s="14" t="str">
        <x:v>en</x:v>
      </x:c>
      <x:c r="G155" s="14" t="str">
        <x:v>CC BY 3.0</x:v>
      </x:c>
      <x:c r="H155" s="17" t="n">
        <x:v>46249</x:v>
      </x:c>
      <x:c r="I155" s="21" t="n">
        <x:v>200</x:v>
      </x:c>
      <x:c r="J155" s="14" t="str">
        <x:v>ok</x:v>
      </x:c>
      <x:c r="K155" s="16" t="str">
        <x:v>Idaion Antron. Pleiades. https://pleiades.stoa.org/places/589817 (accessed 2026-08-15).</x:v>
      </x:c>
      <x:c r="L155" s="16" t="str">
        <x:v>Pleiades record modified 2021-06-23T16:22:27Z</x:v>
      </x:c>
    </x:row>
    <x:row r="156" ht="44" customHeight="1">
      <x:c r="A156" s="14" t="str">
        <x:v>src-pleiades-589872</x:v>
      </x:c>
      <x:c r="B156" s="16" t="str">
        <x:v>https://pleiades.stoa.org/places/589872</x:v>
      </x:c>
      <x:c r="C156" s="14" t="str">
        <x:v>Knosos/Col. Iulia Nobilis Cnosos</x:v>
      </x:c>
      <x:c r="D156" s="16" t="str">
        <x:v>Pleiades</x:v>
      </x:c>
      <x:c r="E156" s="14" t="str">
        <x:v>scholarly_gazetteer</x:v>
      </x:c>
      <x:c r="F156" s="14" t="str">
        <x:v>en</x:v>
      </x:c>
      <x:c r="G156" s="14" t="str">
        <x:v>CC BY 3.0</x:v>
      </x:c>
      <x:c r="H156" s="17" t="n">
        <x:v>46249</x:v>
      </x:c>
      <x:c r="I156" s="21" t="n">
        <x:v>200</x:v>
      </x:c>
      <x:c r="J156" s="14" t="str">
        <x:v>ok</x:v>
      </x:c>
      <x:c r="K156" s="16" t="str">
        <x:v>Knosos/Col. Iulia Nobilis Cnosos. Pleiades. https://pleiades.stoa.org/places/589872 (accessed 2026-08-15).</x:v>
      </x:c>
      <x:c r="L156" s="16" t="str">
        <x:v>Pleiades record modified 2025-12-14T02:52:58Z</x:v>
      </x:c>
    </x:row>
    <x:row r="157" ht="44" customHeight="1">
      <x:c r="A157" s="14" t="str">
        <x:v>src-pleiades-589913</x:v>
      </x:c>
      <x:c r="B157" s="16" t="str">
        <x:v>https://pleiades.stoa.org/places/589913</x:v>
      </x:c>
      <x:c r="C157" s="14" t="str">
        <x:v>Lindos</x:v>
      </x:c>
      <x:c r="D157" s="16" t="str">
        <x:v>Pleiades</x:v>
      </x:c>
      <x:c r="E157" s="14" t="str">
        <x:v>scholarly_gazetteer</x:v>
      </x:c>
      <x:c r="F157" s="14" t="str">
        <x:v>en</x:v>
      </x:c>
      <x:c r="G157" s="14" t="str">
        <x:v>CC BY 3.0</x:v>
      </x:c>
      <x:c r="H157" s="17" t="n">
        <x:v>46249</x:v>
      </x:c>
      <x:c r="I157" s="21" t="n">
        <x:v>200</x:v>
      </x:c>
      <x:c r="J157" s="14" t="str">
        <x:v>ok</x:v>
      </x:c>
      <x:c r="K157" s="16" t="str">
        <x:v>Lindos. Pleiades. https://pleiades.stoa.org/places/589913 (accessed 2026-08-15).</x:v>
      </x:c>
      <x:c r="L157" s="16" t="str">
        <x:v>Pleiades record modified 2023-09-27T16:06:15Z</x:v>
      </x:c>
    </x:row>
    <x:row r="158" ht="44" customHeight="1">
      <x:c r="A158" s="14" t="str">
        <x:v>src-pleiades-590006</x:v>
      </x:c>
      <x:c r="B158" s="16" t="str">
        <x:v>https://pleiades.stoa.org/places/590006</x:v>
      </x:c>
      <x:c r="C158" s="14" t="str">
        <x:v>Temple of Poseidon and Amphitrite on Tenos</x:v>
      </x:c>
      <x:c r="D158" s="16" t="str">
        <x:v>Pleiades</x:v>
      </x:c>
      <x:c r="E158" s="14" t="str">
        <x:v>scholarly_gazetteer</x:v>
      </x:c>
      <x:c r="F158" s="14" t="str">
        <x:v>en</x:v>
      </x:c>
      <x:c r="G158" s="14" t="str">
        <x:v>CC BY 3.0</x:v>
      </x:c>
      <x:c r="H158" s="17" t="n">
        <x:v>46249</x:v>
      </x:c>
      <x:c r="I158" s="21" t="n">
        <x:v>200</x:v>
      </x:c>
      <x:c r="J158" s="14" t="str">
        <x:v>ok</x:v>
      </x:c>
      <x:c r="K158" s="16" t="str">
        <x:v>Temple of Poseidon and Amphitrite on Tenos. Pleiades. https://pleiades.stoa.org/places/590006 (accessed 2026-08-15).</x:v>
      </x:c>
      <x:c r="L158" s="16" t="str">
        <x:v>Pleiades record modified 2025-10-14T22:37:27Z</x:v>
      </x:c>
    </x:row>
    <x:row r="159" ht="44" customHeight="1">
      <x:c r="A159" s="14" t="str">
        <x:v>src-pleiades-590030</x:v>
      </x:c>
      <x:c r="B159" s="16" t="str">
        <x:v>https://pleiades.stoa.org/places/590030</x:v>
      </x:c>
      <x:c r="C159" s="14" t="str">
        <x:v>Rhodos (settlement)</x:v>
      </x:c>
      <x:c r="D159" s="16" t="str">
        <x:v>Pleiades</x:v>
      </x:c>
      <x:c r="E159" s="14" t="str">
        <x:v>scholarly_gazetteer</x:v>
      </x:c>
      <x:c r="F159" s="14" t="str">
        <x:v>en</x:v>
      </x:c>
      <x:c r="G159" s="14" t="str">
        <x:v>CC BY 3.0</x:v>
      </x:c>
      <x:c r="H159" s="17" t="n">
        <x:v>46249</x:v>
      </x:c>
      <x:c r="I159" s="21" t="n">
        <x:v>200</x:v>
      </x:c>
      <x:c r="J159" s="14" t="str">
        <x:v>ok</x:v>
      </x:c>
      <x:c r="K159" s="16" t="str">
        <x:v>Rhodos (settlement). Pleiades. https://pleiades.stoa.org/places/590030 (accessed 2026-08-15).</x:v>
      </x:c>
      <x:c r="L159" s="16" t="str">
        <x:v>Pleiades record modified 2025-06-04T07:05:14Z</x:v>
      </x:c>
    </x:row>
    <x:row r="160" ht="44" customHeight="1">
      <x:c r="A160" s="14" t="str">
        <x:v>src-pleiades-590099</x:v>
      </x:c>
      <x:c r="B160" s="16" t="str">
        <x:v>https://pleiades.stoa.org/places/590099</x:v>
      </x:c>
      <x:c r="C160" s="14" t="str">
        <x:v>Zeus Atabyrios (temple)</x:v>
      </x:c>
      <x:c r="D160" s="16" t="str">
        <x:v>Pleiades</x:v>
      </x:c>
      <x:c r="E160" s="14" t="str">
        <x:v>scholarly_gazetteer</x:v>
      </x:c>
      <x:c r="F160" s="14" t="str">
        <x:v>en</x:v>
      </x:c>
      <x:c r="G160" s="14" t="str">
        <x:v>CC BY 3.0</x:v>
      </x:c>
      <x:c r="H160" s="17" t="n">
        <x:v>46249</x:v>
      </x:c>
      <x:c r="I160" s="21" t="n">
        <x:v>200</x:v>
      </x:c>
      <x:c r="J160" s="14" t="str">
        <x:v>ok</x:v>
      </x:c>
      <x:c r="K160" s="16" t="str">
        <x:v>Zeus Atabyrios (temple). Pleiades. https://pleiades.stoa.org/places/590099 (accessed 2026-08-15).</x:v>
      </x:c>
      <x:c r="L160" s="16" t="str">
        <x:v>Pleiades record modified 2024-12-03T15:31:47Z</x:v>
      </x:c>
    </x:row>
    <x:row r="161" ht="44" customHeight="1">
      <x:c r="A161" s="14" t="str">
        <x:v>src-pleiades-599506</x:v>
      </x:c>
      <x:c r="B161" s="16" t="str">
        <x:v>https://pleiades.stoa.org/places/599506</x:v>
      </x:c>
      <x:c r="C161" s="14" t="str">
        <x:v>Sanctuary of Apollo on Delos</x:v>
      </x:c>
      <x:c r="D161" s="16" t="str">
        <x:v>Pleiades</x:v>
      </x:c>
      <x:c r="E161" s="14" t="str">
        <x:v>scholarly_gazetteer</x:v>
      </x:c>
      <x:c r="F161" s="14" t="str">
        <x:v>en</x:v>
      </x:c>
      <x:c r="G161" s="14" t="str">
        <x:v>CC BY 3.0</x:v>
      </x:c>
      <x:c r="H161" s="17" t="n">
        <x:v>46249</x:v>
      </x:c>
      <x:c r="I161" s="21" t="n">
        <x:v>200</x:v>
      </x:c>
      <x:c r="J161" s="14" t="str">
        <x:v>ok</x:v>
      </x:c>
      <x:c r="K161" s="16" t="str">
        <x:v>Sanctuary of Apollo on Delos. Pleiades. https://pleiades.stoa.org/places/599506 (accessed 2026-08-15).</x:v>
      </x:c>
      <x:c r="L161" s="16" t="str">
        <x:v>Pleiades record modified 2024-11-13T16:41:45Z</x:v>
      </x:c>
    </x:row>
    <x:row r="162" ht="44" customHeight="1">
      <x:c r="A162" s="14" t="str">
        <x:v>src-pleiades-599528</x:v>
      </x:c>
      <x:c r="B162" s="16" t="str">
        <x:v>https://pleiades.stoa.org/places/599528</x:v>
      </x:c>
      <x:c r="C162" s="14" t="str">
        <x:v>Asklepieion (Kos)</x:v>
      </x:c>
      <x:c r="D162" s="16" t="str">
        <x:v>Pleiades</x:v>
      </x:c>
      <x:c r="E162" s="14" t="str">
        <x:v>scholarly_gazetteer</x:v>
      </x:c>
      <x:c r="F162" s="14" t="str">
        <x:v>en</x:v>
      </x:c>
      <x:c r="G162" s="14" t="str">
        <x:v>CC BY 3.0</x:v>
      </x:c>
      <x:c r="H162" s="17" t="n">
        <x:v>46249</x:v>
      </x:c>
      <x:c r="I162" s="21" t="n">
        <x:v>200</x:v>
      </x:c>
      <x:c r="J162" s="14" t="str">
        <x:v>ok</x:v>
      </x:c>
      <x:c r="K162" s="16" t="str">
        <x:v>Asklepieion (Kos). Pleiades. https://pleiades.stoa.org/places/599528 (accessed 2026-08-15).</x:v>
      </x:c>
      <x:c r="L162" s="16" t="str">
        <x:v>Pleiades record modified 2024-10-15T20:30:12Z</x:v>
      </x:c>
    </x:row>
    <x:row r="163" ht="44" customHeight="1">
      <x:c r="A163" s="14" t="str">
        <x:v>src-pleiades-599575</x:v>
      </x:c>
      <x:c r="B163" s="16" t="str">
        <x:v>https://pleiades.stoa.org/places/599575</x:v>
      </x:c>
      <x:c r="C163" s="14" t="str">
        <x:v>Cnidus (Tekir)</x:v>
      </x:c>
      <x:c r="D163" s="16" t="str">
        <x:v>Pleiades</x:v>
      </x:c>
      <x:c r="E163" s="14" t="str">
        <x:v>scholarly_gazetteer</x:v>
      </x:c>
      <x:c r="F163" s="14" t="str">
        <x:v>en</x:v>
      </x:c>
      <x:c r="G163" s="14" t="str">
        <x:v>CC BY 3.0</x:v>
      </x:c>
      <x:c r="H163" s="17" t="n">
        <x:v>46249</x:v>
      </x:c>
      <x:c r="I163" s="21" t="n">
        <x:v>200</x:v>
      </x:c>
      <x:c r="J163" s="14" t="str">
        <x:v>ok</x:v>
      </x:c>
      <x:c r="K163" s="16" t="str">
        <x:v>Cnidus (Tekir). Pleiades. https://pleiades.stoa.org/places/599575 (accessed 2026-08-15).</x:v>
      </x:c>
      <x:c r="L163" s="16" t="str">
        <x:v>Pleiades record modified 2025-10-11T00:19:01Z</x:v>
      </x:c>
    </x:row>
    <x:row r="164" ht="44" customHeight="1">
      <x:c r="A164" s="14" t="str">
        <x:v>src-pleiades-599577</x:v>
      </x:c>
      <x:c r="B164" s="16" t="str">
        <x:v>https://pleiades.stoa.org/places/599577</x:v>
      </x:c>
      <x:c r="C164" s="14" t="str">
        <x:v>Colophon</x:v>
      </x:c>
      <x:c r="D164" s="16" t="str">
        <x:v>Pleiades</x:v>
      </x:c>
      <x:c r="E164" s="14" t="str">
        <x:v>scholarly_gazetteer</x:v>
      </x:c>
      <x:c r="F164" s="14" t="str">
        <x:v>en</x:v>
      </x:c>
      <x:c r="G164" s="14" t="str">
        <x:v>CC BY 3.0</x:v>
      </x:c>
      <x:c r="H164" s="17" t="n">
        <x:v>46249</x:v>
      </x:c>
      <x:c r="I164" s="21" t="n">
        <x:v>200</x:v>
      </x:c>
      <x:c r="J164" s="14" t="str">
        <x:v>ok</x:v>
      </x:c>
      <x:c r="K164" s="16" t="str">
        <x:v>Colophon. Pleiades. https://pleiades.stoa.org/places/599577 (accessed 2026-08-15).</x:v>
      </x:c>
      <x:c r="L164" s="16" t="str">
        <x:v>Pleiades record modified 2025-10-29T00:01:57Z</x:v>
      </x:c>
    </x:row>
    <x:row r="165" ht="44" customHeight="1">
      <x:c r="A165" s="14" t="str">
        <x:v>src-pleiades-599593</x:v>
      </x:c>
      <x:c r="B165" s="16" t="str">
        <x:v>https://pleiades.stoa.org/places/599593</x:v>
      </x:c>
      <x:c r="C165" s="14" t="str">
        <x:v>Didyma/Branchidai/Ioustinianopolis</x:v>
      </x:c>
      <x:c r="D165" s="16" t="str">
        <x:v>Pleiades</x:v>
      </x:c>
      <x:c r="E165" s="14" t="str">
        <x:v>scholarly_gazetteer</x:v>
      </x:c>
      <x:c r="F165" s="14" t="str">
        <x:v>en</x:v>
      </x:c>
      <x:c r="G165" s="14" t="str">
        <x:v>CC BY 3.0</x:v>
      </x:c>
      <x:c r="H165" s="17" t="n">
        <x:v>46249</x:v>
      </x:c>
      <x:c r="I165" s="21" t="n">
        <x:v>200</x:v>
      </x:c>
      <x:c r="J165" s="14" t="str">
        <x:v>ok</x:v>
      </x:c>
      <x:c r="K165" s="16" t="str">
        <x:v>Didyma/Branchidai/Ioustinianopolis. Pleiades. https://pleiades.stoa.org/places/599593 (accessed 2026-08-15).</x:v>
      </x:c>
      <x:c r="L165" s="16" t="str">
        <x:v>Pleiades record modified 2026-03-08T17:24:17Z</x:v>
      </x:c>
    </x:row>
    <x:row r="166" ht="44" customHeight="1">
      <x:c r="A166" s="14" t="str">
        <x:v>src-pleiades-599612</x:v>
      </x:c>
      <x:c r="B166" s="16" t="str">
        <x:v>https://pleiades.stoa.org/places/599612</x:v>
      </x:c>
      <x:c r="C166" s="14" t="str">
        <x:v>Ephesus/Arsinoe(ia)</x:v>
      </x:c>
      <x:c r="D166" s="16" t="str">
        <x:v>Pleiades</x:v>
      </x:c>
      <x:c r="E166" s="14" t="str">
        <x:v>scholarly_gazetteer</x:v>
      </x:c>
      <x:c r="F166" s="14" t="str">
        <x:v>en</x:v>
      </x:c>
      <x:c r="G166" s="14" t="str">
        <x:v>CC BY 3.0</x:v>
      </x:c>
      <x:c r="H166" s="17" t="n">
        <x:v>46249</x:v>
      </x:c>
      <x:c r="I166" s="21" t="n">
        <x:v>200</x:v>
      </x:c>
      <x:c r="J166" s="14" t="str">
        <x:v>ok</x:v>
      </x:c>
      <x:c r="K166" s="16" t="str">
        <x:v>Ephesus/Arsinoe(ia). Pleiades. https://pleiades.stoa.org/places/599612 (accessed 2026-08-15).</x:v>
      </x:c>
      <x:c r="L166" s="16" t="str">
        <x:v>Pleiades record modified 2026-06-09T20:41:22Z</x:v>
      </x:c>
    </x:row>
    <x:row r="167" ht="44" customHeight="1">
      <x:c r="A167" s="14" t="str">
        <x:v>src-pleiades-599631</x:v>
      </x:c>
      <x:c r="B167" s="16" t="str">
        <x:v>https://pleiades.stoa.org/places/599631</x:v>
      </x:c>
      <x:c r="C167" s="14" t="str">
        <x:v>Gyroulas</x:v>
      </x:c>
      <x:c r="D167" s="16" t="str">
        <x:v>Pleiades</x:v>
      </x:c>
      <x:c r="E167" s="14" t="str">
        <x:v>scholarly_gazetteer</x:v>
      </x:c>
      <x:c r="F167" s="14" t="str">
        <x:v>en</x:v>
      </x:c>
      <x:c r="G167" s="14" t="str">
        <x:v>CC BY 3.0</x:v>
      </x:c>
      <x:c r="H167" s="17" t="n">
        <x:v>46249</x:v>
      </x:c>
      <x:c r="I167" s="21" t="n">
        <x:v>200</x:v>
      </x:c>
      <x:c r="J167" s="14" t="str">
        <x:v>ok</x:v>
      </x:c>
      <x:c r="K167" s="16" t="str">
        <x:v>Gyroulas. Pleiades. https://pleiades.stoa.org/places/599631 (accessed 2026-08-15).</x:v>
      </x:c>
      <x:c r="L167" s="16" t="str">
        <x:v>Pleiades record modified 2020-07-16T16:02:46Z</x:v>
      </x:c>
    </x:row>
    <x:row r="168" ht="44" customHeight="1">
      <x:c r="A168" s="14" t="str">
        <x:v>src-pleiades-599636</x:v>
      </x:c>
      <x:c r="B168" s="16" t="str">
        <x:v>https://pleiades.stoa.org/places/599636</x:v>
      </x:c>
      <x:c r="C168" s="14" t="str">
        <x:v>Halicarnassus/Halikarnassos</x:v>
      </x:c>
      <x:c r="D168" s="16" t="str">
        <x:v>Pleiades</x:v>
      </x:c>
      <x:c r="E168" s="14" t="str">
        <x:v>scholarly_gazetteer</x:v>
      </x:c>
      <x:c r="F168" s="14" t="str">
        <x:v>en</x:v>
      </x:c>
      <x:c r="G168" s="14" t="str">
        <x:v>CC BY 3.0</x:v>
      </x:c>
      <x:c r="H168" s="17" t="n">
        <x:v>46249</x:v>
      </x:c>
      <x:c r="I168" s="21" t="n">
        <x:v>200</x:v>
      </x:c>
      <x:c r="J168" s="14" t="str">
        <x:v>ok</x:v>
      </x:c>
      <x:c r="K168" s="16" t="str">
        <x:v>Halicarnassus/Halikarnassos. Pleiades. https://pleiades.stoa.org/places/599636 (accessed 2026-08-15).</x:v>
      </x:c>
      <x:c r="L168" s="16" t="str">
        <x:v>Pleiades record modified 2026-01-19T19:25:49Z</x:v>
      </x:c>
    </x:row>
    <x:row r="169" ht="44" customHeight="1">
      <x:c r="A169" s="14" t="str">
        <x:v>src-pleiades-599641</x:v>
      </x:c>
      <x:c r="B169" s="16" t="str">
        <x:v>https://pleiades.stoa.org/places/599641</x:v>
      </x:c>
      <x:c r="C169" s="14" t="str">
        <x:v>Heraion</x:v>
      </x:c>
      <x:c r="D169" s="16" t="str">
        <x:v>Pleiades</x:v>
      </x:c>
      <x:c r="E169" s="14" t="str">
        <x:v>scholarly_gazetteer</x:v>
      </x:c>
      <x:c r="F169" s="14" t="str">
        <x:v>en</x:v>
      </x:c>
      <x:c r="G169" s="14" t="str">
        <x:v>CC BY 3.0</x:v>
      </x:c>
      <x:c r="H169" s="17" t="n">
        <x:v>46249</x:v>
      </x:c>
      <x:c r="I169" s="21" t="n">
        <x:v>200</x:v>
      </x:c>
      <x:c r="J169" s="14" t="str">
        <x:v>ok</x:v>
      </x:c>
      <x:c r="K169" s="16" t="str">
        <x:v>Heraion. Pleiades. https://pleiades.stoa.org/places/599641 (accessed 2026-08-15).</x:v>
      </x:c>
      <x:c r="L169" s="16" t="str">
        <x:v>Pleiades record modified 2023-11-16T19:50:58Z</x:v>
      </x:c>
    </x:row>
    <x:row r="170" ht="44" customHeight="1">
      <x:c r="A170" s="14" t="str">
        <x:v>src-pleiades-599661</x:v>
      </x:c>
      <x:c r="B170" s="16" t="str">
        <x:v>https://pleiades.stoa.org/places/599661</x:v>
      </x:c>
      <x:c r="C170" s="14" t="str">
        <x:v>Hyria (Naxos)</x:v>
      </x:c>
      <x:c r="D170" s="16" t="str">
        <x:v>Pleiades</x:v>
      </x:c>
      <x:c r="E170" s="14" t="str">
        <x:v>scholarly_gazetteer</x:v>
      </x:c>
      <x:c r="F170" s="14" t="str">
        <x:v>en</x:v>
      </x:c>
      <x:c r="G170" s="14" t="str">
        <x:v>CC BY 3.0</x:v>
      </x:c>
      <x:c r="H170" s="17" t="n">
        <x:v>46249</x:v>
      </x:c>
      <x:c r="I170" s="21" t="n">
        <x:v>200</x:v>
      </x:c>
      <x:c r="J170" s="14" t="str">
        <x:v>ok</x:v>
      </x:c>
      <x:c r="K170" s="16" t="str">
        <x:v>Hyria (Naxos). Pleiades. https://pleiades.stoa.org/places/599661 (accessed 2026-08-15).</x:v>
      </x:c>
      <x:c r="L170" s="16" t="str">
        <x:v>Pleiades record modified 2025-02-03T22:21:07Z</x:v>
      </x:c>
    </x:row>
    <x:row r="171" ht="44" customHeight="1">
      <x:c r="A171" s="14" t="str">
        <x:v>src-pleiades-599664</x:v>
      </x:c>
      <x:c r="B171" s="16" t="str">
        <x:v>https://pleiades.stoa.org/places/599664</x:v>
      </x:c>
      <x:c r="C171" s="14" t="str">
        <x:v>Iasos</x:v>
      </x:c>
      <x:c r="D171" s="16" t="str">
        <x:v>Pleiades</x:v>
      </x:c>
      <x:c r="E171" s="14" t="str">
        <x:v>scholarly_gazetteer</x:v>
      </x:c>
      <x:c r="F171" s="14" t="str">
        <x:v>en</x:v>
      </x:c>
      <x:c r="G171" s="14" t="str">
        <x:v>CC BY 3.0</x:v>
      </x:c>
      <x:c r="H171" s="17" t="n">
        <x:v>46249</x:v>
      </x:c>
      <x:c r="I171" s="21" t="n">
        <x:v>200</x:v>
      </x:c>
      <x:c r="J171" s="14" t="str">
        <x:v>ok</x:v>
      </x:c>
      <x:c r="K171" s="16" t="str">
        <x:v>Iasos. Pleiades. https://pleiades.stoa.org/places/599664 (accessed 2026-08-15).</x:v>
      </x:c>
      <x:c r="L171" s="16" t="str">
        <x:v>Pleiades record modified 2026-03-17T20:26:32Z</x:v>
      </x:c>
    </x:row>
    <x:row r="172" ht="44" customHeight="1">
      <x:c r="A172" s="14" t="str">
        <x:v>src-pleiades-599719</x:v>
      </x:c>
      <x:c r="B172" s="16" t="str">
        <x:v>https://pleiades.stoa.org/places/599719</x:v>
      </x:c>
      <x:c r="C172" s="14" t="str">
        <x:v>Klaros</x:v>
      </x:c>
      <x:c r="D172" s="16" t="str">
        <x:v>Pleiades</x:v>
      </x:c>
      <x:c r="E172" s="14" t="str">
        <x:v>scholarly_gazetteer</x:v>
      </x:c>
      <x:c r="F172" s="14" t="str">
        <x:v>en</x:v>
      </x:c>
      <x:c r="G172" s="14" t="str">
        <x:v>CC BY 3.0</x:v>
      </x:c>
      <x:c r="H172" s="17" t="n">
        <x:v>46249</x:v>
      </x:c>
      <x:c r="I172" s="21" t="n">
        <x:v>200</x:v>
      </x:c>
      <x:c r="J172" s="14" t="str">
        <x:v>ok</x:v>
      </x:c>
      <x:c r="K172" s="16" t="str">
        <x:v>Klaros. Pleiades. https://pleiades.stoa.org/places/599719 (accessed 2026-08-15).</x:v>
      </x:c>
      <x:c r="L172" s="16" t="str">
        <x:v>Pleiades record modified 2024-05-24T14:51:10Z</x:v>
      </x:c>
    </x:row>
    <x:row r="173" ht="44" customHeight="1">
      <x:c r="A173" s="14" t="str">
        <x:v>src-pleiades-599728</x:v>
      </x:c>
      <x:c r="B173" s="16" t="str">
        <x:v>https://pleiades.stoa.org/places/599728</x:v>
      </x:c>
      <x:c r="C173" s="14" t="str">
        <x:v>Kos (settlement)</x:v>
      </x:c>
      <x:c r="D173" s="16" t="str">
        <x:v>Pleiades</x:v>
      </x:c>
      <x:c r="E173" s="14" t="str">
        <x:v>scholarly_gazetteer</x:v>
      </x:c>
      <x:c r="F173" s="14" t="str">
        <x:v>en</x:v>
      </x:c>
      <x:c r="G173" s="14" t="str">
        <x:v>CC BY 3.0</x:v>
      </x:c>
      <x:c r="H173" s="17" t="n">
        <x:v>46249</x:v>
      </x:c>
      <x:c r="I173" s="21" t="n">
        <x:v>200</x:v>
      </x:c>
      <x:c r="J173" s="14" t="str">
        <x:v>ok</x:v>
      </x:c>
      <x:c r="K173" s="16" t="str">
        <x:v>Kos (settlement). Pleiades. https://pleiades.stoa.org/places/599728 (accessed 2026-08-15).</x:v>
      </x:c>
      <x:c r="L173" s="16" t="str">
        <x:v>Pleiades record modified 2023-09-18T22:18:07Z</x:v>
      </x:c>
    </x:row>
    <x:row r="174" ht="44" customHeight="1">
      <x:c r="A174" s="14" t="str">
        <x:v>src-pleiades-599745</x:v>
      </x:c>
      <x:c r="B174" s="16" t="str">
        <x:v>https://pleiades.stoa.org/places/599745</x:v>
      </x:c>
      <x:c r="C174" s="14" t="str">
        <x:v>Labraunda</x:v>
      </x:c>
      <x:c r="D174" s="16" t="str">
        <x:v>Pleiades</x:v>
      </x:c>
      <x:c r="E174" s="14" t="str">
        <x:v>scholarly_gazetteer</x:v>
      </x:c>
      <x:c r="F174" s="14" t="str">
        <x:v>en</x:v>
      </x:c>
      <x:c r="G174" s="14" t="str">
        <x:v>CC BY 3.0</x:v>
      </x:c>
      <x:c r="H174" s="17" t="n">
        <x:v>46249</x:v>
      </x:c>
      <x:c r="I174" s="21" t="n">
        <x:v>200</x:v>
      </x:c>
      <x:c r="J174" s="14" t="str">
        <x:v>ok</x:v>
      </x:c>
      <x:c r="K174" s="16" t="str">
        <x:v>Labraunda. Pleiades. https://pleiades.stoa.org/places/599745 (accessed 2026-08-15).</x:v>
      </x:c>
      <x:c r="L174" s="16" t="str">
        <x:v>Pleiades record modified 2024-05-06T03:16:26Z</x:v>
      </x:c>
    </x:row>
    <x:row r="175" ht="44" customHeight="1">
      <x:c r="A175" s="14" t="str">
        <x:v>src-pleiades-599778</x:v>
      </x:c>
      <x:c r="B175" s="16" t="str">
        <x:v>https://pleiades.stoa.org/places/599778</x:v>
      </x:c>
      <x:c r="C175" s="14" t="str">
        <x:v>Magnesia ad Maeandrum/Leukophrys</x:v>
      </x:c>
      <x:c r="D175" s="16" t="str">
        <x:v>Pleiades</x:v>
      </x:c>
      <x:c r="E175" s="14" t="str">
        <x:v>scholarly_gazetteer</x:v>
      </x:c>
      <x:c r="F175" s="14" t="str">
        <x:v>en</x:v>
      </x:c>
      <x:c r="G175" s="14" t="str">
        <x:v>CC BY 3.0</x:v>
      </x:c>
      <x:c r="H175" s="17" t="n">
        <x:v>46249</x:v>
      </x:c>
      <x:c r="I175" s="21" t="n">
        <x:v>200</x:v>
      </x:c>
      <x:c r="J175" s="14" t="str">
        <x:v>ok</x:v>
      </x:c>
      <x:c r="K175" s="16" t="str">
        <x:v>Magnesia ad Maeandrum/Leukophrys. Pleiades. https://pleiades.stoa.org/places/599778 (accessed 2026-08-15).</x:v>
      </x:c>
      <x:c r="L175" s="16" t="str">
        <x:v>Pleiades record modified 2025-10-29T00:20:45Z</x:v>
      </x:c>
    </x:row>
    <x:row r="176" ht="44" customHeight="1">
      <x:c r="A176" s="14" t="str">
        <x:v>src-pleiades-599799</x:v>
      </x:c>
      <x:c r="B176" s="16" t="str">
        <x:v>https://pleiades.stoa.org/places/599799</x:v>
      </x:c>
      <x:c r="C176" s="14" t="str">
        <x:v>Miletus</x:v>
      </x:c>
      <x:c r="D176" s="16" t="str">
        <x:v>Pleiades</x:v>
      </x:c>
      <x:c r="E176" s="14" t="str">
        <x:v>scholarly_gazetteer</x:v>
      </x:c>
      <x:c r="F176" s="14" t="str">
        <x:v>en</x:v>
      </x:c>
      <x:c r="G176" s="14" t="str">
        <x:v>CC BY 3.0</x:v>
      </x:c>
      <x:c r="H176" s="17" t="n">
        <x:v>46249</x:v>
      </x:c>
      <x:c r="I176" s="21" t="n">
        <x:v>200</x:v>
      </x:c>
      <x:c r="J176" s="14" t="str">
        <x:v>ok</x:v>
      </x:c>
      <x:c r="K176" s="16" t="str">
        <x:v>Miletus. Pleiades. https://pleiades.stoa.org/places/599799 (accessed 2026-08-15).</x:v>
      </x:c>
      <x:c r="L176" s="16" t="str">
        <x:v>Pleiades record modified 2026-01-23T04:23:23Z</x:v>
      </x:c>
    </x:row>
    <x:row r="177" ht="44" customHeight="1">
      <x:c r="A177" s="14" t="str">
        <x:v>src-pleiades-599821</x:v>
      </x:c>
      <x:c r="B177" s="16" t="str">
        <x:v>https://pleiades.stoa.org/places/599821</x:v>
      </x:c>
      <x:c r="C177" s="14" t="str">
        <x:v>Naxos (settlement)</x:v>
      </x:c>
      <x:c r="D177" s="16" t="str">
        <x:v>Pleiades</x:v>
      </x:c>
      <x:c r="E177" s="14" t="str">
        <x:v>scholarly_gazetteer</x:v>
      </x:c>
      <x:c r="F177" s="14" t="str">
        <x:v>en</x:v>
      </x:c>
      <x:c r="G177" s="14" t="str">
        <x:v>CC BY 3.0</x:v>
      </x:c>
      <x:c r="H177" s="17" t="n">
        <x:v>46249</x:v>
      </x:c>
      <x:c r="I177" s="21" t="n">
        <x:v>200</x:v>
      </x:c>
      <x:c r="J177" s="14" t="str">
        <x:v>ok</x:v>
      </x:c>
      <x:c r="K177" s="16" t="str">
        <x:v>Naxos (settlement). Pleiades. https://pleiades.stoa.org/places/599821 (accessed 2026-08-15).</x:v>
      </x:c>
      <x:c r="L177" s="16" t="str">
        <x:v>Pleiades record modified 2024-09-04T20:35:51Z</x:v>
      </x:c>
    </x:row>
    <x:row r="178" ht="44" customHeight="1">
      <x:c r="A178" s="14" t="str">
        <x:v>src-pleiades-599855</x:v>
      </x:c>
      <x:c r="B178" s="16" t="str">
        <x:v>https://pleiades.stoa.org/places/599855</x:v>
      </x:c>
      <x:c r="C178" s="14" t="str">
        <x:v>Panionion</x:v>
      </x:c>
      <x:c r="D178" s="16" t="str">
        <x:v>Pleiades</x:v>
      </x:c>
      <x:c r="E178" s="14" t="str">
        <x:v>scholarly_gazetteer</x:v>
      </x:c>
      <x:c r="F178" s="14" t="str">
        <x:v>en</x:v>
      </x:c>
      <x:c r="G178" s="14" t="str">
        <x:v>CC BY 3.0</x:v>
      </x:c>
      <x:c r="H178" s="17" t="n">
        <x:v>46249</x:v>
      </x:c>
      <x:c r="I178" s="21" t="n">
        <x:v>200</x:v>
      </x:c>
      <x:c r="J178" s="14" t="str">
        <x:v>ok</x:v>
      </x:c>
      <x:c r="K178" s="16" t="str">
        <x:v>Panionion. Pleiades. https://pleiades.stoa.org/places/599855 (accessed 2026-08-15).</x:v>
      </x:c>
      <x:c r="L178" s="16" t="str">
        <x:v>Pleiades record modified 2024-03-09T00:12:20Z</x:v>
      </x:c>
    </x:row>
    <x:row r="179" ht="44" customHeight="1">
      <x:c r="A179" s="14" t="str">
        <x:v>src-pleiades-599905</x:v>
      </x:c>
      <x:c r="B179" s="16" t="str">
        <x:v>https://pleiades.stoa.org/places/599905</x:v>
      </x:c>
      <x:c r="C179" s="14" t="str">
        <x:v>Priene/‘Lince’?</x:v>
      </x:c>
      <x:c r="D179" s="16" t="str">
        <x:v>Pleiades</x:v>
      </x:c>
      <x:c r="E179" s="14" t="str">
        <x:v>scholarly_gazetteer</x:v>
      </x:c>
      <x:c r="F179" s="14" t="str">
        <x:v>en</x:v>
      </x:c>
      <x:c r="G179" s="14" t="str">
        <x:v>CC BY 3.0</x:v>
      </x:c>
      <x:c r="H179" s="17" t="n">
        <x:v>46249</x:v>
      </x:c>
      <x:c r="I179" s="21" t="n">
        <x:v>200</x:v>
      </x:c>
      <x:c r="J179" s="14" t="str">
        <x:v>ok</x:v>
      </x:c>
      <x:c r="K179" s="16" t="str">
        <x:v>Priene/‘Lince’?. Pleiades. https://pleiades.stoa.org/places/599905 (accessed 2026-08-15).</x:v>
      </x:c>
      <x:c r="L179" s="16" t="str">
        <x:v>Pleiades record modified 2026-01-23T03:50:13Z</x:v>
      </x:c>
    </x:row>
    <x:row r="180" ht="44" customHeight="1">
      <x:c r="A180" s="14" t="str">
        <x:v>src-pleiades-599925</x:v>
      </x:c>
      <x:c r="B180" s="16" t="str">
        <x:v>https://pleiades.stoa.org/places/599925</x:v>
      </x:c>
      <x:c r="C180" s="14" t="str">
        <x:v>Samos (settlement)</x:v>
      </x:c>
      <x:c r="D180" s="16" t="str">
        <x:v>Pleiades</x:v>
      </x:c>
      <x:c r="E180" s="14" t="str">
        <x:v>scholarly_gazetteer</x:v>
      </x:c>
      <x:c r="F180" s="14" t="str">
        <x:v>en</x:v>
      </x:c>
      <x:c r="G180" s="14" t="str">
        <x:v>CC BY 3.0</x:v>
      </x:c>
      <x:c r="H180" s="17" t="n">
        <x:v>46249</x:v>
      </x:c>
      <x:c r="I180" s="21" t="n">
        <x:v>200</x:v>
      </x:c>
      <x:c r="J180" s="14" t="str">
        <x:v>ok</x:v>
      </x:c>
      <x:c r="K180" s="16" t="str">
        <x:v>Samos (settlement). Pleiades. https://pleiades.stoa.org/places/599925 (accessed 2026-08-15).</x:v>
      </x:c>
      <x:c r="L180" s="16" t="str">
        <x:v>Pleiades record modified 2025-02-03T01:51:15Z</x:v>
      </x:c>
    </x:row>
    <x:row r="181" ht="44" customHeight="1">
      <x:c r="A181" s="14" t="str">
        <x:v>src-pleiades-599971</x:v>
      </x:c>
      <x:c r="B181" s="16" t="str">
        <x:v>https://pleiades.stoa.org/places/599971</x:v>
      </x:c>
      <x:c r="C181" s="14" t="str">
        <x:v>Thera</x:v>
      </x:c>
      <x:c r="D181" s="16" t="str">
        <x:v>Pleiades</x:v>
      </x:c>
      <x:c r="E181" s="14" t="str">
        <x:v>scholarly_gazetteer</x:v>
      </x:c>
      <x:c r="F181" s="14" t="str">
        <x:v>en</x:v>
      </x:c>
      <x:c r="G181" s="14" t="str">
        <x:v>CC BY 3.0</x:v>
      </x:c>
      <x:c r="H181" s="17" t="n">
        <x:v>46249</x:v>
      </x:c>
      <x:c r="I181" s="21" t="n">
        <x:v>200</x:v>
      </x:c>
      <x:c r="J181" s="14" t="str">
        <x:v>ok</x:v>
      </x:c>
      <x:c r="K181" s="16" t="str">
        <x:v>Thera. Pleiades. https://pleiades.stoa.org/places/599971 (accessed 2026-08-15).</x:v>
      </x:c>
      <x:c r="L181" s="16" t="str">
        <x:v>Pleiades record modified 2023-12-06T23:38:10Z</x:v>
      </x:c>
    </x:row>
    <x:row r="182" ht="44" customHeight="1">
      <x:c r="A182" s="14" t="str">
        <x:v>src-pleiades-638356144</x:v>
      </x:c>
      <x:c r="B182" s="16" t="str">
        <x:v>https://pleiades.stoa.org/places/638356144</x:v>
      </x:c>
      <x:c r="C182" s="14" t="str">
        <x:v>Acropolis of Athens</x:v>
      </x:c>
      <x:c r="D182" s="16" t="str">
        <x:v>Pleiades</x:v>
      </x:c>
      <x:c r="E182" s="14" t="str">
        <x:v>scholarly_gazetteer</x:v>
      </x:c>
      <x:c r="F182" s="14" t="str">
        <x:v>en</x:v>
      </x:c>
      <x:c r="G182" s="14" t="str">
        <x:v>CC BY 3.0</x:v>
      </x:c>
      <x:c r="H182" s="17" t="n">
        <x:v>46249</x:v>
      </x:c>
      <x:c r="I182" s="21" t="n">
        <x:v>200</x:v>
      </x:c>
      <x:c r="J182" s="14" t="str">
        <x:v>ok</x:v>
      </x:c>
      <x:c r="K182" s="16" t="str">
        <x:v>Acropolis of Athens. Pleiades. https://pleiades.stoa.org/places/638356144 (accessed 2026-08-15).</x:v>
      </x:c>
      <x:c r="L182" s="16" t="str">
        <x:v>Pleiades record modified 2025-03-31T20:30:36Z</x:v>
      </x:c>
    </x:row>
    <x:row r="183" ht="44" customHeight="1">
      <x:c r="A183" s="14" t="str">
        <x:v>src-pleiades-638958</x:v>
      </x:c>
      <x:c r="B183" s="16" t="str">
        <x:v>https://pleiades.stoa.org/places/638958</x:v>
      </x:c>
      <x:c r="C183" s="14" t="str">
        <x:v>Letoon</x:v>
      </x:c>
      <x:c r="D183" s="16" t="str">
        <x:v>Pleiades</x:v>
      </x:c>
      <x:c r="E183" s="14" t="str">
        <x:v>scholarly_gazetteer</x:v>
      </x:c>
      <x:c r="F183" s="14" t="str">
        <x:v>en</x:v>
      </x:c>
      <x:c r="G183" s="14" t="str">
        <x:v>CC BY 3.0</x:v>
      </x:c>
      <x:c r="H183" s="17" t="n">
        <x:v>46249</x:v>
      </x:c>
      <x:c r="I183" s="21" t="n">
        <x:v>200</x:v>
      </x:c>
      <x:c r="J183" s="14" t="str">
        <x:v>ok</x:v>
      </x:c>
      <x:c r="K183" s="16" t="str">
        <x:v>Letoon. Pleiades. https://pleiades.stoa.org/places/638958 (accessed 2026-08-15).</x:v>
      </x:c>
      <x:c r="L183" s="16" t="str">
        <x:v>Pleiades record modified 2024-03-10T14:25:23Z</x:v>
      </x:c>
    </x:row>
    <x:row r="184" ht="44" customHeight="1">
      <x:c r="A184" s="14" t="str">
        <x:v>src-pleiades-639051</x:v>
      </x:c>
      <x:c r="B184" s="16" t="str">
        <x:v>https://pleiades.stoa.org/places/639051</x:v>
      </x:c>
      <x:c r="C184" s="14" t="str">
        <x:v>Phaselis</x:v>
      </x:c>
      <x:c r="D184" s="16" t="str">
        <x:v>Pleiades</x:v>
      </x:c>
      <x:c r="E184" s="14" t="str">
        <x:v>scholarly_gazetteer</x:v>
      </x:c>
      <x:c r="F184" s="14" t="str">
        <x:v>en</x:v>
      </x:c>
      <x:c r="G184" s="14" t="str">
        <x:v>CC BY 3.0</x:v>
      </x:c>
      <x:c r="H184" s="17" t="n">
        <x:v>46249</x:v>
      </x:c>
      <x:c r="I184" s="21" t="n">
        <x:v>200</x:v>
      </x:c>
      <x:c r="J184" s="14" t="str">
        <x:v>ok</x:v>
      </x:c>
      <x:c r="K184" s="16" t="str">
        <x:v>Phaselis. Pleiades. https://pleiades.stoa.org/places/639051 (accessed 2026-08-15).</x:v>
      </x:c>
      <x:c r="L184" s="16" t="str">
        <x:v>Pleiades record modified 2020-11-07T12:17:52Z</x:v>
      </x:c>
    </x:row>
    <x:row r="185" ht="44" customHeight="1">
      <x:c r="A185" s="14" t="str">
        <x:v>src-pleiades-658381</x:v>
      </x:c>
      <x:c r="B185" s="16" t="str">
        <x:v>https://pleiades.stoa.org/places/658381</x:v>
      </x:c>
      <x:c r="C185" s="14" t="str">
        <x:v>Antiochia/Theoupolis</x:v>
      </x:c>
      <x:c r="D185" s="16" t="str">
        <x:v>Pleiades</x:v>
      </x:c>
      <x:c r="E185" s="14" t="str">
        <x:v>scholarly_gazetteer</x:v>
      </x:c>
      <x:c r="F185" s="14" t="str">
        <x:v>en</x:v>
      </x:c>
      <x:c r="G185" s="14" t="str">
        <x:v>CC BY 3.0</x:v>
      </x:c>
      <x:c r="H185" s="17" t="n">
        <x:v>46249</x:v>
      </x:c>
      <x:c r="I185" s="21" t="n">
        <x:v>200</x:v>
      </x:c>
      <x:c r="J185" s="14" t="str">
        <x:v>ok</x:v>
      </x:c>
      <x:c r="K185" s="16" t="str">
        <x:v>Antiochia/Theoupolis. Pleiades. https://pleiades.stoa.org/places/658381 (accessed 2026-08-15).</x:v>
      </x:c>
      <x:c r="L185" s="16" t="str">
        <x:v>Pleiades record modified 2026-03-30T15:28:12Z</x:v>
      </x:c>
    </x:row>
    <x:row r="186" ht="44" customHeight="1">
      <x:c r="A186" s="14" t="str">
        <x:v>src-pleiades-66376536</x:v>
      </x:c>
      <x:c r="B186" s="16" t="str">
        <x:v>https://pleiades.stoa.org/places/66376536</x:v>
      </x:c>
      <x:c r="C186" s="14" t="str">
        <x:v>Temple of Artemis at Sardis</x:v>
      </x:c>
      <x:c r="D186" s="16" t="str">
        <x:v>Pleiades</x:v>
      </x:c>
      <x:c r="E186" s="14" t="str">
        <x:v>scholarly_gazetteer</x:v>
      </x:c>
      <x:c r="F186" s="14" t="str">
        <x:v>en</x:v>
      </x:c>
      <x:c r="G186" s="14" t="str">
        <x:v>CC BY 3.0</x:v>
      </x:c>
      <x:c r="H186" s="17" t="n">
        <x:v>46249</x:v>
      </x:c>
      <x:c r="I186" s="21" t="n">
        <x:v>200</x:v>
      </x:c>
      <x:c r="J186" s="14" t="str">
        <x:v>ok</x:v>
      </x:c>
      <x:c r="K186" s="16" t="str">
        <x:v>Temple of Artemis at Sardis. Pleiades. https://pleiades.stoa.org/places/66376536 (accessed 2026-08-15).</x:v>
      </x:c>
      <x:c r="L186" s="16" t="str">
        <x:v>Pleiades record modified 2026-04-07T03:27:05Z</x:v>
      </x:c>
    </x:row>
    <x:row r="187" ht="44" customHeight="1">
      <x:c r="A187" s="14" t="str">
        <x:v>src-pleiades-707470</x:v>
      </x:c>
      <x:c r="B187" s="16" t="str">
        <x:v>https://pleiades.stoa.org/places/707470</x:v>
      </x:c>
      <x:c r="C187" s="14" t="str">
        <x:v>Aphrodite Golgia</x:v>
      </x:c>
      <x:c r="D187" s="16" t="str">
        <x:v>Pleiades</x:v>
      </x:c>
      <x:c r="E187" s="14" t="str">
        <x:v>scholarly_gazetteer</x:v>
      </x:c>
      <x:c r="F187" s="14" t="str">
        <x:v>en</x:v>
      </x:c>
      <x:c r="G187" s="14" t="str">
        <x:v>CC BY 3.0</x:v>
      </x:c>
      <x:c r="H187" s="17" t="n">
        <x:v>46249</x:v>
      </x:c>
      <x:c r="I187" s="21" t="n">
        <x:v>200</x:v>
      </x:c>
      <x:c r="J187" s="14" t="str">
        <x:v>ok</x:v>
      </x:c>
      <x:c r="K187" s="16" t="str">
        <x:v>Aphrodite Golgia. Pleiades. https://pleiades.stoa.org/places/707470 (accessed 2026-08-15).</x:v>
      </x:c>
      <x:c r="L187" s="16" t="str">
        <x:v>Pleiades record modified 2025-08-20T01:11:21Z</x:v>
      </x:c>
    </x:row>
    <x:row r="188" ht="44" customHeight="1">
      <x:c r="A188" s="14" t="str">
        <x:v>src-pleiades-707476</x:v>
      </x:c>
      <x:c r="B188" s="16" t="str">
        <x:v>https://pleiades.stoa.org/places/707476</x:v>
      </x:c>
      <x:c r="C188" s="14" t="str">
        <x:v>Apollo Hylates, T.</x:v>
      </x:c>
      <x:c r="D188" s="16" t="str">
        <x:v>Pleiades</x:v>
      </x:c>
      <x:c r="E188" s="14" t="str">
        <x:v>scholarly_gazetteer</x:v>
      </x:c>
      <x:c r="F188" s="14" t="str">
        <x:v>en</x:v>
      </x:c>
      <x:c r="G188" s="14" t="str">
        <x:v>CC BY 3.0</x:v>
      </x:c>
      <x:c r="H188" s="17" t="n">
        <x:v>46249</x:v>
      </x:c>
      <x:c r="I188" s="21" t="n">
        <x:v>200</x:v>
      </x:c>
      <x:c r="J188" s="14" t="str">
        <x:v>ok</x:v>
      </x:c>
      <x:c r="K188" s="16" t="str">
        <x:v>Apollo Hylates, T.. Pleiades. https://pleiades.stoa.org/places/707476 (accessed 2026-08-15).</x:v>
      </x:c>
      <x:c r="L188" s="16" t="str">
        <x:v>Pleiades record modified 2023-02-19T03:34:46Z</x:v>
      </x:c>
    </x:row>
    <x:row r="189" ht="44" customHeight="1">
      <x:c r="A189" s="14" t="str">
        <x:v>src-pleiades-716520</x:v>
      </x:c>
      <x:c r="B189" s="16" t="str">
        <x:v>https://pleiades.stoa.org/places/716520</x:v>
      </x:c>
      <x:c r="C189" s="14" t="str">
        <x:v>Ammon</x:v>
      </x:c>
      <x:c r="D189" s="16" t="str">
        <x:v>Pleiades</x:v>
      </x:c>
      <x:c r="E189" s="14" t="str">
        <x:v>scholarly_gazetteer</x:v>
      </x:c>
      <x:c r="F189" s="14" t="str">
        <x:v>en</x:v>
      </x:c>
      <x:c r="G189" s="14" t="str">
        <x:v>CC BY 3.0</x:v>
      </x:c>
      <x:c r="H189" s="17" t="n">
        <x:v>46249</x:v>
      </x:c>
      <x:c r="I189" s="21" t="n">
        <x:v>200</x:v>
      </x:c>
      <x:c r="J189" s="14" t="str">
        <x:v>ok</x:v>
      </x:c>
      <x:c r="K189" s="16" t="str">
        <x:v>Ammon. Pleiades. https://pleiades.stoa.org/places/716520 (accessed 2026-08-15).</x:v>
      </x:c>
      <x:c r="L189" s="16" t="str">
        <x:v>Pleiades record modified 2025-03-03T02:47:45Z</x:v>
      </x:c>
    </x:row>
    <x:row r="190" ht="44" customHeight="1">
      <x:c r="A190" s="14" t="str">
        <x:v>src-pleiades-727070</x:v>
      </x:c>
      <x:c r="B190" s="16" t="str">
        <x:v>https://pleiades.stoa.org/places/727070</x:v>
      </x:c>
      <x:c r="C190" s="14" t="str">
        <x:v>Alexandria</x:v>
      </x:c>
      <x:c r="D190" s="16" t="str">
        <x:v>Pleiades</x:v>
      </x:c>
      <x:c r="E190" s="14" t="str">
        <x:v>scholarly_gazetteer</x:v>
      </x:c>
      <x:c r="F190" s="14" t="str">
        <x:v>en</x:v>
      </x:c>
      <x:c r="G190" s="14" t="str">
        <x:v>CC BY 3.0</x:v>
      </x:c>
      <x:c r="H190" s="17" t="n">
        <x:v>46249</x:v>
      </x:c>
      <x:c r="I190" s="21" t="n">
        <x:v>500</x:v>
      </x:c>
      <x:c r="J190" s="14" t="str">
        <x:v>unavailable</x:v>
      </x:c>
      <x:c r="K190" s="16" t="str">
        <x:v>Alexandria. Pleiades. https://pleiades.stoa.org/places/727070 (accessed 2026-08-15).</x:v>
      </x:c>
      <x:c r="L190" s="16" t="str">
        <x:v>Pleiades record modified 2026-08-05T20:54:58Z; URL check: HTTP 500</x:v>
      </x:c>
    </x:row>
    <x:row r="191" ht="44" customHeight="1">
      <x:c r="A191" s="14" t="str">
        <x:v>src-pleiades-727169</x:v>
      </x:c>
      <x:c r="B191" s="16" t="str">
        <x:v>https://pleiades.stoa.org/places/727169</x:v>
      </x:c>
      <x:c r="C191" s="14" t="str">
        <x:v>Naucratis</x:v>
      </x:c>
      <x:c r="D191" s="16" t="str">
        <x:v>Pleiades</x:v>
      </x:c>
      <x:c r="E191" s="14" t="str">
        <x:v>scholarly_gazetteer</x:v>
      </x:c>
      <x:c r="F191" s="14" t="str">
        <x:v>en</x:v>
      </x:c>
      <x:c r="G191" s="14" t="str">
        <x:v>CC BY 3.0</x:v>
      </x:c>
      <x:c r="H191" s="17" t="n">
        <x:v>46249</x:v>
      </x:c>
      <x:c r="I191" s="21" t="n">
        <x:v>200</x:v>
      </x:c>
      <x:c r="J191" s="14" t="str">
        <x:v>ok</x:v>
      </x:c>
      <x:c r="K191" s="16" t="str">
        <x:v>Naucratis. Pleiades. https://pleiades.stoa.org/places/727169 (accessed 2026-08-15).</x:v>
      </x:c>
      <x:c r="L191" s="16" t="str">
        <x:v>Pleiades record modified 2024-05-18T16:11:08Z</x:v>
      </x:c>
    </x:row>
    <x:row r="192" ht="44" customHeight="1">
      <x:c r="A192" s="14" t="str">
        <x:v>src-pleiades-728329645</x:v>
      </x:c>
      <x:c r="B192" s="16" t="str">
        <x:v>https://pleiades.stoa.org/places/728329645</x:v>
      </x:c>
      <x:c r="C192" s="14" t="str">
        <x:v>Temple of Apollo at Thermos</x:v>
      </x:c>
      <x:c r="D192" s="16" t="str">
        <x:v>Pleiades</x:v>
      </x:c>
      <x:c r="E192" s="14" t="str">
        <x:v>scholarly_gazetteer</x:v>
      </x:c>
      <x:c r="F192" s="14" t="str">
        <x:v>en</x:v>
      </x:c>
      <x:c r="G192" s="14" t="str">
        <x:v>CC BY 3.0</x:v>
      </x:c>
      <x:c r="H192" s="17" t="n">
        <x:v>46249</x:v>
      </x:c>
      <x:c r="I192" s="21" t="n">
        <x:v>200</x:v>
      </x:c>
      <x:c r="J192" s="14" t="str">
        <x:v>ok</x:v>
      </x:c>
      <x:c r="K192" s="16" t="str">
        <x:v>Temple of Apollo at Thermos. Pleiades. https://pleiades.stoa.org/places/728329645 (accessed 2026-08-15).</x:v>
      </x:c>
      <x:c r="L192" s="16" t="str">
        <x:v>Pleiades record modified 2026-07-10T20:07:22Z</x:v>
      </x:c>
    </x:row>
    <x:row r="193" ht="44" customHeight="1">
      <x:c r="A193" s="14" t="str">
        <x:v>src-pleiades-73644851</x:v>
      </x:c>
      <x:c r="B193" s="16" t="str">
        <x:v>https://pleiades.stoa.org/places/73644851</x:v>
      </x:c>
      <x:c r="C193" s="14" t="str">
        <x:v>Sanctuary of Apollo</x:v>
      </x:c>
      <x:c r="D193" s="16" t="str">
        <x:v>Pleiades</x:v>
      </x:c>
      <x:c r="E193" s="14" t="str">
        <x:v>scholarly_gazetteer</x:v>
      </x:c>
      <x:c r="F193" s="14" t="str">
        <x:v>en</x:v>
      </x:c>
      <x:c r="G193" s="14" t="str">
        <x:v>CC BY 3.0</x:v>
      </x:c>
      <x:c r="H193" s="17" t="n">
        <x:v>46249</x:v>
      </x:c>
      <x:c r="I193" s="21" t="n">
        <x:v>200</x:v>
      </x:c>
      <x:c r="J193" s="14" t="str">
        <x:v>ok</x:v>
      </x:c>
      <x:c r="K193" s="16" t="str">
        <x:v>Sanctuary of Apollo. Pleiades. https://pleiades.stoa.org/places/73644851 (accessed 2026-08-15).</x:v>
      </x:c>
      <x:c r="L193" s="16" t="str">
        <x:v>Pleiades record modified 2023-09-25T17:51:41Z</x:v>
      </x:c>
    </x:row>
    <x:row r="194" ht="44" customHeight="1">
      <x:c r="A194" s="14" t="str">
        <x:v>src-pleiades-825397</x:v>
      </x:c>
      <x:c r="B194" s="16" t="str">
        <x:v>https://pleiades.stoa.org/places/825397</x:v>
      </x:c>
      <x:c r="C194" s="14" t="str">
        <x:v>Tanais</x:v>
      </x:c>
      <x:c r="D194" s="16" t="str">
        <x:v>Pleiades</x:v>
      </x:c>
      <x:c r="E194" s="14" t="str">
        <x:v>scholarly_gazetteer</x:v>
      </x:c>
      <x:c r="F194" s="14" t="str">
        <x:v>en</x:v>
      </x:c>
      <x:c r="G194" s="14" t="str">
        <x:v>CC BY 3.0</x:v>
      </x:c>
      <x:c r="H194" s="17" t="n">
        <x:v>46249</x:v>
      </x:c>
      <x:c r="I194" s="21" t="n">
        <x:v>200</x:v>
      </x:c>
      <x:c r="J194" s="14" t="str">
        <x:v>ok</x:v>
      </x:c>
      <x:c r="K194" s="16" t="str">
        <x:v>Tanais. Pleiades. https://pleiades.stoa.org/places/825397 (accessed 2026-08-15).</x:v>
      </x:c>
      <x:c r="L194" s="16" t="str">
        <x:v>Pleiades record modified 2024-12-24T20:29:20Z</x:v>
      </x:c>
    </x:row>
    <x:row r="195" ht="44" customHeight="1">
      <x:c r="A195" s="14" t="str">
        <x:v>src-pleiades-828989863</x:v>
      </x:c>
      <x:c r="B195" s="16" t="str">
        <x:v>https://pleiades.stoa.org/places/828989863</x:v>
      </x:c>
      <x:c r="C195" s="14" t="str">
        <x:v>Sanctuary of Aphrodite Paphia</x:v>
      </x:c>
      <x:c r="D195" s="16" t="str">
        <x:v>Pleiades</x:v>
      </x:c>
      <x:c r="E195" s="14" t="str">
        <x:v>scholarly_gazetteer</x:v>
      </x:c>
      <x:c r="F195" s="14" t="str">
        <x:v>en</x:v>
      </x:c>
      <x:c r="G195" s="14" t="str">
        <x:v>CC BY 3.0</x:v>
      </x:c>
      <x:c r="H195" s="17" t="n">
        <x:v>46249</x:v>
      </x:c>
      <x:c r="I195" s="21" t="n">
        <x:v>200</x:v>
      </x:c>
      <x:c r="J195" s="14" t="str">
        <x:v>ok</x:v>
      </x:c>
      <x:c r="K195" s="16" t="str">
        <x:v>Sanctuary of Aphrodite Paphia. Pleiades. https://pleiades.stoa.org/places/828989863 (accessed 2026-08-15).</x:v>
      </x:c>
      <x:c r="L195" s="16" t="str">
        <x:v>Pleiades record modified 2024-04-06T19:26:08Z</x:v>
      </x:c>
    </x:row>
    <x:row r="196" ht="44" customHeight="1">
      <x:c r="A196" s="14" t="str">
        <x:v>src-pleiades-844944</x:v>
      </x:c>
      <x:c r="B196" s="16" t="str">
        <x:v>https://pleiades.stoa.org/places/844944</x:v>
      </x:c>
      <x:c r="C196" s="14" t="str">
        <x:v>Heraclea</x:v>
      </x:c>
      <x:c r="D196" s="16" t="str">
        <x:v>Pleiades</x:v>
      </x:c>
      <x:c r="E196" s="14" t="str">
        <x:v>scholarly_gazetteer</x:v>
      </x:c>
      <x:c r="F196" s="14" t="str">
        <x:v>en</x:v>
      </x:c>
      <x:c r="G196" s="14" t="str">
        <x:v>CC BY 3.0</x:v>
      </x:c>
      <x:c r="H196" s="17" t="n">
        <x:v>46249</x:v>
      </x:c>
      <x:c r="I196" s="21" t="n">
        <x:v>200</x:v>
      </x:c>
      <x:c r="J196" s="14" t="str">
        <x:v>ok</x:v>
      </x:c>
      <x:c r="K196" s="16" t="str">
        <x:v>Heraclea. Pleiades. https://pleiades.stoa.org/places/844944 (accessed 2026-08-15).</x:v>
      </x:c>
      <x:c r="L196" s="16" t="str">
        <x:v>Pleiades record modified 2025-02-05T17:04:11Z</x:v>
      </x:c>
    </x:row>
    <x:row r="197" ht="44" customHeight="1">
      <x:c r="A197" s="14" t="str">
        <x:v>src-pleiades-854719</x:v>
      </x:c>
      <x:c r="B197" s="16" t="str">
        <x:v>https://pleiades.stoa.org/places/854719</x:v>
      </x:c>
      <x:c r="C197" s="14" t="str">
        <x:v>Pantikapaion/Bosp(h)orus</x:v>
      </x:c>
      <x:c r="D197" s="16" t="str">
        <x:v>Pleiades</x:v>
      </x:c>
      <x:c r="E197" s="14" t="str">
        <x:v>scholarly_gazetteer</x:v>
      </x:c>
      <x:c r="F197" s="14" t="str">
        <x:v>en</x:v>
      </x:c>
      <x:c r="G197" s="14" t="str">
        <x:v>CC BY 3.0</x:v>
      </x:c>
      <x:c r="H197" s="17" t="n">
        <x:v>46249</x:v>
      </x:c>
      <x:c r="I197" s="21" t="n">
        <x:v>200</x:v>
      </x:c>
      <x:c r="J197" s="14" t="str">
        <x:v>ok</x:v>
      </x:c>
      <x:c r="K197" s="16" t="str">
        <x:v>Pantikapaion/Bosp(h)orus. Pleiades. https://pleiades.stoa.org/places/854719 (accessed 2026-08-15).</x:v>
      </x:c>
      <x:c r="L197" s="16" t="str">
        <x:v>Pleiades record modified 2025-01-14T02:26:04Z</x:v>
      </x:c>
    </x:row>
    <x:row r="198" ht="44" customHeight="1">
      <x:c r="A198" s="14" t="str">
        <x:v>src-pleiades-854724</x:v>
      </x:c>
      <x:c r="B198" s="16" t="str">
        <x:v>https://pleiades.stoa.org/places/854724</x:v>
      </x:c>
      <x:c r="C198" s="14" t="str">
        <x:v>Phanagor(e)ia</x:v>
      </x:c>
      <x:c r="D198" s="16" t="str">
        <x:v>Pleiades</x:v>
      </x:c>
      <x:c r="E198" s="14" t="str">
        <x:v>scholarly_gazetteer</x:v>
      </x:c>
      <x:c r="F198" s="14" t="str">
        <x:v>en</x:v>
      </x:c>
      <x:c r="G198" s="14" t="str">
        <x:v>CC BY 3.0</x:v>
      </x:c>
      <x:c r="H198" s="17" t="n">
        <x:v>46249</x:v>
      </x:c>
      <x:c r="I198" s="21" t="n">
        <x:v>200</x:v>
      </x:c>
      <x:c r="J198" s="14" t="str">
        <x:v>ok</x:v>
      </x:c>
      <x:c r="K198" s="16" t="str">
        <x:v>Phanagor(e)ia. Pleiades. https://pleiades.stoa.org/places/854724 (accessed 2026-08-15).</x:v>
      </x:c>
      <x:c r="L198" s="16" t="str">
        <x:v>Pleiades record modified 2025-08-23T00:41:03Z</x:v>
      </x:c>
    </x:row>
    <x:row r="199" ht="44" customHeight="1">
      <x:c r="A199" s="14" t="str">
        <x:v>src-pleiades-854743</x:v>
      </x:c>
      <x:c r="B199" s="16" t="str">
        <x:v>https://pleiades.stoa.org/places/854743</x:v>
      </x:c>
      <x:c r="C199" s="14" t="str">
        <x:v>Theodosia</x:v>
      </x:c>
      <x:c r="D199" s="16" t="str">
        <x:v>Pleiades</x:v>
      </x:c>
      <x:c r="E199" s="14" t="str">
        <x:v>scholarly_gazetteer</x:v>
      </x:c>
      <x:c r="F199" s="14" t="str">
        <x:v>en</x:v>
      </x:c>
      <x:c r="G199" s="14" t="str">
        <x:v>CC BY 3.0</x:v>
      </x:c>
      <x:c r="H199" s="17" t="n">
        <x:v>46249</x:v>
      </x:c>
      <x:c r="I199" s="21" t="n">
        <x:v>200</x:v>
      </x:c>
      <x:c r="J199" s="14" t="str">
        <x:v>ok</x:v>
      </x:c>
      <x:c r="K199" s="16" t="str">
        <x:v>Theodosia. Pleiades. https://pleiades.stoa.org/places/854743 (accessed 2026-08-15).</x:v>
      </x:c>
      <x:c r="L199" s="16" t="str">
        <x:v>Pleiades record modified 2025-08-22T21:46:38Z</x:v>
      </x:c>
    </x:row>
    <x:row r="200" ht="44" customHeight="1">
      <x:c r="A200" s="14" t="str">
        <x:v>src-pleiades-854812387</x:v>
      </x:c>
      <x:c r="B200" s="16" t="str">
        <x:v>https://pleiades.stoa.org/places/854812387</x:v>
      </x:c>
      <x:c r="C200" s="14" t="str">
        <x:v>Mandra (Despotiko)</x:v>
      </x:c>
      <x:c r="D200" s="16" t="str">
        <x:v>Pleiades</x:v>
      </x:c>
      <x:c r="E200" s="14" t="str">
        <x:v>scholarly_gazetteer</x:v>
      </x:c>
      <x:c r="F200" s="14" t="str">
        <x:v>en</x:v>
      </x:c>
      <x:c r="G200" s="14" t="str">
        <x:v>CC BY 3.0</x:v>
      </x:c>
      <x:c r="H200" s="17" t="n">
        <x:v>46249</x:v>
      </x:c>
      <x:c r="I200" s="21" t="n">
        <x:v>200</x:v>
      </x:c>
      <x:c r="J200" s="14" t="str">
        <x:v>ok</x:v>
      </x:c>
      <x:c r="K200" s="16" t="str">
        <x:v>Mandra (Despotiko). Pleiades. https://pleiades.stoa.org/places/854812387 (accessed 2026-08-15).</x:v>
      </x:c>
      <x:c r="L200" s="16" t="str">
        <x:v>Pleiades record modified 2023-11-30T22:55:16Z</x:v>
      </x:c>
    </x:row>
    <x:row r="201" ht="44" customHeight="1">
      <x:c r="A201" s="14" t="str">
        <x:v>src-pleiades-857024</x:v>
      </x:c>
      <x:c r="B201" s="16" t="str">
        <x:v>https://pleiades.stoa.org/places/857024</x:v>
      </x:c>
      <x:c r="C201" s="14" t="str">
        <x:v>Amisus/Peiraieus</x:v>
      </x:c>
      <x:c r="D201" s="16" t="str">
        <x:v>Pleiades</x:v>
      </x:c>
      <x:c r="E201" s="14" t="str">
        <x:v>scholarly_gazetteer</x:v>
      </x:c>
      <x:c r="F201" s="14" t="str">
        <x:v>en</x:v>
      </x:c>
      <x:c r="G201" s="14" t="str">
        <x:v>CC BY 3.0</x:v>
      </x:c>
      <x:c r="H201" s="17" t="n">
        <x:v>46249</x:v>
      </x:c>
      <x:c r="I201" s="21" t="n">
        <x:v>200</x:v>
      </x:c>
      <x:c r="J201" s="14" t="str">
        <x:v>ok</x:v>
      </x:c>
      <x:c r="K201" s="16" t="str">
        <x:v>Amisus/Peiraieus. Pleiades. https://pleiades.stoa.org/places/857024 (accessed 2026-08-15).</x:v>
      </x:c>
      <x:c r="L201" s="16" t="str">
        <x:v>Pleiades record modified 2026-03-08T03:00:08Z</x:v>
      </x:c>
    </x:row>
    <x:row r="202" ht="44" customHeight="1">
      <x:c r="A202" s="14" t="str">
        <x:v>src-pleiades-857107</x:v>
      </x:c>
      <x:c r="B202" s="16" t="str">
        <x:v>https://pleiades.stoa.org/places/857107</x:v>
      </x:c>
      <x:c r="C202" s="14" t="str">
        <x:v>Dioscurias/Sebastopolis</x:v>
      </x:c>
      <x:c r="D202" s="16" t="str">
        <x:v>Pleiades</x:v>
      </x:c>
      <x:c r="E202" s="14" t="str">
        <x:v>scholarly_gazetteer</x:v>
      </x:c>
      <x:c r="F202" s="14" t="str">
        <x:v>en</x:v>
      </x:c>
      <x:c r="G202" s="14" t="str">
        <x:v>CC BY 3.0</x:v>
      </x:c>
      <x:c r="H202" s="17" t="n">
        <x:v>46249</x:v>
      </x:c>
      <x:c r="I202" s="21" t="n">
        <x:v>200</x:v>
      </x:c>
      <x:c r="J202" s="14" t="str">
        <x:v>ok</x:v>
      </x:c>
      <x:c r="K202" s="16" t="str">
        <x:v>Dioscurias/Sebastopolis. Pleiades. https://pleiades.stoa.org/places/857107 (accessed 2026-08-15).</x:v>
      </x:c>
      <x:c r="L202" s="16" t="str">
        <x:v>Pleiades record modified 2023-06-10T23:52:47Z</x:v>
      </x:c>
    </x:row>
    <x:row r="203" ht="44" customHeight="1">
      <x:c r="A203" s="14" t="str">
        <x:v>src-pleiades-857275</x:v>
      </x:c>
      <x:c r="B203" s="16" t="str">
        <x:v>https://pleiades.stoa.org/places/857275</x:v>
      </x:c>
      <x:c r="C203" s="14" t="str">
        <x:v>Phasis (settlement)</x:v>
      </x:c>
      <x:c r="D203" s="16" t="str">
        <x:v>Pleiades</x:v>
      </x:c>
      <x:c r="E203" s="14" t="str">
        <x:v>scholarly_gazetteer</x:v>
      </x:c>
      <x:c r="F203" s="14" t="str">
        <x:v>en</x:v>
      </x:c>
      <x:c r="G203" s="14" t="str">
        <x:v>CC BY 3.0</x:v>
      </x:c>
      <x:c r="H203" s="17" t="n">
        <x:v>46249</x:v>
      </x:c>
      <x:c r="I203" s="21" t="n">
        <x:v>200</x:v>
      </x:c>
      <x:c r="J203" s="14" t="str">
        <x:v>ok</x:v>
      </x:c>
      <x:c r="K203" s="16" t="str">
        <x:v>Phasis (settlement). Pleiades. https://pleiades.stoa.org/places/857275 (accessed 2026-08-15).</x:v>
      </x:c>
      <x:c r="L203" s="16" t="str">
        <x:v>Pleiades record modified 2024-09-07T18:54:32Z</x:v>
      </x:c>
    </x:row>
    <x:row r="204" ht="44" customHeight="1">
      <x:c r="A204" s="14" t="str">
        <x:v>src-pleiades-857321</x:v>
      </x:c>
      <x:c r="B204" s="16" t="str">
        <x:v>https://pleiades.stoa.org/places/857321</x:v>
      </x:c>
      <x:c r="C204" s="14" t="str">
        <x:v>Sinope</x:v>
      </x:c>
      <x:c r="D204" s="16" t="str">
        <x:v>Pleiades</x:v>
      </x:c>
      <x:c r="E204" s="14" t="str">
        <x:v>scholarly_gazetteer</x:v>
      </x:c>
      <x:c r="F204" s="14" t="str">
        <x:v>en</x:v>
      </x:c>
      <x:c r="G204" s="14" t="str">
        <x:v>CC BY 3.0</x:v>
      </x:c>
      <x:c r="H204" s="17" t="n">
        <x:v>46249</x:v>
      </x:c>
      <x:c r="I204" s="21" t="n">
        <x:v>200</x:v>
      </x:c>
      <x:c r="J204" s="14" t="str">
        <x:v>ok</x:v>
      </x:c>
      <x:c r="K204" s="16" t="str">
        <x:v>Sinope. Pleiades. https://pleiades.stoa.org/places/857321 (accessed 2026-08-15).</x:v>
      </x:c>
      <x:c r="L204" s="16" t="str">
        <x:v>Pleiades record modified 2024-05-01T19:50:05Z</x:v>
      </x:c>
    </x:row>
    <x:row r="205" ht="44" customHeight="1">
      <x:c r="A205" s="14" t="str">
        <x:v>src-pleiades-857359</x:v>
      </x:c>
      <x:c r="B205" s="16" t="str">
        <x:v>https://pleiades.stoa.org/places/857359</x:v>
      </x:c>
      <x:c r="C205" s="14" t="str">
        <x:v>Trapezus</x:v>
      </x:c>
      <x:c r="D205" s="16" t="str">
        <x:v>Pleiades</x:v>
      </x:c>
      <x:c r="E205" s="14" t="str">
        <x:v>scholarly_gazetteer</x:v>
      </x:c>
      <x:c r="F205" s="14" t="str">
        <x:v>en</x:v>
      </x:c>
      <x:c r="G205" s="14" t="str">
        <x:v>CC BY 3.0</x:v>
      </x:c>
      <x:c r="H205" s="17" t="n">
        <x:v>46249</x:v>
      </x:c>
      <x:c r="I205" s="21" t="n">
        <x:v>200</x:v>
      </x:c>
      <x:c r="J205" s="14" t="str">
        <x:v>ok</x:v>
      </x:c>
      <x:c r="K205" s="16" t="str">
        <x:v>Trapezus. Pleiades. https://pleiades.stoa.org/places/857359 (accessed 2026-08-15).</x:v>
      </x:c>
      <x:c r="L205" s="16" t="str">
        <x:v>Pleiades record modified 2025-11-20T15:27:20Z</x:v>
      </x:c>
    </x:row>
    <x:row r="206" ht="44" customHeight="1">
      <x:c r="A206" s="14" t="str">
        <x:v>src-pleiades-873985034</x:v>
      </x:c>
      <x:c r="B206" s="16" t="str">
        <x:v>https://pleiades.stoa.org/places/873985034</x:v>
      </x:c>
      <x:c r="C206" s="14" t="str">
        <x:v>Temple of Artemis at Ephesus</x:v>
      </x:c>
      <x:c r="D206" s="16" t="str">
        <x:v>Pleiades</x:v>
      </x:c>
      <x:c r="E206" s="14" t="str">
        <x:v>scholarly_gazetteer</x:v>
      </x:c>
      <x:c r="F206" s="14" t="str">
        <x:v>en</x:v>
      </x:c>
      <x:c r="G206" s="14" t="str">
        <x:v>CC BY 3.0</x:v>
      </x:c>
      <x:c r="H206" s="17" t="n">
        <x:v>46249</x:v>
      </x:c>
      <x:c r="I206" s="21" t="n">
        <x:v>200</x:v>
      </x:c>
      <x:c r="J206" s="14" t="str">
        <x:v>ok</x:v>
      </x:c>
      <x:c r="K206" s="16" t="str">
        <x:v>Temple of Artemis at Ephesus. Pleiades. https://pleiades.stoa.org/places/873985034 (accessed 2026-08-15).</x:v>
      </x:c>
      <x:c r="L206" s="16" t="str">
        <x:v>Pleiades record modified 2026-04-07T03:04:59Z</x:v>
      </x:c>
    </x:row>
    <x:row r="207" ht="44" customHeight="1">
      <x:c r="A207" s="14" t="str">
        <x:v>src-pleiades-943504072</x:v>
      </x:c>
      <x:c r="B207" s="16" t="str">
        <x:v>https://pleiades.stoa.org/places/943504072</x:v>
      </x:c>
      <x:c r="C207" s="14" t="str">
        <x:v>Temple of Concordia, Agrigento</x:v>
      </x:c>
      <x:c r="D207" s="16" t="str">
        <x:v>Pleiades</x:v>
      </x:c>
      <x:c r="E207" s="14" t="str">
        <x:v>scholarly_gazetteer</x:v>
      </x:c>
      <x:c r="F207" s="14" t="str">
        <x:v>en</x:v>
      </x:c>
      <x:c r="G207" s="14" t="str">
        <x:v>CC BY 3.0</x:v>
      </x:c>
      <x:c r="H207" s="17" t="n">
        <x:v>46249</x:v>
      </x:c>
      <x:c r="I207" s="21" t="n">
        <x:v>200</x:v>
      </x:c>
      <x:c r="J207" s="14" t="str">
        <x:v>ok</x:v>
      </x:c>
      <x:c r="K207" s="16" t="str">
        <x:v>Temple of Concordia, Agrigento. Pleiades. https://pleiades.stoa.org/places/943504072 (accessed 2026-08-15).</x:v>
      </x:c>
      <x:c r="L207" s="16" t="str">
        <x:v>Pleiades record modified 2025-01-29T17:19:46Z</x:v>
      </x:c>
    </x:row>
    <x:row r="208" ht="44" customHeight="1">
      <x:c r="A208" s="14" t="str">
        <x:v>src-pleiades-955675680</x:v>
      </x:c>
      <x:c r="B208" s="16" t="str">
        <x:v>https://pleiades.stoa.org/places/955675680</x:v>
      </x:c>
      <x:c r="C208" s="14" t="str">
        <x:v>Temple of Artemis and Apollo</x:v>
      </x:c>
      <x:c r="D208" s="16" t="str">
        <x:v>Pleiades</x:v>
      </x:c>
      <x:c r="E208" s="14" t="str">
        <x:v>scholarly_gazetteer</x:v>
      </x:c>
      <x:c r="F208" s="14" t="str">
        <x:v>en</x:v>
      </x:c>
      <x:c r="G208" s="14" t="str">
        <x:v>CC BY 3.0</x:v>
      </x:c>
      <x:c r="H208" s="17" t="n">
        <x:v>46249</x:v>
      </x:c>
      <x:c r="I208" s="21" t="n">
        <x:v>200</x:v>
      </x:c>
      <x:c r="J208" s="14" t="str">
        <x:v>ok</x:v>
      </x:c>
      <x:c r="K208" s="16" t="str">
        <x:v>Temple of Artemis and Apollo. Pleiades. https://pleiades.stoa.org/places/955675680 (accessed 2026-08-15).</x:v>
      </x:c>
      <x:c r="L208" s="16" t="str">
        <x:v>Pleiades record modified 2026-06-30T19:04:51Z</x:v>
      </x:c>
    </x:row>
    <x:row r="209" ht="44" customHeight="1">
      <x:c r="A209" s="14" t="str">
        <x:v>src-pleiades-963441586</x:v>
      </x:c>
      <x:c r="B209" s="16" t="str">
        <x:v>https://pleiades.stoa.org/places/963441586</x:v>
      </x:c>
      <x:c r="C209" s="14" t="str">
        <x:v>Doric temple of Segesta</x:v>
      </x:c>
      <x:c r="D209" s="16" t="str">
        <x:v>Pleiades</x:v>
      </x:c>
      <x:c r="E209" s="14" t="str">
        <x:v>scholarly_gazetteer</x:v>
      </x:c>
      <x:c r="F209" s="14" t="str">
        <x:v>en</x:v>
      </x:c>
      <x:c r="G209" s="14" t="str">
        <x:v>CC BY 3.0</x:v>
      </x:c>
      <x:c r="H209" s="17" t="n">
        <x:v>46249</x:v>
      </x:c>
      <x:c r="I209" s="21" t="n">
        <x:v>200</x:v>
      </x:c>
      <x:c r="J209" s="14" t="str">
        <x:v>ok</x:v>
      </x:c>
      <x:c r="K209" s="16" t="str">
        <x:v>Doric temple of Segesta. Pleiades. https://pleiades.stoa.org/places/963441586 (accessed 2026-08-15).</x:v>
      </x:c>
      <x:c r="L209" s="16" t="str">
        <x:v>Pleiades record modified 2024-02-27T22:31:05Z</x:v>
      </x:c>
    </x:row>
    <x:row r="210" ht="44" customHeight="1">
      <x:c r="A210" s="14" t="str">
        <x:v>src-uni-muenster-0a0030be4d2a</x:v>
      </x:c>
      <x:c r="B210" s="16" t="str">
        <x:v>https://www.uni-muenster.de/ZypernInstitut/en/publikationen/schriften13.html</x:v>
      </x:c>
      <x:c r="C210" s="14" t="str">
        <x:v>Salamis of Cyprus</x:v>
      </x:c>
      <x:c r="D210" s="16" t="str">
        <x:v>University of Münster</x:v>
      </x:c>
      <x:c r="E210" s="14" t="str">
        <x:v>university</x:v>
      </x:c>
      <x:c r="F210" s="14" t="str">
        <x:v>en</x:v>
      </x:c>
      <x:c r="G210" s="14"/>
      <x:c r="H210" s="17" t="n">
        <x:v>46249</x:v>
      </x:c>
      <x:c r="I210" s="21" t="n">
        <x:v>200</x:v>
      </x:c>
      <x:c r="J210" s="14" t="str">
        <x:v>ok</x:v>
      </x:c>
      <x:c r="K210" s="16" t="str">
        <x:v>Salamis of Cyprus. University of Münster. https://www.uni-muenster.de/ZypernInstitut/en/publikationen/schriften13.html (accessed 2026-08-15).</x:v>
      </x:c>
      <x:c r="L210" s="16" t="str">
        <x:v>Source metadata reconciled from the submitted research and cached URL check.</x:v>
      </x:c>
    </x:row>
    <x:row r="211" ht="44" customHeight="1">
      <x:c r="A211" s="14" t="str">
        <x:v>src-websites-d5246844b076</x:v>
      </x:c>
      <x:c r="B211" s="16" t="str">
        <x:v>https://websites.ucy.ac.cy/pulp/documents/Publications/Iacovou_2014-POLITICAL_ECONOMIES.pdf</x:v>
      </x:c>
      <x:c r="C211" s="14" t="str">
        <x:v>Political economies and landscape transformations: The case of ancient Paphos</x:v>
      </x:c>
      <x:c r="D211" s="16" t="str">
        <x:v>University of Cyprus</x:v>
      </x:c>
      <x:c r="E211" s="14" t="str">
        <x:v>peer_reviewed_publication</x:v>
      </x:c>
      <x:c r="F211" s="14" t="str">
        <x:v>en</x:v>
      </x:c>
      <x:c r="G211" s="14"/>
      <x:c r="H211" s="17" t="n">
        <x:v>46249</x:v>
      </x:c>
      <x:c r="I211" s="21" t="n">
        <x:v>403</x:v>
      </x:c>
      <x:c r="J211" s="14" t="str">
        <x:v>unavailable</x:v>
      </x:c>
      <x:c r="K211" s="16" t="str">
        <x:v>Political economies and landscape transformations: The case of ancient Paphos. University of Cyprus. https://websites.ucy.ac.cy/pulp/documents/Publications/Iacovou_2014-POLITICAL_ECONOMIES.pdf (accessed 2026-08-15).</x:v>
      </x:c>
      <x:c r="L211" s="16" t="str">
        <x:v>Publication by Maria Iacovou (2014); the hosting server denied automated access during the release check.</x:v>
      </x:c>
    </x:row>
    <x:row r="212" ht="44" customHeight="1">
      <x:c r="A212" s="14" t="str">
        <x:v>src-whc-228f1be9c035</x:v>
      </x:c>
      <x:c r="B212" s="16" t="str">
        <x:v>https://whc.unesco.org/en/list/404</x:v>
      </x:c>
      <x:c r="C212" s="14" t="str">
        <x:v>Acropolis, Athens - UNESCO World Heritage Centre</x:v>
      </x:c>
      <x:c r="D212" s="16" t="str">
        <x:v>UNESCO World Heritage Centre</x:v>
      </x:c>
      <x:c r="E212" s="14" t="str">
        <x:v>unesco</x:v>
      </x:c>
      <x:c r="F212" s="14" t="str">
        <x:v>en</x:v>
      </x:c>
      <x:c r="G212" s="14"/>
      <x:c r="H212" s="17" t="n">
        <x:v>46249</x:v>
      </x:c>
      <x:c r="I212" s="21" t="n">
        <x:v>200</x:v>
      </x:c>
      <x:c r="J212" s="14" t="str">
        <x:v>ok</x:v>
      </x:c>
      <x:c r="K212" s="16" t="str">
        <x:v>Acropolis, Athens - UNESCO World Heritage Centre. UNESCO World Heritage Centre. https://whc.unesco.org/en/list/404 (accessed 2026-08-15).</x:v>
      </x:c>
      <x:c r="L212" s="16" t="str">
        <x:v>Source metadata reconciled from the submitted research and cached URL check.</x:v>
      </x:c>
    </x:row>
    <x:row r="213" ht="44" customHeight="1">
      <x:c r="A213" s="14" t="str">
        <x:v>src-whc-329a28f5c851</x:v>
      </x:c>
      <x:c r="B213" s="16" t="str">
        <x:v>https://whc.unesco.org/en/list/1411</x:v>
      </x:c>
      <x:c r="C213" s="14" t="str">
        <x:v>Ancient City of Tauric Chersonese and its Chora - UNESCO World Heritage Centre</x:v>
      </x:c>
      <x:c r="D213" s="16" t="str">
        <x:v>UNESCO World Heritage Centre</x:v>
      </x:c>
      <x:c r="E213" s="14" t="str">
        <x:v>unesco</x:v>
      </x:c>
      <x:c r="F213" s="14" t="str">
        <x:v>en</x:v>
      </x:c>
      <x:c r="G213" s="14"/>
      <x:c r="H213" s="17" t="n">
        <x:v>46249</x:v>
      </x:c>
      <x:c r="I213" s="21" t="n">
        <x:v>200</x:v>
      </x:c>
      <x:c r="J213" s="14" t="str">
        <x:v>ok</x:v>
      </x:c>
      <x:c r="K213" s="16" t="str">
        <x:v>Ancient City of Tauric Chersonese and its Chora - UNESCO World Heritage Centre. UNESCO World Heritage Centre. https://whc.unesco.org/en/list/1411 (accessed 2026-08-15).</x:v>
      </x:c>
      <x:c r="L213" s="16" t="str">
        <x:v>Source metadata reconciled from the submitted research and cached URL check.</x:v>
      </x:c>
    </x:row>
    <x:row r="214" ht="44" customHeight="1">
      <x:c r="A214" s="14" t="str">
        <x:v>src-whc-52a1efeb60e3</x:v>
      </x:c>
      <x:c r="B214" s="16" t="str">
        <x:v>https://whc.unesco.org/en/list/190</x:v>
      </x:c>
      <x:c r="C214" s="14" t="str">
        <x:v>Archaeological Site of Cyrene - UNESCO World Heritage Centre</x:v>
      </x:c>
      <x:c r="D214" s="16" t="str">
        <x:v>UNESCO World Heritage Centre</x:v>
      </x:c>
      <x:c r="E214" s="14" t="str">
        <x:v>unesco</x:v>
      </x:c>
      <x:c r="F214" s="14" t="str">
        <x:v>en</x:v>
      </x:c>
      <x:c r="G214" s="14"/>
      <x:c r="H214" s="17" t="n">
        <x:v>46249</x:v>
      </x:c>
      <x:c r="I214" s="21" t="n">
        <x:v>200</x:v>
      </x:c>
      <x:c r="J214" s="14" t="str">
        <x:v>ok</x:v>
      </x:c>
      <x:c r="K214" s="16" t="str">
        <x:v>Archaeological Site of Cyrene - UNESCO World Heritage Centre. UNESCO World Heritage Centre. https://whc.unesco.org/en/list/190 (accessed 2026-08-15).</x:v>
      </x:c>
      <x:c r="L214" s="16" t="str">
        <x:v>Source metadata reconciled from the submitted research and cached URL check.</x:v>
      </x:c>
    </x:row>
    <x:row r="215" ht="44" customHeight="1">
      <x:c r="A215" s="14" t="str">
        <x:v>src-whc-6306f630553d</x:v>
      </x:c>
      <x:c r="B215" s="16" t="str">
        <x:v>https://whc.unesco.org/en/list/941</x:v>
      </x:c>
      <x:c r="C215" s="14" t="str">
        <x:v>Archaeological Sites of Mycenae and Tiryns - UNESCO World Heritage Centre</x:v>
      </x:c>
      <x:c r="D215" s="16" t="str">
        <x:v>UNESCO World Heritage Centre</x:v>
      </x:c>
      <x:c r="E215" s="14" t="str">
        <x:v>unesco</x:v>
      </x:c>
      <x:c r="F215" s="14" t="str">
        <x:v>en</x:v>
      </x:c>
      <x:c r="G215" s="14"/>
      <x:c r="H215" s="17" t="n">
        <x:v>46249</x:v>
      </x:c>
      <x:c r="I215" s="21" t="n">
        <x:v>200</x:v>
      </x:c>
      <x:c r="J215" s="14" t="str">
        <x:v>ok</x:v>
      </x:c>
      <x:c r="K215" s="16" t="str">
        <x:v>Archaeological Sites of Mycenae and Tiryns - UNESCO World Heritage Centre. UNESCO World Heritage Centre. https://whc.unesco.org/en/list/941 (accessed 2026-08-15).</x:v>
      </x:c>
      <x:c r="L215" s="16" t="str">
        <x:v>Source metadata reconciled from the submitted research and cached URL check.</x:v>
      </x:c>
    </x:row>
    <x:row r="216" ht="44" customHeight="1">
      <x:c r="A216" s="14" t="str">
        <x:v>src-whc-758c2c416617</x:v>
      </x:c>
      <x:c r="B216" s="16" t="str">
        <x:v>https://whc.unesco.org/en/list/448</x:v>
      </x:c>
      <x:c r="C216" s="14" t="str">
        <x:v>Nemrut Dağ - UNESCO World Heritage Centre</x:v>
      </x:c>
      <x:c r="D216" s="16" t="str">
        <x:v>UNESCO World Heritage Centre</x:v>
      </x:c>
      <x:c r="E216" s="14" t="str">
        <x:v>unesco</x:v>
      </x:c>
      <x:c r="F216" s="14" t="str">
        <x:v>en</x:v>
      </x:c>
      <x:c r="G216" s="14"/>
      <x:c r="H216" s="17" t="n">
        <x:v>46249</x:v>
      </x:c>
      <x:c r="I216" s="21" t="n">
        <x:v>200</x:v>
      </x:c>
      <x:c r="J216" s="14" t="str">
        <x:v>ok</x:v>
      </x:c>
      <x:c r="K216" s="16" t="str">
        <x:v>Nemrut Dağ - UNESCO World Heritage Centre. UNESCO World Heritage Centre. https://whc.unesco.org/en/list/448 (accessed 2026-08-15).</x:v>
      </x:c>
      <x:c r="L216" s="16" t="str">
        <x:v>Source metadata reconciled from the submitted research and cached URL check.</x:v>
      </x:c>
    </x:row>
    <x:row r="217" ht="44" customHeight="1">
      <x:c r="A217" s="14" t="str">
        <x:v>src-whc-fd006971700c</x:v>
      </x:c>
      <x:c r="B217" s="16" t="str">
        <x:v>https://whc.unesco.org/en/list/780</x:v>
      </x:c>
      <x:c r="C217" s="14" t="str">
        <x:v>Archaeological Site of Aigai (modern name Vergina) - UNESCO World Heritage Centre</x:v>
      </x:c>
      <x:c r="D217" s="16" t="str">
        <x:v>UNESCO World Heritage Centre</x:v>
      </x:c>
      <x:c r="E217" s="14" t="str">
        <x:v>unesco</x:v>
      </x:c>
      <x:c r="F217" s="14" t="str">
        <x:v>en</x:v>
      </x:c>
      <x:c r="G217" s="14"/>
      <x:c r="H217" s="17" t="n">
        <x:v>46249</x:v>
      </x:c>
      <x:c r="I217" s="21" t="n">
        <x:v>200</x:v>
      </x:c>
      <x:c r="J217" s="14" t="str">
        <x:v>ok</x:v>
      </x:c>
      <x:c r="K217" s="16" t="str">
        <x:v>Archaeological Site of Aigai (modern name Vergina) - UNESCO World Heritage Centre. UNESCO World Heritage Centre. https://whc.unesco.org/en/list/780 (accessed 2026-08-15).</x:v>
      </x:c>
      <x:c r="L217" s="16" t="str">
        <x:v>Source metadata reconciled from the submitted research and cached URL check.</x:v>
      </x:c>
    </x:row>
  </x:sheetData>
  <x:mergeCells>
    <x:mergeCell ref="A1:L1"/>
    <x:mergeCell ref="A2:L2"/>
  </x:mergeCells>
  <x:conditionalFormatting sqref="J5:J217">
    <x:cfRule type="containsText" dxfId="2" priority="1" operator="containsText" text="unavailable"/>
    <x:cfRule type="containsText" dxfId="3" priority="2" operator="containsText" text="ok"/>
  </x:conditionalFormatting>
  <x:pageMargins left="0.7" right="0.7" top="0.75" bottom="0.75" header="0.3" footer="0.3"/>
  <x:tableParts count="1">
    <x:tablePart xmlns:r="http://schemas.openxmlformats.org/officeDocument/2006/relationships" r:id="Rff25262b9cd6442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58" hidden="0" customWidth="1"/>
    <x:col min="2" max="2" width="38" hidden="0" customWidth="1"/>
    <x:col min="3" max="3" width="38" hidden="0" customWidth="1"/>
    <x:col min="4" max="4" width="18" hidden="0" customWidth="1"/>
    <x:col min="5" max="5" width="18" hidden="0" customWidth="1"/>
  </x:cols>
  <x:sheetData>
    <x:row r="1" ht="34" customHeight="1">
      <x:c r="A1" s="3" t="str">
        <x:v>Source Support / Υποστήριξη ισχυρισμών</x:v>
      </x:c>
      <x:c r="B1" s="3"/>
      <x:c r="C1" s="3"/>
      <x:c r="D1" s="3"/>
      <x:c r="E1" s="3"/>
    </x:row>
    <x:row r="2" ht="28" customHeight="1">
      <x:c r="A2" s="8" t="str">
        <x:v>Junction table assigning primary and secondary sources to seven controlled claim scopes for every entity.</x:v>
      </x:c>
      <x:c r="B2" s="8"/>
      <x:c r="C2" s="8"/>
      <x:c r="D2" s="8"/>
      <x:c r="E2" s="8"/>
    </x:row>
    <x:row r="4" ht="30" customHeight="1">
      <x:c r="A4" s="13" t="str">
        <x:v>entity_source_id</x:v>
      </x:c>
      <x:c r="B4" s="13" t="str">
        <x:v>entity_id</x:v>
      </x:c>
      <x:c r="C4" s="13" t="str">
        <x:v>source_id</x:v>
      </x:c>
      <x:c r="D4" s="13" t="str">
        <x:v>support_scope</x:v>
      </x:c>
      <x:c r="E4" s="13" t="str">
        <x:v>is_primary</x:v>
      </x:c>
    </x:row>
    <x:row r="5" ht="24" customHeight="1">
      <x:c r="A5" s="14" t="str">
        <x:v>es-city-aegina-city-pleiades-579853-chronology</x:v>
      </x:c>
      <x:c r="B5" s="14" t="str">
        <x:v>city-aegina-city</x:v>
      </x:c>
      <x:c r="C5" s="14" t="str">
        <x:v>src-pleiades-579853</x:v>
      </x:c>
      <x:c r="D5" s="14" t="str">
        <x:v>chronology</x:v>
      </x:c>
      <x:c r="E5" s="20" t="b">
        <x:v>1</x:v>
      </x:c>
    </x:row>
    <x:row r="6" ht="24" customHeight="1">
      <x:c r="A6" s="14" t="str">
        <x:v>es-city-aegina-city-pleiades-579853-classification</x:v>
      </x:c>
      <x:c r="B6" s="14" t="str">
        <x:v>city-aegina-city</x:v>
      </x:c>
      <x:c r="C6" s="14" t="str">
        <x:v>src-pleiades-579853</x:v>
      </x:c>
      <x:c r="D6" s="14" t="str">
        <x:v>classification</x:v>
      </x:c>
      <x:c r="E6" s="20" t="b">
        <x:v>1</x:v>
      </x:c>
    </x:row>
    <x:row r="7" ht="24" customHeight="1">
      <x:c r="A7" s="14" t="str">
        <x:v>es-city-aegina-city-pleiades-579853-description</x:v>
      </x:c>
      <x:c r="B7" s="14" t="str">
        <x:v>city-aegina-city</x:v>
      </x:c>
      <x:c r="C7" s="14" t="str">
        <x:v>src-pleiades-579853</x:v>
      </x:c>
      <x:c r="D7" s="14" t="str">
        <x:v>description</x:v>
      </x:c>
      <x:c r="E7" s="20" t="b">
        <x:v>1</x:v>
      </x:c>
    </x:row>
    <x:row r="8" ht="24" customHeight="1">
      <x:c r="A8" s="14" t="str">
        <x:v>es-city-aegina-city-pleiades-579853-geometry</x:v>
      </x:c>
      <x:c r="B8" s="14" t="str">
        <x:v>city-aegina-city</x:v>
      </x:c>
      <x:c r="C8" s="14" t="str">
        <x:v>src-pleiades-579853</x:v>
      </x:c>
      <x:c r="D8" s="14" t="str">
        <x:v>geometry</x:v>
      </x:c>
      <x:c r="E8" s="20" t="b">
        <x:v>1</x:v>
      </x:c>
    </x:row>
    <x:row r="9" ht="24" customHeight="1">
      <x:c r="A9" s="14" t="str">
        <x:v>es-city-aegina-city-pleiades-579853-identity</x:v>
      </x:c>
      <x:c r="B9" s="14" t="str">
        <x:v>city-aegina-city</x:v>
      </x:c>
      <x:c r="C9" s="14" t="str">
        <x:v>src-pleiades-579853</x:v>
      </x:c>
      <x:c r="D9" s="14" t="str">
        <x:v>identity</x:v>
      </x:c>
      <x:c r="E9" s="20" t="b">
        <x:v>1</x:v>
      </x:c>
    </x:row>
    <x:row r="10" ht="24" customHeight="1">
      <x:c r="A10" s="14" t="str">
        <x:v>es-city-aegina-city-pleiades-579853-names</x:v>
      </x:c>
      <x:c r="B10" s="14" t="str">
        <x:v>city-aegina-city</x:v>
      </x:c>
      <x:c r="C10" s="14" t="str">
        <x:v>src-pleiades-579853</x:v>
      </x:c>
      <x:c r="D10" s="14" t="str">
        <x:v>names</x:v>
      </x:c>
      <x:c r="E10" s="20" t="b">
        <x:v>1</x:v>
      </x:c>
    </x:row>
    <x:row r="11" ht="24" customHeight="1">
      <x:c r="A11" s="14" t="str">
        <x:v>es-city-aegina-city-pleiades-579853-relationships</x:v>
      </x:c>
      <x:c r="B11" s="14" t="str">
        <x:v>city-aegina-city</x:v>
      </x:c>
      <x:c r="C11" s="14" t="str">
        <x:v>src-pleiades-579853</x:v>
      </x:c>
      <x:c r="D11" s="14" t="str">
        <x:v>relationships</x:v>
      </x:c>
      <x:c r="E11" s="20" t="b">
        <x:v>1</x:v>
      </x:c>
    </x:row>
    <x:row r="12" ht="24" customHeight="1">
      <x:c r="A12" s="14" t="str">
        <x:v>es-city-aigai-macedonia-pleiades-491512-chronology</x:v>
      </x:c>
      <x:c r="B12" s="14" t="str">
        <x:v>city-aigai-macedonia</x:v>
      </x:c>
      <x:c r="C12" s="14" t="str">
        <x:v>src-pleiades-491512</x:v>
      </x:c>
      <x:c r="D12" s="14" t="str">
        <x:v>chronology</x:v>
      </x:c>
      <x:c r="E12" s="20" t="b">
        <x:v>1</x:v>
      </x:c>
    </x:row>
    <x:row r="13" ht="24" customHeight="1">
      <x:c r="A13" s="14" t="str">
        <x:v>es-city-aigai-macedonia-pleiades-491512-classification</x:v>
      </x:c>
      <x:c r="B13" s="14" t="str">
        <x:v>city-aigai-macedonia</x:v>
      </x:c>
      <x:c r="C13" s="14" t="str">
        <x:v>src-pleiades-491512</x:v>
      </x:c>
      <x:c r="D13" s="14" t="str">
        <x:v>classification</x:v>
      </x:c>
      <x:c r="E13" s="20" t="b">
        <x:v>1</x:v>
      </x:c>
    </x:row>
    <x:row r="14" ht="24" customHeight="1">
      <x:c r="A14" s="14" t="str">
        <x:v>es-city-aigai-macedonia-pleiades-491512-description</x:v>
      </x:c>
      <x:c r="B14" s="14" t="str">
        <x:v>city-aigai-macedonia</x:v>
      </x:c>
      <x:c r="C14" s="14" t="str">
        <x:v>src-pleiades-491512</x:v>
      </x:c>
      <x:c r="D14" s="14" t="str">
        <x:v>description</x:v>
      </x:c>
      <x:c r="E14" s="20" t="b">
        <x:v>1</x:v>
      </x:c>
    </x:row>
    <x:row r="15" ht="24" customHeight="1">
      <x:c r="A15" s="14" t="str">
        <x:v>es-city-aigai-macedonia-pleiades-491512-geometry</x:v>
      </x:c>
      <x:c r="B15" s="14" t="str">
        <x:v>city-aigai-macedonia</x:v>
      </x:c>
      <x:c r="C15" s="14" t="str">
        <x:v>src-pleiades-491512</x:v>
      </x:c>
      <x:c r="D15" s="14" t="str">
        <x:v>geometry</x:v>
      </x:c>
      <x:c r="E15" s="20" t="b">
        <x:v>1</x:v>
      </x:c>
    </x:row>
    <x:row r="16" ht="24" customHeight="1">
      <x:c r="A16" s="14" t="str">
        <x:v>es-city-aigai-macedonia-pleiades-491512-identity</x:v>
      </x:c>
      <x:c r="B16" s="14" t="str">
        <x:v>city-aigai-macedonia</x:v>
      </x:c>
      <x:c r="C16" s="14" t="str">
        <x:v>src-pleiades-491512</x:v>
      </x:c>
      <x:c r="D16" s="14" t="str">
        <x:v>identity</x:v>
      </x:c>
      <x:c r="E16" s="20" t="b">
        <x:v>1</x:v>
      </x:c>
    </x:row>
    <x:row r="17" ht="24" customHeight="1">
      <x:c r="A17" s="14" t="str">
        <x:v>es-city-aigai-macedonia-pleiades-491512-names</x:v>
      </x:c>
      <x:c r="B17" s="14" t="str">
        <x:v>city-aigai-macedonia</x:v>
      </x:c>
      <x:c r="C17" s="14" t="str">
        <x:v>src-pleiades-491512</x:v>
      </x:c>
      <x:c r="D17" s="14" t="str">
        <x:v>names</x:v>
      </x:c>
      <x:c r="E17" s="20" t="b">
        <x:v>1</x:v>
      </x:c>
    </x:row>
    <x:row r="18" ht="24" customHeight="1">
      <x:c r="A18" s="14" t="str">
        <x:v>es-city-aigai-macedonia-pleiades-491512-relationships</x:v>
      </x:c>
      <x:c r="B18" s="14" t="str">
        <x:v>city-aigai-macedonia</x:v>
      </x:c>
      <x:c r="C18" s="14" t="str">
        <x:v>src-pleiades-491512</x:v>
      </x:c>
      <x:c r="D18" s="14" t="str">
        <x:v>relationships</x:v>
      </x:c>
      <x:c r="E18" s="20" t="b">
        <x:v>1</x:v>
      </x:c>
    </x:row>
    <x:row r="19" ht="24" customHeight="1">
      <x:c r="A19" s="14" t="str">
        <x:v>es-city-alexandria-egypt-pleiades-727070-chronology</x:v>
      </x:c>
      <x:c r="B19" s="14" t="str">
        <x:v>city-alexandria-egypt</x:v>
      </x:c>
      <x:c r="C19" s="14" t="str">
        <x:v>src-pleiades-727070</x:v>
      </x:c>
      <x:c r="D19" s="14" t="str">
        <x:v>chronology</x:v>
      </x:c>
      <x:c r="E19" s="20" t="b">
        <x:v>1</x:v>
      </x:c>
    </x:row>
    <x:row r="20" ht="24" customHeight="1">
      <x:c r="A20" s="14" t="str">
        <x:v>es-city-alexandria-egypt-pleiades-727070-classification</x:v>
      </x:c>
      <x:c r="B20" s="14" t="str">
        <x:v>city-alexandria-egypt</x:v>
      </x:c>
      <x:c r="C20" s="14" t="str">
        <x:v>src-pleiades-727070</x:v>
      </x:c>
      <x:c r="D20" s="14" t="str">
        <x:v>classification</x:v>
      </x:c>
      <x:c r="E20" s="20" t="b">
        <x:v>1</x:v>
      </x:c>
    </x:row>
    <x:row r="21" ht="24" customHeight="1">
      <x:c r="A21" s="14" t="str">
        <x:v>es-city-alexandria-egypt-pleiades-727070-description</x:v>
      </x:c>
      <x:c r="B21" s="14" t="str">
        <x:v>city-alexandria-egypt</x:v>
      </x:c>
      <x:c r="C21" s="14" t="str">
        <x:v>src-pleiades-727070</x:v>
      </x:c>
      <x:c r="D21" s="14" t="str">
        <x:v>description</x:v>
      </x:c>
      <x:c r="E21" s="20" t="b">
        <x:v>1</x:v>
      </x:c>
    </x:row>
    <x:row r="22" ht="24" customHeight="1">
      <x:c r="A22" s="14" t="str">
        <x:v>es-city-alexandria-egypt-pleiades-727070-geometry</x:v>
      </x:c>
      <x:c r="B22" s="14" t="str">
        <x:v>city-alexandria-egypt</x:v>
      </x:c>
      <x:c r="C22" s="14" t="str">
        <x:v>src-pleiades-727070</x:v>
      </x:c>
      <x:c r="D22" s="14" t="str">
        <x:v>geometry</x:v>
      </x:c>
      <x:c r="E22" s="20" t="b">
        <x:v>1</x:v>
      </x:c>
    </x:row>
    <x:row r="23" ht="24" customHeight="1">
      <x:c r="A23" s="14" t="str">
        <x:v>es-city-alexandria-egypt-pleiades-727070-identity</x:v>
      </x:c>
      <x:c r="B23" s="14" t="str">
        <x:v>city-alexandria-egypt</x:v>
      </x:c>
      <x:c r="C23" s="14" t="str">
        <x:v>src-pleiades-727070</x:v>
      </x:c>
      <x:c r="D23" s="14" t="str">
        <x:v>identity</x:v>
      </x:c>
      <x:c r="E23" s="20" t="b">
        <x:v>1</x:v>
      </x:c>
    </x:row>
    <x:row r="24" ht="24" customHeight="1">
      <x:c r="A24" s="14" t="str">
        <x:v>es-city-alexandria-egypt-pleiades-727070-names</x:v>
      </x:c>
      <x:c r="B24" s="14" t="str">
        <x:v>city-alexandria-egypt</x:v>
      </x:c>
      <x:c r="C24" s="14" t="str">
        <x:v>src-pleiades-727070</x:v>
      </x:c>
      <x:c r="D24" s="14" t="str">
        <x:v>names</x:v>
      </x:c>
      <x:c r="E24" s="20" t="b">
        <x:v>1</x:v>
      </x:c>
    </x:row>
    <x:row r="25" ht="24" customHeight="1">
      <x:c r="A25" s="14" t="str">
        <x:v>es-city-alexandria-egypt-pleiades-727070-relationships</x:v>
      </x:c>
      <x:c r="B25" s="14" t="str">
        <x:v>city-alexandria-egypt</x:v>
      </x:c>
      <x:c r="C25" s="14" t="str">
        <x:v>src-pleiades-727070</x:v>
      </x:c>
      <x:c r="D25" s="14" t="str">
        <x:v>relationships</x:v>
      </x:c>
      <x:c r="E25" s="20" t="b">
        <x:v>1</x:v>
      </x:c>
    </x:row>
    <x:row r="26" ht="24" customHeight="1">
      <x:c r="A26" s="14" t="str">
        <x:v>es-city-antioch-orontes-pleiades-658381-chronology</x:v>
      </x:c>
      <x:c r="B26" s="14" t="str">
        <x:v>city-antioch-orontes</x:v>
      </x:c>
      <x:c r="C26" s="14" t="str">
        <x:v>src-pleiades-658381</x:v>
      </x:c>
      <x:c r="D26" s="14" t="str">
        <x:v>chronology</x:v>
      </x:c>
      <x:c r="E26" s="20" t="b">
        <x:v>1</x:v>
      </x:c>
    </x:row>
    <x:row r="27" ht="24" customHeight="1">
      <x:c r="A27" s="14" t="str">
        <x:v>es-city-antioch-orontes-pleiades-658381-classification</x:v>
      </x:c>
      <x:c r="B27" s="14" t="str">
        <x:v>city-antioch-orontes</x:v>
      </x:c>
      <x:c r="C27" s="14" t="str">
        <x:v>src-pleiades-658381</x:v>
      </x:c>
      <x:c r="D27" s="14" t="str">
        <x:v>classification</x:v>
      </x:c>
      <x:c r="E27" s="20" t="b">
        <x:v>1</x:v>
      </x:c>
    </x:row>
    <x:row r="28" ht="24" customHeight="1">
      <x:c r="A28" s="14" t="str">
        <x:v>es-city-antioch-orontes-pleiades-658381-description</x:v>
      </x:c>
      <x:c r="B28" s="14" t="str">
        <x:v>city-antioch-orontes</x:v>
      </x:c>
      <x:c r="C28" s="14" t="str">
        <x:v>src-pleiades-658381</x:v>
      </x:c>
      <x:c r="D28" s="14" t="str">
        <x:v>description</x:v>
      </x:c>
      <x:c r="E28" s="20" t="b">
        <x:v>1</x:v>
      </x:c>
    </x:row>
    <x:row r="29" ht="24" customHeight="1">
      <x:c r="A29" s="14" t="str">
        <x:v>es-city-antioch-orontes-pleiades-658381-geometry</x:v>
      </x:c>
      <x:c r="B29" s="14" t="str">
        <x:v>city-antioch-orontes</x:v>
      </x:c>
      <x:c r="C29" s="14" t="str">
        <x:v>src-pleiades-658381</x:v>
      </x:c>
      <x:c r="D29" s="14" t="str">
        <x:v>geometry</x:v>
      </x:c>
      <x:c r="E29" s="20" t="b">
        <x:v>1</x:v>
      </x:c>
    </x:row>
    <x:row r="30" ht="24" customHeight="1">
      <x:c r="A30" s="14" t="str">
        <x:v>es-city-antioch-orontes-pleiades-658381-identity</x:v>
      </x:c>
      <x:c r="B30" s="14" t="str">
        <x:v>city-antioch-orontes</x:v>
      </x:c>
      <x:c r="C30" s="14" t="str">
        <x:v>src-pleiades-658381</x:v>
      </x:c>
      <x:c r="D30" s="14" t="str">
        <x:v>identity</x:v>
      </x:c>
      <x:c r="E30" s="20" t="b">
        <x:v>1</x:v>
      </x:c>
    </x:row>
    <x:row r="31" ht="24" customHeight="1">
      <x:c r="A31" s="14" t="str">
        <x:v>es-city-antioch-orontes-pleiades-658381-names</x:v>
      </x:c>
      <x:c r="B31" s="14" t="str">
        <x:v>city-antioch-orontes</x:v>
      </x:c>
      <x:c r="C31" s="14" t="str">
        <x:v>src-pleiades-658381</x:v>
      </x:c>
      <x:c r="D31" s="14" t="str">
        <x:v>names</x:v>
      </x:c>
      <x:c r="E31" s="20" t="b">
        <x:v>1</x:v>
      </x:c>
    </x:row>
    <x:row r="32" ht="24" customHeight="1">
      <x:c r="A32" s="14" t="str">
        <x:v>es-city-antioch-orontes-pleiades-658381-relationships</x:v>
      </x:c>
      <x:c r="B32" s="14" t="str">
        <x:v>city-antioch-orontes</x:v>
      </x:c>
      <x:c r="C32" s="14" t="str">
        <x:v>src-pleiades-658381</x:v>
      </x:c>
      <x:c r="D32" s="14" t="str">
        <x:v>relationships</x:v>
      </x:c>
      <x:c r="E32" s="20" t="b">
        <x:v>1</x:v>
      </x:c>
    </x:row>
    <x:row r="33" ht="24" customHeight="1">
      <x:c r="A33" s="14" t="str">
        <x:v>es-city-argos-pleiades-570106-chronology</x:v>
      </x:c>
      <x:c r="B33" s="14" t="str">
        <x:v>city-argos</x:v>
      </x:c>
      <x:c r="C33" s="14" t="str">
        <x:v>src-pleiades-570106</x:v>
      </x:c>
      <x:c r="D33" s="14" t="str">
        <x:v>chronology</x:v>
      </x:c>
      <x:c r="E33" s="20" t="b">
        <x:v>1</x:v>
      </x:c>
    </x:row>
    <x:row r="34" ht="24" customHeight="1">
      <x:c r="A34" s="14" t="str">
        <x:v>es-city-argos-pleiades-570106-classification</x:v>
      </x:c>
      <x:c r="B34" s="14" t="str">
        <x:v>city-argos</x:v>
      </x:c>
      <x:c r="C34" s="14" t="str">
        <x:v>src-pleiades-570106</x:v>
      </x:c>
      <x:c r="D34" s="14" t="str">
        <x:v>classification</x:v>
      </x:c>
      <x:c r="E34" s="20" t="b">
        <x:v>1</x:v>
      </x:c>
    </x:row>
    <x:row r="35" ht="24" customHeight="1">
      <x:c r="A35" s="14" t="str">
        <x:v>es-city-argos-pleiades-570106-description</x:v>
      </x:c>
      <x:c r="B35" s="14" t="str">
        <x:v>city-argos</x:v>
      </x:c>
      <x:c r="C35" s="14" t="str">
        <x:v>src-pleiades-570106</x:v>
      </x:c>
      <x:c r="D35" s="14" t="str">
        <x:v>description</x:v>
      </x:c>
      <x:c r="E35" s="20" t="b">
        <x:v>1</x:v>
      </x:c>
    </x:row>
    <x:row r="36" ht="24" customHeight="1">
      <x:c r="A36" s="14" t="str">
        <x:v>es-city-argos-pleiades-570106-geometry</x:v>
      </x:c>
      <x:c r="B36" s="14" t="str">
        <x:v>city-argos</x:v>
      </x:c>
      <x:c r="C36" s="14" t="str">
        <x:v>src-pleiades-570106</x:v>
      </x:c>
      <x:c r="D36" s="14" t="str">
        <x:v>geometry</x:v>
      </x:c>
      <x:c r="E36" s="20" t="b">
        <x:v>1</x:v>
      </x:c>
    </x:row>
    <x:row r="37" ht="24" customHeight="1">
      <x:c r="A37" s="14" t="str">
        <x:v>es-city-argos-pleiades-570106-identity</x:v>
      </x:c>
      <x:c r="B37" s="14" t="str">
        <x:v>city-argos</x:v>
      </x:c>
      <x:c r="C37" s="14" t="str">
        <x:v>src-pleiades-570106</x:v>
      </x:c>
      <x:c r="D37" s="14" t="str">
        <x:v>identity</x:v>
      </x:c>
      <x:c r="E37" s="20" t="b">
        <x:v>1</x:v>
      </x:c>
    </x:row>
    <x:row r="38" ht="24" customHeight="1">
      <x:c r="A38" s="14" t="str">
        <x:v>es-city-argos-pleiades-570106-names</x:v>
      </x:c>
      <x:c r="B38" s="14" t="str">
        <x:v>city-argos</x:v>
      </x:c>
      <x:c r="C38" s="14" t="str">
        <x:v>src-pleiades-570106</x:v>
      </x:c>
      <x:c r="D38" s="14" t="str">
        <x:v>names</x:v>
      </x:c>
      <x:c r="E38" s="20" t="b">
        <x:v>1</x:v>
      </x:c>
    </x:row>
    <x:row r="39" ht="24" customHeight="1">
      <x:c r="A39" s="14" t="str">
        <x:v>es-city-argos-pleiades-570106-relationships</x:v>
      </x:c>
      <x:c r="B39" s="14" t="str">
        <x:v>city-argos</x:v>
      </x:c>
      <x:c r="C39" s="14" t="str">
        <x:v>src-pleiades-570106</x:v>
      </x:c>
      <x:c r="D39" s="14" t="str">
        <x:v>relationships</x:v>
      </x:c>
      <x:c r="E39" s="20" t="b">
        <x:v>1</x:v>
      </x:c>
    </x:row>
    <x:row r="40" ht="24" customHeight="1">
      <x:c r="A40" s="14" t="str">
        <x:v>es-city-athens-attica-pleiades-579885-chronology</x:v>
      </x:c>
      <x:c r="B40" s="14" t="str">
        <x:v>city-athens-attica</x:v>
      </x:c>
      <x:c r="C40" s="14" t="str">
        <x:v>src-pleiades-579885</x:v>
      </x:c>
      <x:c r="D40" s="14" t="str">
        <x:v>chronology</x:v>
      </x:c>
      <x:c r="E40" s="20" t="b">
        <x:v>1</x:v>
      </x:c>
    </x:row>
    <x:row r="41" ht="24" customHeight="1">
      <x:c r="A41" s="14" t="str">
        <x:v>es-city-athens-attica-pleiades-579885-classification</x:v>
      </x:c>
      <x:c r="B41" s="14" t="str">
        <x:v>city-athens-attica</x:v>
      </x:c>
      <x:c r="C41" s="14" t="str">
        <x:v>src-pleiades-579885</x:v>
      </x:c>
      <x:c r="D41" s="14" t="str">
        <x:v>classification</x:v>
      </x:c>
      <x:c r="E41" s="20" t="b">
        <x:v>1</x:v>
      </x:c>
    </x:row>
    <x:row r="42" ht="24" customHeight="1">
      <x:c r="A42" s="14" t="str">
        <x:v>es-city-athens-attica-pleiades-579885-description</x:v>
      </x:c>
      <x:c r="B42" s="14" t="str">
        <x:v>city-athens-attica</x:v>
      </x:c>
      <x:c r="C42" s="14" t="str">
        <x:v>src-pleiades-579885</x:v>
      </x:c>
      <x:c r="D42" s="14" t="str">
        <x:v>description</x:v>
      </x:c>
      <x:c r="E42" s="20" t="b">
        <x:v>1</x:v>
      </x:c>
    </x:row>
    <x:row r="43" ht="24" customHeight="1">
      <x:c r="A43" s="14" t="str">
        <x:v>es-city-athens-attica-pleiades-579885-geometry</x:v>
      </x:c>
      <x:c r="B43" s="14" t="str">
        <x:v>city-athens-attica</x:v>
      </x:c>
      <x:c r="C43" s="14" t="str">
        <x:v>src-pleiades-579885</x:v>
      </x:c>
      <x:c r="D43" s="14" t="str">
        <x:v>geometry</x:v>
      </x:c>
      <x:c r="E43" s="20" t="b">
        <x:v>1</x:v>
      </x:c>
    </x:row>
    <x:row r="44" ht="24" customHeight="1">
      <x:c r="A44" s="14" t="str">
        <x:v>es-city-athens-attica-pleiades-579885-identity</x:v>
      </x:c>
      <x:c r="B44" s="14" t="str">
        <x:v>city-athens-attica</x:v>
      </x:c>
      <x:c r="C44" s="14" t="str">
        <x:v>src-pleiades-579885</x:v>
      </x:c>
      <x:c r="D44" s="14" t="str">
        <x:v>identity</x:v>
      </x:c>
      <x:c r="E44" s="20" t="b">
        <x:v>1</x:v>
      </x:c>
    </x:row>
    <x:row r="45" ht="24" customHeight="1">
      <x:c r="A45" s="14" t="str">
        <x:v>es-city-athens-attica-pleiades-579885-names</x:v>
      </x:c>
      <x:c r="B45" s="14" t="str">
        <x:v>city-athens-attica</x:v>
      </x:c>
      <x:c r="C45" s="14" t="str">
        <x:v>src-pleiades-579885</x:v>
      </x:c>
      <x:c r="D45" s="14" t="str">
        <x:v>names</x:v>
      </x:c>
      <x:c r="E45" s="20" t="b">
        <x:v>1</x:v>
      </x:c>
    </x:row>
    <x:row r="46" ht="24" customHeight="1">
      <x:c r="A46" s="14" t="str">
        <x:v>es-city-athens-attica-pleiades-579885-relationships</x:v>
      </x:c>
      <x:c r="B46" s="14" t="str">
        <x:v>city-athens-attica</x:v>
      </x:c>
      <x:c r="C46" s="14" t="str">
        <x:v>src-pleiades-579885</x:v>
      </x:c>
      <x:c r="D46" s="14" t="str">
        <x:v>relationships</x:v>
      </x:c>
      <x:c r="E46" s="20" t="b">
        <x:v>1</x:v>
      </x:c>
    </x:row>
    <x:row r="47" ht="24" customHeight="1">
      <x:c r="A47" s="14" t="str">
        <x:v>es-city-chalcis-euboea-pleiades-540703-chronology</x:v>
      </x:c>
      <x:c r="B47" s="14" t="str">
        <x:v>city-chalcis-euboea</x:v>
      </x:c>
      <x:c r="C47" s="14" t="str">
        <x:v>src-pleiades-540703</x:v>
      </x:c>
      <x:c r="D47" s="14" t="str">
        <x:v>chronology</x:v>
      </x:c>
      <x:c r="E47" s="20" t="b">
        <x:v>1</x:v>
      </x:c>
    </x:row>
    <x:row r="48" ht="24" customHeight="1">
      <x:c r="A48" s="14" t="str">
        <x:v>es-city-chalcis-euboea-pleiades-540703-classification</x:v>
      </x:c>
      <x:c r="B48" s="14" t="str">
        <x:v>city-chalcis-euboea</x:v>
      </x:c>
      <x:c r="C48" s="14" t="str">
        <x:v>src-pleiades-540703</x:v>
      </x:c>
      <x:c r="D48" s="14" t="str">
        <x:v>classification</x:v>
      </x:c>
      <x:c r="E48" s="20" t="b">
        <x:v>1</x:v>
      </x:c>
    </x:row>
    <x:row r="49" ht="24" customHeight="1">
      <x:c r="A49" s="14" t="str">
        <x:v>es-city-chalcis-euboea-pleiades-540703-description</x:v>
      </x:c>
      <x:c r="B49" s="14" t="str">
        <x:v>city-chalcis-euboea</x:v>
      </x:c>
      <x:c r="C49" s="14" t="str">
        <x:v>src-pleiades-540703</x:v>
      </x:c>
      <x:c r="D49" s="14" t="str">
        <x:v>description</x:v>
      </x:c>
      <x:c r="E49" s="20" t="b">
        <x:v>1</x:v>
      </x:c>
    </x:row>
    <x:row r="50" ht="24" customHeight="1">
      <x:c r="A50" s="14" t="str">
        <x:v>es-city-chalcis-euboea-pleiades-540703-geometry</x:v>
      </x:c>
      <x:c r="B50" s="14" t="str">
        <x:v>city-chalcis-euboea</x:v>
      </x:c>
      <x:c r="C50" s="14" t="str">
        <x:v>src-pleiades-540703</x:v>
      </x:c>
      <x:c r="D50" s="14" t="str">
        <x:v>geometry</x:v>
      </x:c>
      <x:c r="E50" s="20" t="b">
        <x:v>1</x:v>
      </x:c>
    </x:row>
    <x:row r="51" ht="24" customHeight="1">
      <x:c r="A51" s="14" t="str">
        <x:v>es-city-chalcis-euboea-pleiades-540703-identity</x:v>
      </x:c>
      <x:c r="B51" s="14" t="str">
        <x:v>city-chalcis-euboea</x:v>
      </x:c>
      <x:c r="C51" s="14" t="str">
        <x:v>src-pleiades-540703</x:v>
      </x:c>
      <x:c r="D51" s="14" t="str">
        <x:v>identity</x:v>
      </x:c>
      <x:c r="E51" s="20" t="b">
        <x:v>1</x:v>
      </x:c>
    </x:row>
    <x:row r="52" ht="24" customHeight="1">
      <x:c r="A52" s="14" t="str">
        <x:v>es-city-chalcis-euboea-pleiades-540703-names</x:v>
      </x:c>
      <x:c r="B52" s="14" t="str">
        <x:v>city-chalcis-euboea</x:v>
      </x:c>
      <x:c r="C52" s="14" t="str">
        <x:v>src-pleiades-540703</x:v>
      </x:c>
      <x:c r="D52" s="14" t="str">
        <x:v>names</x:v>
      </x:c>
      <x:c r="E52" s="20" t="b">
        <x:v>1</x:v>
      </x:c>
    </x:row>
    <x:row r="53" ht="24" customHeight="1">
      <x:c r="A53" s="14" t="str">
        <x:v>es-city-chalcis-euboea-pleiades-540703-relationships</x:v>
      </x:c>
      <x:c r="B53" s="14" t="str">
        <x:v>city-chalcis-euboea</x:v>
      </x:c>
      <x:c r="C53" s="14" t="str">
        <x:v>src-pleiades-540703</x:v>
      </x:c>
      <x:c r="D53" s="14" t="str">
        <x:v>relationships</x:v>
      </x:c>
      <x:c r="E53" s="20" t="b">
        <x:v>1</x:v>
      </x:c>
    </x:row>
    <x:row r="54" ht="24" customHeight="1">
      <x:c r="A54" s="14" t="str">
        <x:v>es-city-chios-city-pleiades-550496-chronology</x:v>
      </x:c>
      <x:c r="B54" s="14" t="str">
        <x:v>city-chios-city</x:v>
      </x:c>
      <x:c r="C54" s="14" t="str">
        <x:v>src-pleiades-550496</x:v>
      </x:c>
      <x:c r="D54" s="14" t="str">
        <x:v>chronology</x:v>
      </x:c>
      <x:c r="E54" s="20" t="b">
        <x:v>1</x:v>
      </x:c>
    </x:row>
    <x:row r="55" ht="24" customHeight="1">
      <x:c r="A55" s="14" t="str">
        <x:v>es-city-chios-city-pleiades-550496-classification</x:v>
      </x:c>
      <x:c r="B55" s="14" t="str">
        <x:v>city-chios-city</x:v>
      </x:c>
      <x:c r="C55" s="14" t="str">
        <x:v>src-pleiades-550496</x:v>
      </x:c>
      <x:c r="D55" s="14" t="str">
        <x:v>classification</x:v>
      </x:c>
      <x:c r="E55" s="20" t="b">
        <x:v>1</x:v>
      </x:c>
    </x:row>
    <x:row r="56" ht="24" customHeight="1">
      <x:c r="A56" s="14" t="str">
        <x:v>es-city-chios-city-pleiades-550496-description</x:v>
      </x:c>
      <x:c r="B56" s="14" t="str">
        <x:v>city-chios-city</x:v>
      </x:c>
      <x:c r="C56" s="14" t="str">
        <x:v>src-pleiades-550496</x:v>
      </x:c>
      <x:c r="D56" s="14" t="str">
        <x:v>description</x:v>
      </x:c>
      <x:c r="E56" s="20" t="b">
        <x:v>1</x:v>
      </x:c>
    </x:row>
    <x:row r="57" ht="24" customHeight="1">
      <x:c r="A57" s="14" t="str">
        <x:v>es-city-chios-city-pleiades-550496-geometry</x:v>
      </x:c>
      <x:c r="B57" s="14" t="str">
        <x:v>city-chios-city</x:v>
      </x:c>
      <x:c r="C57" s="14" t="str">
        <x:v>src-pleiades-550496</x:v>
      </x:c>
      <x:c r="D57" s="14" t="str">
        <x:v>geometry</x:v>
      </x:c>
      <x:c r="E57" s="20" t="b">
        <x:v>1</x:v>
      </x:c>
    </x:row>
    <x:row r="58" ht="24" customHeight="1">
      <x:c r="A58" s="14" t="str">
        <x:v>es-city-chios-city-pleiades-550496-identity</x:v>
      </x:c>
      <x:c r="B58" s="14" t="str">
        <x:v>city-chios-city</x:v>
      </x:c>
      <x:c r="C58" s="14" t="str">
        <x:v>src-pleiades-550496</x:v>
      </x:c>
      <x:c r="D58" s="14" t="str">
        <x:v>identity</x:v>
      </x:c>
      <x:c r="E58" s="20" t="b">
        <x:v>1</x:v>
      </x:c>
    </x:row>
    <x:row r="59" ht="24" customHeight="1">
      <x:c r="A59" s="14" t="str">
        <x:v>es-city-chios-city-pleiades-550496-names</x:v>
      </x:c>
      <x:c r="B59" s="14" t="str">
        <x:v>city-chios-city</x:v>
      </x:c>
      <x:c r="C59" s="14" t="str">
        <x:v>src-pleiades-550496</x:v>
      </x:c>
      <x:c r="D59" s="14" t="str">
        <x:v>names</x:v>
      </x:c>
      <x:c r="E59" s="20" t="b">
        <x:v>1</x:v>
      </x:c>
    </x:row>
    <x:row r="60" ht="24" customHeight="1">
      <x:c r="A60" s="14" t="str">
        <x:v>es-city-chios-city-pleiades-550496-relationships</x:v>
      </x:c>
      <x:c r="B60" s="14" t="str">
        <x:v>city-chios-city</x:v>
      </x:c>
      <x:c r="C60" s="14" t="str">
        <x:v>src-pleiades-550496</x:v>
      </x:c>
      <x:c r="D60" s="14" t="str">
        <x:v>relationships</x:v>
      </x:c>
      <x:c r="E60" s="20" t="b">
        <x:v>1</x:v>
      </x:c>
    </x:row>
    <x:row r="61" ht="24" customHeight="1">
      <x:c r="A61" s="14" t="str">
        <x:v>es-city-corinth-pleiades-570182-chronology</x:v>
      </x:c>
      <x:c r="B61" s="14" t="str">
        <x:v>city-corinth</x:v>
      </x:c>
      <x:c r="C61" s="14" t="str">
        <x:v>src-pleiades-570182</x:v>
      </x:c>
      <x:c r="D61" s="14" t="str">
        <x:v>chronology</x:v>
      </x:c>
      <x:c r="E61" s="20" t="b">
        <x:v>1</x:v>
      </x:c>
    </x:row>
    <x:row r="62" ht="24" customHeight="1">
      <x:c r="A62" s="14" t="str">
        <x:v>es-city-corinth-pleiades-570182-classification</x:v>
      </x:c>
      <x:c r="B62" s="14" t="str">
        <x:v>city-corinth</x:v>
      </x:c>
      <x:c r="C62" s="14" t="str">
        <x:v>src-pleiades-570182</x:v>
      </x:c>
      <x:c r="D62" s="14" t="str">
        <x:v>classification</x:v>
      </x:c>
      <x:c r="E62" s="20" t="b">
        <x:v>1</x:v>
      </x:c>
    </x:row>
    <x:row r="63" ht="24" customHeight="1">
      <x:c r="A63" s="14" t="str">
        <x:v>es-city-corinth-pleiades-570182-description</x:v>
      </x:c>
      <x:c r="B63" s="14" t="str">
        <x:v>city-corinth</x:v>
      </x:c>
      <x:c r="C63" s="14" t="str">
        <x:v>src-pleiades-570182</x:v>
      </x:c>
      <x:c r="D63" s="14" t="str">
        <x:v>description</x:v>
      </x:c>
      <x:c r="E63" s="20" t="b">
        <x:v>1</x:v>
      </x:c>
    </x:row>
    <x:row r="64" ht="24" customHeight="1">
      <x:c r="A64" s="14" t="str">
        <x:v>es-city-corinth-pleiades-570182-geometry</x:v>
      </x:c>
      <x:c r="B64" s="14" t="str">
        <x:v>city-corinth</x:v>
      </x:c>
      <x:c r="C64" s="14" t="str">
        <x:v>src-pleiades-570182</x:v>
      </x:c>
      <x:c r="D64" s="14" t="str">
        <x:v>geometry</x:v>
      </x:c>
      <x:c r="E64" s="20" t="b">
        <x:v>1</x:v>
      </x:c>
    </x:row>
    <x:row r="65" ht="24" customHeight="1">
      <x:c r="A65" s="14" t="str">
        <x:v>es-city-corinth-pleiades-570182-identity</x:v>
      </x:c>
      <x:c r="B65" s="14" t="str">
        <x:v>city-corinth</x:v>
      </x:c>
      <x:c r="C65" s="14" t="str">
        <x:v>src-pleiades-570182</x:v>
      </x:c>
      <x:c r="D65" s="14" t="str">
        <x:v>identity</x:v>
      </x:c>
      <x:c r="E65" s="20" t="b">
        <x:v>1</x:v>
      </x:c>
    </x:row>
    <x:row r="66" ht="24" customHeight="1">
      <x:c r="A66" s="14" t="str">
        <x:v>es-city-corinth-pleiades-570182-names</x:v>
      </x:c>
      <x:c r="B66" s="14" t="str">
        <x:v>city-corinth</x:v>
      </x:c>
      <x:c r="C66" s="14" t="str">
        <x:v>src-pleiades-570182</x:v>
      </x:c>
      <x:c r="D66" s="14" t="str">
        <x:v>names</x:v>
      </x:c>
      <x:c r="E66" s="20" t="b">
        <x:v>1</x:v>
      </x:c>
    </x:row>
    <x:row r="67" ht="24" customHeight="1">
      <x:c r="A67" s="14" t="str">
        <x:v>es-city-corinth-pleiades-570182-relationships</x:v>
      </x:c>
      <x:c r="B67" s="14" t="str">
        <x:v>city-corinth</x:v>
      </x:c>
      <x:c r="C67" s="14" t="str">
        <x:v>src-pleiades-570182</x:v>
      </x:c>
      <x:c r="D67" s="14" t="str">
        <x:v>relationships</x:v>
      </x:c>
      <x:c r="E67" s="20" t="b">
        <x:v>1</x:v>
      </x:c>
    </x:row>
    <x:row r="68" ht="24" customHeight="1">
      <x:c r="A68" s="14" t="str">
        <x:v>es-city-demetrias-pleiades-540730-chronology</x:v>
      </x:c>
      <x:c r="B68" s="14" t="str">
        <x:v>city-demetrias</x:v>
      </x:c>
      <x:c r="C68" s="14" t="str">
        <x:v>src-pleiades-540730</x:v>
      </x:c>
      <x:c r="D68" s="14" t="str">
        <x:v>chronology</x:v>
      </x:c>
      <x:c r="E68" s="20" t="b">
        <x:v>1</x:v>
      </x:c>
    </x:row>
    <x:row r="69" ht="24" customHeight="1">
      <x:c r="A69" s="14" t="str">
        <x:v>es-city-demetrias-pleiades-540730-classification</x:v>
      </x:c>
      <x:c r="B69" s="14" t="str">
        <x:v>city-demetrias</x:v>
      </x:c>
      <x:c r="C69" s="14" t="str">
        <x:v>src-pleiades-540730</x:v>
      </x:c>
      <x:c r="D69" s="14" t="str">
        <x:v>classification</x:v>
      </x:c>
      <x:c r="E69" s="20" t="b">
        <x:v>1</x:v>
      </x:c>
    </x:row>
    <x:row r="70" ht="24" customHeight="1">
      <x:c r="A70" s="14" t="str">
        <x:v>es-city-demetrias-pleiades-540730-description</x:v>
      </x:c>
      <x:c r="B70" s="14" t="str">
        <x:v>city-demetrias</x:v>
      </x:c>
      <x:c r="C70" s="14" t="str">
        <x:v>src-pleiades-540730</x:v>
      </x:c>
      <x:c r="D70" s="14" t="str">
        <x:v>description</x:v>
      </x:c>
      <x:c r="E70" s="20" t="b">
        <x:v>1</x:v>
      </x:c>
    </x:row>
    <x:row r="71" ht="24" customHeight="1">
      <x:c r="A71" s="14" t="str">
        <x:v>es-city-demetrias-pleiades-540730-geometry</x:v>
      </x:c>
      <x:c r="B71" s="14" t="str">
        <x:v>city-demetrias</x:v>
      </x:c>
      <x:c r="C71" s="14" t="str">
        <x:v>src-pleiades-540730</x:v>
      </x:c>
      <x:c r="D71" s="14" t="str">
        <x:v>geometry</x:v>
      </x:c>
      <x:c r="E71" s="20" t="b">
        <x:v>1</x:v>
      </x:c>
    </x:row>
    <x:row r="72" ht="24" customHeight="1">
      <x:c r="A72" s="14" t="str">
        <x:v>es-city-demetrias-pleiades-540730-identity</x:v>
      </x:c>
      <x:c r="B72" s="14" t="str">
        <x:v>city-demetrias</x:v>
      </x:c>
      <x:c r="C72" s="14" t="str">
        <x:v>src-pleiades-540730</x:v>
      </x:c>
      <x:c r="D72" s="14" t="str">
        <x:v>identity</x:v>
      </x:c>
      <x:c r="E72" s="20" t="b">
        <x:v>1</x:v>
      </x:c>
    </x:row>
    <x:row r="73" ht="24" customHeight="1">
      <x:c r="A73" s="14" t="str">
        <x:v>es-city-demetrias-pleiades-540730-names</x:v>
      </x:c>
      <x:c r="B73" s="14" t="str">
        <x:v>city-demetrias</x:v>
      </x:c>
      <x:c r="C73" s="14" t="str">
        <x:v>src-pleiades-540730</x:v>
      </x:c>
      <x:c r="D73" s="14" t="str">
        <x:v>names</x:v>
      </x:c>
      <x:c r="E73" s="20" t="b">
        <x:v>1</x:v>
      </x:c>
    </x:row>
    <x:row r="74" ht="24" customHeight="1">
      <x:c r="A74" s="14" t="str">
        <x:v>es-city-demetrias-pleiades-540730-relationships</x:v>
      </x:c>
      <x:c r="B74" s="14" t="str">
        <x:v>city-demetrias</x:v>
      </x:c>
      <x:c r="C74" s="14" t="str">
        <x:v>src-pleiades-540730</x:v>
      </x:c>
      <x:c r="D74" s="14" t="str">
        <x:v>relationships</x:v>
      </x:c>
      <x:c r="E74" s="20" t="b">
        <x:v>1</x:v>
      </x:c>
    </x:row>
    <x:row r="75" ht="24" customHeight="1">
      <x:c r="A75" s="14" t="str">
        <x:v>es-city-dion-pleiades-491572-chronology</x:v>
      </x:c>
      <x:c r="B75" s="14" t="str">
        <x:v>city-dion</x:v>
      </x:c>
      <x:c r="C75" s="14" t="str">
        <x:v>src-pleiades-491572</x:v>
      </x:c>
      <x:c r="D75" s="14" t="str">
        <x:v>chronology</x:v>
      </x:c>
      <x:c r="E75" s="20" t="b">
        <x:v>1</x:v>
      </x:c>
    </x:row>
    <x:row r="76" ht="24" customHeight="1">
      <x:c r="A76" s="14" t="str">
        <x:v>es-city-dion-pleiades-491572-classification</x:v>
      </x:c>
      <x:c r="B76" s="14" t="str">
        <x:v>city-dion</x:v>
      </x:c>
      <x:c r="C76" s="14" t="str">
        <x:v>src-pleiades-491572</x:v>
      </x:c>
      <x:c r="D76" s="14" t="str">
        <x:v>classification</x:v>
      </x:c>
      <x:c r="E76" s="20" t="b">
        <x:v>1</x:v>
      </x:c>
    </x:row>
    <x:row r="77" ht="24" customHeight="1">
      <x:c r="A77" s="14" t="str">
        <x:v>es-city-dion-pleiades-491572-description</x:v>
      </x:c>
      <x:c r="B77" s="14" t="str">
        <x:v>city-dion</x:v>
      </x:c>
      <x:c r="C77" s="14" t="str">
        <x:v>src-pleiades-491572</x:v>
      </x:c>
      <x:c r="D77" s="14" t="str">
        <x:v>description</x:v>
      </x:c>
      <x:c r="E77" s="20" t="b">
        <x:v>1</x:v>
      </x:c>
    </x:row>
    <x:row r="78" ht="24" customHeight="1">
      <x:c r="A78" s="14" t="str">
        <x:v>es-city-dion-pleiades-491572-geometry</x:v>
      </x:c>
      <x:c r="B78" s="14" t="str">
        <x:v>city-dion</x:v>
      </x:c>
      <x:c r="C78" s="14" t="str">
        <x:v>src-pleiades-491572</x:v>
      </x:c>
      <x:c r="D78" s="14" t="str">
        <x:v>geometry</x:v>
      </x:c>
      <x:c r="E78" s="20" t="b">
        <x:v>1</x:v>
      </x:c>
    </x:row>
    <x:row r="79" ht="24" customHeight="1">
      <x:c r="A79" s="14" t="str">
        <x:v>es-city-dion-pleiades-491572-identity</x:v>
      </x:c>
      <x:c r="B79" s="14" t="str">
        <x:v>city-dion</x:v>
      </x:c>
      <x:c r="C79" s="14" t="str">
        <x:v>src-pleiades-491572</x:v>
      </x:c>
      <x:c r="D79" s="14" t="str">
        <x:v>identity</x:v>
      </x:c>
      <x:c r="E79" s="20" t="b">
        <x:v>1</x:v>
      </x:c>
    </x:row>
    <x:row r="80" ht="24" customHeight="1">
      <x:c r="A80" s="14" t="str">
        <x:v>es-city-dion-pleiades-491572-names</x:v>
      </x:c>
      <x:c r="B80" s="14" t="str">
        <x:v>city-dion</x:v>
      </x:c>
      <x:c r="C80" s="14" t="str">
        <x:v>src-pleiades-491572</x:v>
      </x:c>
      <x:c r="D80" s="14" t="str">
        <x:v>names</x:v>
      </x:c>
      <x:c r="E80" s="20" t="b">
        <x:v>1</x:v>
      </x:c>
    </x:row>
    <x:row r="81" ht="24" customHeight="1">
      <x:c r="A81" s="14" t="str">
        <x:v>es-city-dion-pleiades-491572-relationships</x:v>
      </x:c>
      <x:c r="B81" s="14" t="str">
        <x:v>city-dion</x:v>
      </x:c>
      <x:c r="C81" s="14" t="str">
        <x:v>src-pleiades-491572</x:v>
      </x:c>
      <x:c r="D81" s="14" t="str">
        <x:v>relationships</x:v>
      </x:c>
      <x:c r="E81" s="20" t="b">
        <x:v>1</x:v>
      </x:c>
    </x:row>
    <x:row r="82" ht="24" customHeight="1">
      <x:c r="A82" s="14" t="str">
        <x:v>es-city-epidaurus-city-pleiades-570228-chronology</x:v>
      </x:c>
      <x:c r="B82" s="14" t="str">
        <x:v>city-epidaurus-city</x:v>
      </x:c>
      <x:c r="C82" s="14" t="str">
        <x:v>src-pleiades-570228</x:v>
      </x:c>
      <x:c r="D82" s="14" t="str">
        <x:v>chronology</x:v>
      </x:c>
      <x:c r="E82" s="20" t="b">
        <x:v>1</x:v>
      </x:c>
    </x:row>
    <x:row r="83" ht="24" customHeight="1">
      <x:c r="A83" s="14" t="str">
        <x:v>es-city-epidaurus-city-pleiades-570228-classification</x:v>
      </x:c>
      <x:c r="B83" s="14" t="str">
        <x:v>city-epidaurus-city</x:v>
      </x:c>
      <x:c r="C83" s="14" t="str">
        <x:v>src-pleiades-570228</x:v>
      </x:c>
      <x:c r="D83" s="14" t="str">
        <x:v>classification</x:v>
      </x:c>
      <x:c r="E83" s="20" t="b">
        <x:v>1</x:v>
      </x:c>
    </x:row>
    <x:row r="84" ht="24" customHeight="1">
      <x:c r="A84" s="14" t="str">
        <x:v>es-city-epidaurus-city-pleiades-570228-description</x:v>
      </x:c>
      <x:c r="B84" s="14" t="str">
        <x:v>city-epidaurus-city</x:v>
      </x:c>
      <x:c r="C84" s="14" t="str">
        <x:v>src-pleiades-570228</x:v>
      </x:c>
      <x:c r="D84" s="14" t="str">
        <x:v>description</x:v>
      </x:c>
      <x:c r="E84" s="20" t="b">
        <x:v>1</x:v>
      </x:c>
    </x:row>
    <x:row r="85" ht="24" customHeight="1">
      <x:c r="A85" s="14" t="str">
        <x:v>es-city-epidaurus-city-pleiades-570228-geometry</x:v>
      </x:c>
      <x:c r="B85" s="14" t="str">
        <x:v>city-epidaurus-city</x:v>
      </x:c>
      <x:c r="C85" s="14" t="str">
        <x:v>src-pleiades-570228</x:v>
      </x:c>
      <x:c r="D85" s="14" t="str">
        <x:v>geometry</x:v>
      </x:c>
      <x:c r="E85" s="20" t="b">
        <x:v>1</x:v>
      </x:c>
    </x:row>
    <x:row r="86" ht="24" customHeight="1">
      <x:c r="A86" s="14" t="str">
        <x:v>es-city-epidaurus-city-pleiades-570228-identity</x:v>
      </x:c>
      <x:c r="B86" s="14" t="str">
        <x:v>city-epidaurus-city</x:v>
      </x:c>
      <x:c r="C86" s="14" t="str">
        <x:v>src-pleiades-570228</x:v>
      </x:c>
      <x:c r="D86" s="14" t="str">
        <x:v>identity</x:v>
      </x:c>
      <x:c r="E86" s="20" t="b">
        <x:v>1</x:v>
      </x:c>
    </x:row>
    <x:row r="87" ht="24" customHeight="1">
      <x:c r="A87" s="14" t="str">
        <x:v>es-city-epidaurus-city-pleiades-570228-names</x:v>
      </x:c>
      <x:c r="B87" s="14" t="str">
        <x:v>city-epidaurus-city</x:v>
      </x:c>
      <x:c r="C87" s="14" t="str">
        <x:v>src-pleiades-570228</x:v>
      </x:c>
      <x:c r="D87" s="14" t="str">
        <x:v>names</x:v>
      </x:c>
      <x:c r="E87" s="20" t="b">
        <x:v>1</x:v>
      </x:c>
    </x:row>
    <x:row r="88" ht="24" customHeight="1">
      <x:c r="A88" s="14" t="str">
        <x:v>es-city-epidaurus-city-pleiades-570228-relationships</x:v>
      </x:c>
      <x:c r="B88" s="14" t="str">
        <x:v>city-epidaurus-city</x:v>
      </x:c>
      <x:c r="C88" s="14" t="str">
        <x:v>src-pleiades-570228</x:v>
      </x:c>
      <x:c r="D88" s="14" t="str">
        <x:v>relationships</x:v>
      </x:c>
      <x:c r="E88" s="20" t="b">
        <x:v>1</x:v>
      </x:c>
    </x:row>
    <x:row r="89" ht="24" customHeight="1">
      <x:c r="A89" s="14" t="str">
        <x:v>es-city-eretria-euboea-pleiades-579925-chronology</x:v>
      </x:c>
      <x:c r="B89" s="14" t="str">
        <x:v>city-eretria-euboea</x:v>
      </x:c>
      <x:c r="C89" s="14" t="str">
        <x:v>src-pleiades-579925</x:v>
      </x:c>
      <x:c r="D89" s="14" t="str">
        <x:v>chronology</x:v>
      </x:c>
      <x:c r="E89" s="20" t="b">
        <x:v>1</x:v>
      </x:c>
    </x:row>
    <x:row r="90" ht="24" customHeight="1">
      <x:c r="A90" s="14" t="str">
        <x:v>es-city-eretria-euboea-pleiades-579925-classification</x:v>
      </x:c>
      <x:c r="B90" s="14" t="str">
        <x:v>city-eretria-euboea</x:v>
      </x:c>
      <x:c r="C90" s="14" t="str">
        <x:v>src-pleiades-579925</x:v>
      </x:c>
      <x:c r="D90" s="14" t="str">
        <x:v>classification</x:v>
      </x:c>
      <x:c r="E90" s="20" t="b">
        <x:v>1</x:v>
      </x:c>
    </x:row>
    <x:row r="91" ht="24" customHeight="1">
      <x:c r="A91" s="14" t="str">
        <x:v>es-city-eretria-euboea-pleiades-579925-description</x:v>
      </x:c>
      <x:c r="B91" s="14" t="str">
        <x:v>city-eretria-euboea</x:v>
      </x:c>
      <x:c r="C91" s="14" t="str">
        <x:v>src-pleiades-579925</x:v>
      </x:c>
      <x:c r="D91" s="14" t="str">
        <x:v>description</x:v>
      </x:c>
      <x:c r="E91" s="20" t="b">
        <x:v>1</x:v>
      </x:c>
    </x:row>
    <x:row r="92" ht="24" customHeight="1">
      <x:c r="A92" s="14" t="str">
        <x:v>es-city-eretria-euboea-pleiades-579925-geometry</x:v>
      </x:c>
      <x:c r="B92" s="14" t="str">
        <x:v>city-eretria-euboea</x:v>
      </x:c>
      <x:c r="C92" s="14" t="str">
        <x:v>src-pleiades-579925</x:v>
      </x:c>
      <x:c r="D92" s="14" t="str">
        <x:v>geometry</x:v>
      </x:c>
      <x:c r="E92" s="20" t="b">
        <x:v>1</x:v>
      </x:c>
    </x:row>
    <x:row r="93" ht="24" customHeight="1">
      <x:c r="A93" s="14" t="str">
        <x:v>es-city-eretria-euboea-pleiades-579925-identity</x:v>
      </x:c>
      <x:c r="B93" s="14" t="str">
        <x:v>city-eretria-euboea</x:v>
      </x:c>
      <x:c r="C93" s="14" t="str">
        <x:v>src-pleiades-579925</x:v>
      </x:c>
      <x:c r="D93" s="14" t="str">
        <x:v>identity</x:v>
      </x:c>
      <x:c r="E93" s="20" t="b">
        <x:v>1</x:v>
      </x:c>
    </x:row>
    <x:row r="94" ht="24" customHeight="1">
      <x:c r="A94" s="14" t="str">
        <x:v>es-city-eretria-euboea-pleiades-579925-names</x:v>
      </x:c>
      <x:c r="B94" s="14" t="str">
        <x:v>city-eretria-euboea</x:v>
      </x:c>
      <x:c r="C94" s="14" t="str">
        <x:v>src-pleiades-579925</x:v>
      </x:c>
      <x:c r="D94" s="14" t="str">
        <x:v>names</x:v>
      </x:c>
      <x:c r="E94" s="20" t="b">
        <x:v>1</x:v>
      </x:c>
    </x:row>
    <x:row r="95" ht="24" customHeight="1">
      <x:c r="A95" s="14" t="str">
        <x:v>es-city-eretria-euboea-pleiades-579925-relationships</x:v>
      </x:c>
      <x:c r="B95" s="14" t="str">
        <x:v>city-eretria-euboea</x:v>
      </x:c>
      <x:c r="C95" s="14" t="str">
        <x:v>src-pleiades-579925</x:v>
      </x:c>
      <x:c r="D95" s="14" t="str">
        <x:v>relationships</x:v>
      </x:c>
      <x:c r="E95" s="20" t="b">
        <x:v>1</x:v>
      </x:c>
    </x:row>
    <x:row r="96" ht="24" customHeight="1">
      <x:c r="A96" s="14" t="str">
        <x:v>es-city-gortyn-pleiades-589796-chronology</x:v>
      </x:c>
      <x:c r="B96" s="14" t="str">
        <x:v>city-gortyn</x:v>
      </x:c>
      <x:c r="C96" s="14" t="str">
        <x:v>src-pleiades-589796</x:v>
      </x:c>
      <x:c r="D96" s="14" t="str">
        <x:v>chronology</x:v>
      </x:c>
      <x:c r="E96" s="20" t="b">
        <x:v>1</x:v>
      </x:c>
    </x:row>
    <x:row r="97" ht="24" customHeight="1">
      <x:c r="A97" s="14" t="str">
        <x:v>es-city-gortyn-pleiades-589796-classification</x:v>
      </x:c>
      <x:c r="B97" s="14" t="str">
        <x:v>city-gortyn</x:v>
      </x:c>
      <x:c r="C97" s="14" t="str">
        <x:v>src-pleiades-589796</x:v>
      </x:c>
      <x:c r="D97" s="14" t="str">
        <x:v>classification</x:v>
      </x:c>
      <x:c r="E97" s="20" t="b">
        <x:v>1</x:v>
      </x:c>
    </x:row>
    <x:row r="98" ht="24" customHeight="1">
      <x:c r="A98" s="14" t="str">
        <x:v>es-city-gortyn-pleiades-589796-description</x:v>
      </x:c>
      <x:c r="B98" s="14" t="str">
        <x:v>city-gortyn</x:v>
      </x:c>
      <x:c r="C98" s="14" t="str">
        <x:v>src-pleiades-589796</x:v>
      </x:c>
      <x:c r="D98" s="14" t="str">
        <x:v>description</x:v>
      </x:c>
      <x:c r="E98" s="20" t="b">
        <x:v>1</x:v>
      </x:c>
    </x:row>
    <x:row r="99" ht="24" customHeight="1">
      <x:c r="A99" s="14" t="str">
        <x:v>es-city-gortyn-pleiades-589796-geometry</x:v>
      </x:c>
      <x:c r="B99" s="14" t="str">
        <x:v>city-gortyn</x:v>
      </x:c>
      <x:c r="C99" s="14" t="str">
        <x:v>src-pleiades-589796</x:v>
      </x:c>
      <x:c r="D99" s="14" t="str">
        <x:v>geometry</x:v>
      </x:c>
      <x:c r="E99" s="20" t="b">
        <x:v>1</x:v>
      </x:c>
    </x:row>
    <x:row r="100" ht="24" customHeight="1">
      <x:c r="A100" s="14" t="str">
        <x:v>es-city-gortyn-pleiades-589796-identity</x:v>
      </x:c>
      <x:c r="B100" s="14" t="str">
        <x:v>city-gortyn</x:v>
      </x:c>
      <x:c r="C100" s="14" t="str">
        <x:v>src-pleiades-589796</x:v>
      </x:c>
      <x:c r="D100" s="14" t="str">
        <x:v>identity</x:v>
      </x:c>
      <x:c r="E100" s="20" t="b">
        <x:v>1</x:v>
      </x:c>
    </x:row>
    <x:row r="101" ht="24" customHeight="1">
      <x:c r="A101" s="14" t="str">
        <x:v>es-city-gortyn-pleiades-589796-names</x:v>
      </x:c>
      <x:c r="B101" s="14" t="str">
        <x:v>city-gortyn</x:v>
      </x:c>
      <x:c r="C101" s="14" t="str">
        <x:v>src-pleiades-589796</x:v>
      </x:c>
      <x:c r="D101" s="14" t="str">
        <x:v>names</x:v>
      </x:c>
      <x:c r="E101" s="20" t="b">
        <x:v>1</x:v>
      </x:c>
    </x:row>
    <x:row r="102" ht="24" customHeight="1">
      <x:c r="A102" s="14" t="str">
        <x:v>es-city-gortyn-pleiades-589796-relationships</x:v>
      </x:c>
      <x:c r="B102" s="14" t="str">
        <x:v>city-gortyn</x:v>
      </x:c>
      <x:c r="C102" s="14" t="str">
        <x:v>src-pleiades-589796</x:v>
      </x:c>
      <x:c r="D102" s="14" t="str">
        <x:v>relationships</x:v>
      </x:c>
      <x:c r="E102" s="20" t="b">
        <x:v>1</x:v>
      </x:c>
    </x:row>
    <x:row r="103" ht="24" customHeight="1">
      <x:c r="A103" s="14" t="str">
        <x:v>es-city-knossos-pleiades-589872-chronology</x:v>
      </x:c>
      <x:c r="B103" s="14" t="str">
        <x:v>city-knossos</x:v>
      </x:c>
      <x:c r="C103" s="14" t="str">
        <x:v>src-pleiades-589872</x:v>
      </x:c>
      <x:c r="D103" s="14" t="str">
        <x:v>chronology</x:v>
      </x:c>
      <x:c r="E103" s="20" t="b">
        <x:v>1</x:v>
      </x:c>
    </x:row>
    <x:row r="104" ht="24" customHeight="1">
      <x:c r="A104" s="14" t="str">
        <x:v>es-city-knossos-pleiades-589872-classification</x:v>
      </x:c>
      <x:c r="B104" s="14" t="str">
        <x:v>city-knossos</x:v>
      </x:c>
      <x:c r="C104" s="14" t="str">
        <x:v>src-pleiades-589872</x:v>
      </x:c>
      <x:c r="D104" s="14" t="str">
        <x:v>classification</x:v>
      </x:c>
      <x:c r="E104" s="20" t="b">
        <x:v>1</x:v>
      </x:c>
    </x:row>
    <x:row r="105" ht="24" customHeight="1">
      <x:c r="A105" s="14" t="str">
        <x:v>es-city-knossos-pleiades-589872-description</x:v>
      </x:c>
      <x:c r="B105" s="14" t="str">
        <x:v>city-knossos</x:v>
      </x:c>
      <x:c r="C105" s="14" t="str">
        <x:v>src-pleiades-589872</x:v>
      </x:c>
      <x:c r="D105" s="14" t="str">
        <x:v>description</x:v>
      </x:c>
      <x:c r="E105" s="20" t="b">
        <x:v>1</x:v>
      </x:c>
    </x:row>
    <x:row r="106" ht="24" customHeight="1">
      <x:c r="A106" s="14" t="str">
        <x:v>es-city-knossos-pleiades-589872-geometry</x:v>
      </x:c>
      <x:c r="B106" s="14" t="str">
        <x:v>city-knossos</x:v>
      </x:c>
      <x:c r="C106" s="14" t="str">
        <x:v>src-pleiades-589872</x:v>
      </x:c>
      <x:c r="D106" s="14" t="str">
        <x:v>geometry</x:v>
      </x:c>
      <x:c r="E106" s="20" t="b">
        <x:v>1</x:v>
      </x:c>
    </x:row>
    <x:row r="107" ht="24" customHeight="1">
      <x:c r="A107" s="14" t="str">
        <x:v>es-city-knossos-pleiades-589872-identity</x:v>
      </x:c>
      <x:c r="B107" s="14" t="str">
        <x:v>city-knossos</x:v>
      </x:c>
      <x:c r="C107" s="14" t="str">
        <x:v>src-pleiades-589872</x:v>
      </x:c>
      <x:c r="D107" s="14" t="str">
        <x:v>identity</x:v>
      </x:c>
      <x:c r="E107" s="20" t="b">
        <x:v>1</x:v>
      </x:c>
    </x:row>
    <x:row r="108" ht="24" customHeight="1">
      <x:c r="A108" s="14" t="str">
        <x:v>es-city-knossos-pleiades-589872-names</x:v>
      </x:c>
      <x:c r="B108" s="14" t="str">
        <x:v>city-knossos</x:v>
      </x:c>
      <x:c r="C108" s="14" t="str">
        <x:v>src-pleiades-589872</x:v>
      </x:c>
      <x:c r="D108" s="14" t="str">
        <x:v>names</x:v>
      </x:c>
      <x:c r="E108" s="20" t="b">
        <x:v>1</x:v>
      </x:c>
    </x:row>
    <x:row r="109" ht="24" customHeight="1">
      <x:c r="A109" s="14" t="str">
        <x:v>es-city-knossos-pleiades-589872-relationships</x:v>
      </x:c>
      <x:c r="B109" s="14" t="str">
        <x:v>city-knossos</x:v>
      </x:c>
      <x:c r="C109" s="14" t="str">
        <x:v>src-pleiades-589872</x:v>
      </x:c>
      <x:c r="D109" s="14" t="str">
        <x:v>relationships</x:v>
      </x:c>
      <x:c r="E109" s="20" t="b">
        <x:v>1</x:v>
      </x:c>
    </x:row>
    <x:row r="110" ht="24" customHeight="1">
      <x:c r="A110" s="14" t="str">
        <x:v>es-city-kos-city-pleiades-599728-chronology</x:v>
      </x:c>
      <x:c r="B110" s="14" t="str">
        <x:v>city-kos-city</x:v>
      </x:c>
      <x:c r="C110" s="14" t="str">
        <x:v>src-pleiades-599728</x:v>
      </x:c>
      <x:c r="D110" s="14" t="str">
        <x:v>chronology</x:v>
      </x:c>
      <x:c r="E110" s="20" t="b">
        <x:v>1</x:v>
      </x:c>
    </x:row>
    <x:row r="111" ht="24" customHeight="1">
      <x:c r="A111" s="14" t="str">
        <x:v>es-city-kos-city-pleiades-599728-classification</x:v>
      </x:c>
      <x:c r="B111" s="14" t="str">
        <x:v>city-kos-city</x:v>
      </x:c>
      <x:c r="C111" s="14" t="str">
        <x:v>src-pleiades-599728</x:v>
      </x:c>
      <x:c r="D111" s="14" t="str">
        <x:v>classification</x:v>
      </x:c>
      <x:c r="E111" s="20" t="b">
        <x:v>1</x:v>
      </x:c>
    </x:row>
    <x:row r="112" ht="24" customHeight="1">
      <x:c r="A112" s="14" t="str">
        <x:v>es-city-kos-city-pleiades-599728-description</x:v>
      </x:c>
      <x:c r="B112" s="14" t="str">
        <x:v>city-kos-city</x:v>
      </x:c>
      <x:c r="C112" s="14" t="str">
        <x:v>src-pleiades-599728</x:v>
      </x:c>
      <x:c r="D112" s="14" t="str">
        <x:v>description</x:v>
      </x:c>
      <x:c r="E112" s="20" t="b">
        <x:v>1</x:v>
      </x:c>
    </x:row>
    <x:row r="113" ht="24" customHeight="1">
      <x:c r="A113" s="14" t="str">
        <x:v>es-city-kos-city-pleiades-599728-geometry</x:v>
      </x:c>
      <x:c r="B113" s="14" t="str">
        <x:v>city-kos-city</x:v>
      </x:c>
      <x:c r="C113" s="14" t="str">
        <x:v>src-pleiades-599728</x:v>
      </x:c>
      <x:c r="D113" s="14" t="str">
        <x:v>geometry</x:v>
      </x:c>
      <x:c r="E113" s="20" t="b">
        <x:v>1</x:v>
      </x:c>
    </x:row>
    <x:row r="114" ht="24" customHeight="1">
      <x:c r="A114" s="14" t="str">
        <x:v>es-city-kos-city-pleiades-599728-identity</x:v>
      </x:c>
      <x:c r="B114" s="14" t="str">
        <x:v>city-kos-city</x:v>
      </x:c>
      <x:c r="C114" s="14" t="str">
        <x:v>src-pleiades-599728</x:v>
      </x:c>
      <x:c r="D114" s="14" t="str">
        <x:v>identity</x:v>
      </x:c>
      <x:c r="E114" s="20" t="b">
        <x:v>1</x:v>
      </x:c>
    </x:row>
    <x:row r="115" ht="24" customHeight="1">
      <x:c r="A115" s="14" t="str">
        <x:v>es-city-kos-city-pleiades-599728-names</x:v>
      </x:c>
      <x:c r="B115" s="14" t="str">
        <x:v>city-kos-city</x:v>
      </x:c>
      <x:c r="C115" s="14" t="str">
        <x:v>src-pleiades-599728</x:v>
      </x:c>
      <x:c r="D115" s="14" t="str">
        <x:v>names</x:v>
      </x:c>
      <x:c r="E115" s="20" t="b">
        <x:v>1</x:v>
      </x:c>
    </x:row>
    <x:row r="116" ht="24" customHeight="1">
      <x:c r="A116" s="14" t="str">
        <x:v>es-city-kos-city-pleiades-599728-relationships</x:v>
      </x:c>
      <x:c r="B116" s="14" t="str">
        <x:v>city-kos-city</x:v>
      </x:c>
      <x:c r="C116" s="14" t="str">
        <x:v>src-pleiades-599728</x:v>
      </x:c>
      <x:c r="D116" s="14" t="str">
        <x:v>relationships</x:v>
      </x:c>
      <x:c r="E116" s="20" t="b">
        <x:v>1</x:v>
      </x:c>
    </x:row>
    <x:row r="117" ht="24" customHeight="1">
      <x:c r="A117" s="14" t="str">
        <x:v>es-city-larissa-thessaly-pleiades-540905-chronology</x:v>
      </x:c>
      <x:c r="B117" s="14" t="str">
        <x:v>city-larissa-thessaly</x:v>
      </x:c>
      <x:c r="C117" s="14" t="str">
        <x:v>src-pleiades-540905</x:v>
      </x:c>
      <x:c r="D117" s="14" t="str">
        <x:v>chronology</x:v>
      </x:c>
      <x:c r="E117" s="20" t="b">
        <x:v>1</x:v>
      </x:c>
    </x:row>
    <x:row r="118" ht="24" customHeight="1">
      <x:c r="A118" s="14" t="str">
        <x:v>es-city-larissa-thessaly-pleiades-540905-classification</x:v>
      </x:c>
      <x:c r="B118" s="14" t="str">
        <x:v>city-larissa-thessaly</x:v>
      </x:c>
      <x:c r="C118" s="14" t="str">
        <x:v>src-pleiades-540905</x:v>
      </x:c>
      <x:c r="D118" s="14" t="str">
        <x:v>classification</x:v>
      </x:c>
      <x:c r="E118" s="20" t="b">
        <x:v>1</x:v>
      </x:c>
    </x:row>
    <x:row r="119" ht="24" customHeight="1">
      <x:c r="A119" s="14" t="str">
        <x:v>es-city-larissa-thessaly-pleiades-540905-description</x:v>
      </x:c>
      <x:c r="B119" s="14" t="str">
        <x:v>city-larissa-thessaly</x:v>
      </x:c>
      <x:c r="C119" s="14" t="str">
        <x:v>src-pleiades-540905</x:v>
      </x:c>
      <x:c r="D119" s="14" t="str">
        <x:v>description</x:v>
      </x:c>
      <x:c r="E119" s="20" t="b">
        <x:v>1</x:v>
      </x:c>
    </x:row>
    <x:row r="120" ht="24" customHeight="1">
      <x:c r="A120" s="14" t="str">
        <x:v>es-city-larissa-thessaly-pleiades-540905-geometry</x:v>
      </x:c>
      <x:c r="B120" s="14" t="str">
        <x:v>city-larissa-thessaly</x:v>
      </x:c>
      <x:c r="C120" s="14" t="str">
        <x:v>src-pleiades-540905</x:v>
      </x:c>
      <x:c r="D120" s="14" t="str">
        <x:v>geometry</x:v>
      </x:c>
      <x:c r="E120" s="20" t="b">
        <x:v>1</x:v>
      </x:c>
    </x:row>
    <x:row r="121" ht="24" customHeight="1">
      <x:c r="A121" s="14" t="str">
        <x:v>es-city-larissa-thessaly-pleiades-540905-identity</x:v>
      </x:c>
      <x:c r="B121" s="14" t="str">
        <x:v>city-larissa-thessaly</x:v>
      </x:c>
      <x:c r="C121" s="14" t="str">
        <x:v>src-pleiades-540905</x:v>
      </x:c>
      <x:c r="D121" s="14" t="str">
        <x:v>identity</x:v>
      </x:c>
      <x:c r="E121" s="20" t="b">
        <x:v>1</x:v>
      </x:c>
    </x:row>
    <x:row r="122" ht="24" customHeight="1">
      <x:c r="A122" s="14" t="str">
        <x:v>es-city-larissa-thessaly-pleiades-540905-names</x:v>
      </x:c>
      <x:c r="B122" s="14" t="str">
        <x:v>city-larissa-thessaly</x:v>
      </x:c>
      <x:c r="C122" s="14" t="str">
        <x:v>src-pleiades-540905</x:v>
      </x:c>
      <x:c r="D122" s="14" t="str">
        <x:v>names</x:v>
      </x:c>
      <x:c r="E122" s="20" t="b">
        <x:v>1</x:v>
      </x:c>
    </x:row>
    <x:row r="123" ht="24" customHeight="1">
      <x:c r="A123" s="14" t="str">
        <x:v>es-city-larissa-thessaly-pleiades-540905-relationships</x:v>
      </x:c>
      <x:c r="B123" s="14" t="str">
        <x:v>city-larissa-thessaly</x:v>
      </x:c>
      <x:c r="C123" s="14" t="str">
        <x:v>src-pleiades-540905</x:v>
      </x:c>
      <x:c r="D123" s="14" t="str">
        <x:v>relationships</x:v>
      </x:c>
      <x:c r="E123" s="20" t="b">
        <x:v>1</x:v>
      </x:c>
    </x:row>
    <x:row r="124" ht="24" customHeight="1">
      <x:c r="A124" s="14" t="str">
        <x:v>es-city-lindos-pleiades-589913-chronology</x:v>
      </x:c>
      <x:c r="B124" s="14" t="str">
        <x:v>city-lindos</x:v>
      </x:c>
      <x:c r="C124" s="14" t="str">
        <x:v>src-pleiades-589913</x:v>
      </x:c>
      <x:c r="D124" s="14" t="str">
        <x:v>chronology</x:v>
      </x:c>
      <x:c r="E124" s="20" t="b">
        <x:v>1</x:v>
      </x:c>
    </x:row>
    <x:row r="125" ht="24" customHeight="1">
      <x:c r="A125" s="14" t="str">
        <x:v>es-city-lindos-pleiades-589913-classification</x:v>
      </x:c>
      <x:c r="B125" s="14" t="str">
        <x:v>city-lindos</x:v>
      </x:c>
      <x:c r="C125" s="14" t="str">
        <x:v>src-pleiades-589913</x:v>
      </x:c>
      <x:c r="D125" s="14" t="str">
        <x:v>classification</x:v>
      </x:c>
      <x:c r="E125" s="20" t="b">
        <x:v>1</x:v>
      </x:c>
    </x:row>
    <x:row r="126" ht="24" customHeight="1">
      <x:c r="A126" s="14" t="str">
        <x:v>es-city-lindos-pleiades-589913-description</x:v>
      </x:c>
      <x:c r="B126" s="14" t="str">
        <x:v>city-lindos</x:v>
      </x:c>
      <x:c r="C126" s="14" t="str">
        <x:v>src-pleiades-589913</x:v>
      </x:c>
      <x:c r="D126" s="14" t="str">
        <x:v>description</x:v>
      </x:c>
      <x:c r="E126" s="20" t="b">
        <x:v>1</x:v>
      </x:c>
    </x:row>
    <x:row r="127" ht="24" customHeight="1">
      <x:c r="A127" s="14" t="str">
        <x:v>es-city-lindos-pleiades-589913-geometry</x:v>
      </x:c>
      <x:c r="B127" s="14" t="str">
        <x:v>city-lindos</x:v>
      </x:c>
      <x:c r="C127" s="14" t="str">
        <x:v>src-pleiades-589913</x:v>
      </x:c>
      <x:c r="D127" s="14" t="str">
        <x:v>geometry</x:v>
      </x:c>
      <x:c r="E127" s="20" t="b">
        <x:v>1</x:v>
      </x:c>
    </x:row>
    <x:row r="128" ht="24" customHeight="1">
      <x:c r="A128" s="14" t="str">
        <x:v>es-city-lindos-pleiades-589913-identity</x:v>
      </x:c>
      <x:c r="B128" s="14" t="str">
        <x:v>city-lindos</x:v>
      </x:c>
      <x:c r="C128" s="14" t="str">
        <x:v>src-pleiades-589913</x:v>
      </x:c>
      <x:c r="D128" s="14" t="str">
        <x:v>identity</x:v>
      </x:c>
      <x:c r="E128" s="20" t="b">
        <x:v>1</x:v>
      </x:c>
    </x:row>
    <x:row r="129" ht="24" customHeight="1">
      <x:c r="A129" s="14" t="str">
        <x:v>es-city-lindos-pleiades-589913-names</x:v>
      </x:c>
      <x:c r="B129" s="14" t="str">
        <x:v>city-lindos</x:v>
      </x:c>
      <x:c r="C129" s="14" t="str">
        <x:v>src-pleiades-589913</x:v>
      </x:c>
      <x:c r="D129" s="14" t="str">
        <x:v>names</x:v>
      </x:c>
      <x:c r="E129" s="20" t="b">
        <x:v>1</x:v>
      </x:c>
    </x:row>
    <x:row r="130" ht="24" customHeight="1">
      <x:c r="A130" s="14" t="str">
        <x:v>es-city-lindos-pleiades-589913-relationships</x:v>
      </x:c>
      <x:c r="B130" s="14" t="str">
        <x:v>city-lindos</x:v>
      </x:c>
      <x:c r="C130" s="14" t="str">
        <x:v>src-pleiades-589913</x:v>
      </x:c>
      <x:c r="D130" s="14" t="str">
        <x:v>relationships</x:v>
      </x:c>
      <x:c r="E130" s="20" t="b">
        <x:v>1</x:v>
      </x:c>
    </x:row>
    <x:row r="131" ht="24" customHeight="1">
      <x:c r="A131" s="14" t="str">
        <x:v>es-city-mantinea-pleiades-570459-chronology</x:v>
      </x:c>
      <x:c r="B131" s="14" t="str">
        <x:v>city-mantinea</x:v>
      </x:c>
      <x:c r="C131" s="14" t="str">
        <x:v>src-pleiades-570459</x:v>
      </x:c>
      <x:c r="D131" s="14" t="str">
        <x:v>chronology</x:v>
      </x:c>
      <x:c r="E131" s="20" t="b">
        <x:v>1</x:v>
      </x:c>
    </x:row>
    <x:row r="132" ht="24" customHeight="1">
      <x:c r="A132" s="14" t="str">
        <x:v>es-city-mantinea-pleiades-570459-classification</x:v>
      </x:c>
      <x:c r="B132" s="14" t="str">
        <x:v>city-mantinea</x:v>
      </x:c>
      <x:c r="C132" s="14" t="str">
        <x:v>src-pleiades-570459</x:v>
      </x:c>
      <x:c r="D132" s="14" t="str">
        <x:v>classification</x:v>
      </x:c>
      <x:c r="E132" s="20" t="b">
        <x:v>1</x:v>
      </x:c>
    </x:row>
    <x:row r="133" ht="24" customHeight="1">
      <x:c r="A133" s="14" t="str">
        <x:v>es-city-mantinea-pleiades-570459-description</x:v>
      </x:c>
      <x:c r="B133" s="14" t="str">
        <x:v>city-mantinea</x:v>
      </x:c>
      <x:c r="C133" s="14" t="str">
        <x:v>src-pleiades-570459</x:v>
      </x:c>
      <x:c r="D133" s="14" t="str">
        <x:v>description</x:v>
      </x:c>
      <x:c r="E133" s="20" t="b">
        <x:v>1</x:v>
      </x:c>
    </x:row>
    <x:row r="134" ht="24" customHeight="1">
      <x:c r="A134" s="14" t="str">
        <x:v>es-city-mantinea-pleiades-570459-geometry</x:v>
      </x:c>
      <x:c r="B134" s="14" t="str">
        <x:v>city-mantinea</x:v>
      </x:c>
      <x:c r="C134" s="14" t="str">
        <x:v>src-pleiades-570459</x:v>
      </x:c>
      <x:c r="D134" s="14" t="str">
        <x:v>geometry</x:v>
      </x:c>
      <x:c r="E134" s="20" t="b">
        <x:v>1</x:v>
      </x:c>
    </x:row>
    <x:row r="135" ht="24" customHeight="1">
      <x:c r="A135" s="14" t="str">
        <x:v>es-city-mantinea-pleiades-570459-identity</x:v>
      </x:c>
      <x:c r="B135" s="14" t="str">
        <x:v>city-mantinea</x:v>
      </x:c>
      <x:c r="C135" s="14" t="str">
        <x:v>src-pleiades-570459</x:v>
      </x:c>
      <x:c r="D135" s="14" t="str">
        <x:v>identity</x:v>
      </x:c>
      <x:c r="E135" s="20" t="b">
        <x:v>1</x:v>
      </x:c>
    </x:row>
    <x:row r="136" ht="24" customHeight="1">
      <x:c r="A136" s="14" t="str">
        <x:v>es-city-mantinea-pleiades-570459-names</x:v>
      </x:c>
      <x:c r="B136" s="14" t="str">
        <x:v>city-mantinea</x:v>
      </x:c>
      <x:c r="C136" s="14" t="str">
        <x:v>src-pleiades-570459</x:v>
      </x:c>
      <x:c r="D136" s="14" t="str">
        <x:v>names</x:v>
      </x:c>
      <x:c r="E136" s="20" t="b">
        <x:v>1</x:v>
      </x:c>
    </x:row>
    <x:row r="137" ht="24" customHeight="1">
      <x:c r="A137" s="14" t="str">
        <x:v>es-city-mantinea-pleiades-570459-relationships</x:v>
      </x:c>
      <x:c r="B137" s="14" t="str">
        <x:v>city-mantinea</x:v>
      </x:c>
      <x:c r="C137" s="14" t="str">
        <x:v>src-pleiades-570459</x:v>
      </x:c>
      <x:c r="D137" s="14" t="str">
        <x:v>relationships</x:v>
      </x:c>
      <x:c r="E137" s="20" t="b">
        <x:v>1</x:v>
      </x:c>
    </x:row>
    <x:row r="138" ht="24" customHeight="1">
      <x:c r="A138" s="14" t="str">
        <x:v>es-city-megalopolis-pleiades-570467-chronology</x:v>
      </x:c>
      <x:c r="B138" s="14" t="str">
        <x:v>city-megalopolis</x:v>
      </x:c>
      <x:c r="C138" s="14" t="str">
        <x:v>src-pleiades-570467</x:v>
      </x:c>
      <x:c r="D138" s="14" t="str">
        <x:v>chronology</x:v>
      </x:c>
      <x:c r="E138" s="20" t="b">
        <x:v>1</x:v>
      </x:c>
    </x:row>
    <x:row r="139" ht="24" customHeight="1">
      <x:c r="A139" s="14" t="str">
        <x:v>es-city-megalopolis-pleiades-570467-classification</x:v>
      </x:c>
      <x:c r="B139" s="14" t="str">
        <x:v>city-megalopolis</x:v>
      </x:c>
      <x:c r="C139" s="14" t="str">
        <x:v>src-pleiades-570467</x:v>
      </x:c>
      <x:c r="D139" s="14" t="str">
        <x:v>classification</x:v>
      </x:c>
      <x:c r="E139" s="20" t="b">
        <x:v>1</x:v>
      </x:c>
    </x:row>
    <x:row r="140" ht="24" customHeight="1">
      <x:c r="A140" s="14" t="str">
        <x:v>es-city-megalopolis-pleiades-570467-description</x:v>
      </x:c>
      <x:c r="B140" s="14" t="str">
        <x:v>city-megalopolis</x:v>
      </x:c>
      <x:c r="C140" s="14" t="str">
        <x:v>src-pleiades-570467</x:v>
      </x:c>
      <x:c r="D140" s="14" t="str">
        <x:v>description</x:v>
      </x:c>
      <x:c r="E140" s="20" t="b">
        <x:v>1</x:v>
      </x:c>
    </x:row>
    <x:row r="141" ht="24" customHeight="1">
      <x:c r="A141" s="14" t="str">
        <x:v>es-city-megalopolis-pleiades-570467-geometry</x:v>
      </x:c>
      <x:c r="B141" s="14" t="str">
        <x:v>city-megalopolis</x:v>
      </x:c>
      <x:c r="C141" s="14" t="str">
        <x:v>src-pleiades-570467</x:v>
      </x:c>
      <x:c r="D141" s="14" t="str">
        <x:v>geometry</x:v>
      </x:c>
      <x:c r="E141" s="20" t="b">
        <x:v>1</x:v>
      </x:c>
    </x:row>
    <x:row r="142" ht="24" customHeight="1">
      <x:c r="A142" s="14" t="str">
        <x:v>es-city-megalopolis-pleiades-570467-identity</x:v>
      </x:c>
      <x:c r="B142" s="14" t="str">
        <x:v>city-megalopolis</x:v>
      </x:c>
      <x:c r="C142" s="14" t="str">
        <x:v>src-pleiades-570467</x:v>
      </x:c>
      <x:c r="D142" s="14" t="str">
        <x:v>identity</x:v>
      </x:c>
      <x:c r="E142" s="20" t="b">
        <x:v>1</x:v>
      </x:c>
    </x:row>
    <x:row r="143" ht="24" customHeight="1">
      <x:c r="A143" s="14" t="str">
        <x:v>es-city-megalopolis-pleiades-570467-names</x:v>
      </x:c>
      <x:c r="B143" s="14" t="str">
        <x:v>city-megalopolis</x:v>
      </x:c>
      <x:c r="C143" s="14" t="str">
        <x:v>src-pleiades-570467</x:v>
      </x:c>
      <x:c r="D143" s="14" t="str">
        <x:v>names</x:v>
      </x:c>
      <x:c r="E143" s="20" t="b">
        <x:v>1</x:v>
      </x:c>
    </x:row>
    <x:row r="144" ht="24" customHeight="1">
      <x:c r="A144" s="14" t="str">
        <x:v>es-city-megalopolis-pleiades-570467-relationships</x:v>
      </x:c>
      <x:c r="B144" s="14" t="str">
        <x:v>city-megalopolis</x:v>
      </x:c>
      <x:c r="C144" s="14" t="str">
        <x:v>src-pleiades-570467</x:v>
      </x:c>
      <x:c r="D144" s="14" t="str">
        <x:v>relationships</x:v>
      </x:c>
      <x:c r="E144" s="20" t="b">
        <x:v>1</x:v>
      </x:c>
    </x:row>
    <x:row r="145" ht="24" customHeight="1">
      <x:c r="A145" s="14" t="str">
        <x:v>es-city-megara-pleiades-570468-chronology</x:v>
      </x:c>
      <x:c r="B145" s="14" t="str">
        <x:v>city-megara</x:v>
      </x:c>
      <x:c r="C145" s="14" t="str">
        <x:v>src-pleiades-570468</x:v>
      </x:c>
      <x:c r="D145" s="14" t="str">
        <x:v>chronology</x:v>
      </x:c>
      <x:c r="E145" s="20" t="b">
        <x:v>1</x:v>
      </x:c>
    </x:row>
    <x:row r="146" ht="24" customHeight="1">
      <x:c r="A146" s="14" t="str">
        <x:v>es-city-megara-pleiades-570468-classification</x:v>
      </x:c>
      <x:c r="B146" s="14" t="str">
        <x:v>city-megara</x:v>
      </x:c>
      <x:c r="C146" s="14" t="str">
        <x:v>src-pleiades-570468</x:v>
      </x:c>
      <x:c r="D146" s="14" t="str">
        <x:v>classification</x:v>
      </x:c>
      <x:c r="E146" s="20" t="b">
        <x:v>1</x:v>
      </x:c>
    </x:row>
    <x:row r="147" ht="24" customHeight="1">
      <x:c r="A147" s="14" t="str">
        <x:v>es-city-megara-pleiades-570468-description</x:v>
      </x:c>
      <x:c r="B147" s="14" t="str">
        <x:v>city-megara</x:v>
      </x:c>
      <x:c r="C147" s="14" t="str">
        <x:v>src-pleiades-570468</x:v>
      </x:c>
      <x:c r="D147" s="14" t="str">
        <x:v>description</x:v>
      </x:c>
      <x:c r="E147" s="20" t="b">
        <x:v>1</x:v>
      </x:c>
    </x:row>
    <x:row r="148" ht="24" customHeight="1">
      <x:c r="A148" s="14" t="str">
        <x:v>es-city-megara-pleiades-570468-geometry</x:v>
      </x:c>
      <x:c r="B148" s="14" t="str">
        <x:v>city-megara</x:v>
      </x:c>
      <x:c r="C148" s="14" t="str">
        <x:v>src-pleiades-570468</x:v>
      </x:c>
      <x:c r="D148" s="14" t="str">
        <x:v>geometry</x:v>
      </x:c>
      <x:c r="E148" s="20" t="b">
        <x:v>1</x:v>
      </x:c>
    </x:row>
    <x:row r="149" ht="24" customHeight="1">
      <x:c r="A149" s="14" t="str">
        <x:v>es-city-megara-pleiades-570468-identity</x:v>
      </x:c>
      <x:c r="B149" s="14" t="str">
        <x:v>city-megara</x:v>
      </x:c>
      <x:c r="C149" s="14" t="str">
        <x:v>src-pleiades-570468</x:v>
      </x:c>
      <x:c r="D149" s="14" t="str">
        <x:v>identity</x:v>
      </x:c>
      <x:c r="E149" s="20" t="b">
        <x:v>1</x:v>
      </x:c>
    </x:row>
    <x:row r="150" ht="24" customHeight="1">
      <x:c r="A150" s="14" t="str">
        <x:v>es-city-megara-pleiades-570468-names</x:v>
      </x:c>
      <x:c r="B150" s="14" t="str">
        <x:v>city-megara</x:v>
      </x:c>
      <x:c r="C150" s="14" t="str">
        <x:v>src-pleiades-570468</x:v>
      </x:c>
      <x:c r="D150" s="14" t="str">
        <x:v>names</x:v>
      </x:c>
      <x:c r="E150" s="20" t="b">
        <x:v>1</x:v>
      </x:c>
    </x:row>
    <x:row r="151" ht="24" customHeight="1">
      <x:c r="A151" s="14" t="str">
        <x:v>es-city-megara-pleiades-570468-relationships</x:v>
      </x:c>
      <x:c r="B151" s="14" t="str">
        <x:v>city-megara</x:v>
      </x:c>
      <x:c r="C151" s="14" t="str">
        <x:v>src-pleiades-570468</x:v>
      </x:c>
      <x:c r="D151" s="14" t="str">
        <x:v>relationships</x:v>
      </x:c>
      <x:c r="E151" s="20" t="b">
        <x:v>1</x:v>
      </x:c>
    </x:row>
    <x:row r="152" ht="24" customHeight="1">
      <x:c r="A152" s="14" t="str">
        <x:v>es-city-messene-pleiades-570479-chronology</x:v>
      </x:c>
      <x:c r="B152" s="14" t="str">
        <x:v>city-messene</x:v>
      </x:c>
      <x:c r="C152" s="14" t="str">
        <x:v>src-pleiades-570479</x:v>
      </x:c>
      <x:c r="D152" s="14" t="str">
        <x:v>chronology</x:v>
      </x:c>
      <x:c r="E152" s="20" t="b">
        <x:v>1</x:v>
      </x:c>
    </x:row>
    <x:row r="153" ht="24" customHeight="1">
      <x:c r="A153" s="14" t="str">
        <x:v>es-city-messene-pleiades-570479-classification</x:v>
      </x:c>
      <x:c r="B153" s="14" t="str">
        <x:v>city-messene</x:v>
      </x:c>
      <x:c r="C153" s="14" t="str">
        <x:v>src-pleiades-570479</x:v>
      </x:c>
      <x:c r="D153" s="14" t="str">
        <x:v>classification</x:v>
      </x:c>
      <x:c r="E153" s="20" t="b">
        <x:v>1</x:v>
      </x:c>
    </x:row>
    <x:row r="154" ht="24" customHeight="1">
      <x:c r="A154" s="14" t="str">
        <x:v>es-city-messene-pleiades-570479-description</x:v>
      </x:c>
      <x:c r="B154" s="14" t="str">
        <x:v>city-messene</x:v>
      </x:c>
      <x:c r="C154" s="14" t="str">
        <x:v>src-pleiades-570479</x:v>
      </x:c>
      <x:c r="D154" s="14" t="str">
        <x:v>description</x:v>
      </x:c>
      <x:c r="E154" s="20" t="b">
        <x:v>1</x:v>
      </x:c>
    </x:row>
    <x:row r="155" ht="24" customHeight="1">
      <x:c r="A155" s="14" t="str">
        <x:v>es-city-messene-pleiades-570479-geometry</x:v>
      </x:c>
      <x:c r="B155" s="14" t="str">
        <x:v>city-messene</x:v>
      </x:c>
      <x:c r="C155" s="14" t="str">
        <x:v>src-pleiades-570479</x:v>
      </x:c>
      <x:c r="D155" s="14" t="str">
        <x:v>geometry</x:v>
      </x:c>
      <x:c r="E155" s="20" t="b">
        <x:v>1</x:v>
      </x:c>
    </x:row>
    <x:row r="156" ht="24" customHeight="1">
      <x:c r="A156" s="14" t="str">
        <x:v>es-city-messene-pleiades-570479-identity</x:v>
      </x:c>
      <x:c r="B156" s="14" t="str">
        <x:v>city-messene</x:v>
      </x:c>
      <x:c r="C156" s="14" t="str">
        <x:v>src-pleiades-570479</x:v>
      </x:c>
      <x:c r="D156" s="14" t="str">
        <x:v>identity</x:v>
      </x:c>
      <x:c r="E156" s="20" t="b">
        <x:v>1</x:v>
      </x:c>
    </x:row>
    <x:row r="157" ht="24" customHeight="1">
      <x:c r="A157" s="14" t="str">
        <x:v>es-city-messene-pleiades-570479-names</x:v>
      </x:c>
      <x:c r="B157" s="14" t="str">
        <x:v>city-messene</x:v>
      </x:c>
      <x:c r="C157" s="14" t="str">
        <x:v>src-pleiades-570479</x:v>
      </x:c>
      <x:c r="D157" s="14" t="str">
        <x:v>names</x:v>
      </x:c>
      <x:c r="E157" s="20" t="b">
        <x:v>1</x:v>
      </x:c>
    </x:row>
    <x:row r="158" ht="24" customHeight="1">
      <x:c r="A158" s="14" t="str">
        <x:v>es-city-messene-pleiades-570479-relationships</x:v>
      </x:c>
      <x:c r="B158" s="14" t="str">
        <x:v>city-messene</x:v>
      </x:c>
      <x:c r="C158" s="14" t="str">
        <x:v>src-pleiades-570479</x:v>
      </x:c>
      <x:c r="D158" s="14" t="str">
        <x:v>relationships</x:v>
      </x:c>
      <x:c r="E158" s="20" t="b">
        <x:v>1</x:v>
      </x:c>
    </x:row>
    <x:row r="159" ht="24" customHeight="1">
      <x:c r="A159" s="14" t="str">
        <x:v>es-city-mytilene-pleiades-550763-chronology</x:v>
      </x:c>
      <x:c r="B159" s="14" t="str">
        <x:v>city-mytilene</x:v>
      </x:c>
      <x:c r="C159" s="14" t="str">
        <x:v>src-pleiades-550763</x:v>
      </x:c>
      <x:c r="D159" s="14" t="str">
        <x:v>chronology</x:v>
      </x:c>
      <x:c r="E159" s="20" t="b">
        <x:v>1</x:v>
      </x:c>
    </x:row>
    <x:row r="160" ht="24" customHeight="1">
      <x:c r="A160" s="14" t="str">
        <x:v>es-city-mytilene-pleiades-550763-classification</x:v>
      </x:c>
      <x:c r="B160" s="14" t="str">
        <x:v>city-mytilene</x:v>
      </x:c>
      <x:c r="C160" s="14" t="str">
        <x:v>src-pleiades-550763</x:v>
      </x:c>
      <x:c r="D160" s="14" t="str">
        <x:v>classification</x:v>
      </x:c>
      <x:c r="E160" s="20" t="b">
        <x:v>1</x:v>
      </x:c>
    </x:row>
    <x:row r="161" ht="24" customHeight="1">
      <x:c r="A161" s="14" t="str">
        <x:v>es-city-mytilene-pleiades-550763-description</x:v>
      </x:c>
      <x:c r="B161" s="14" t="str">
        <x:v>city-mytilene</x:v>
      </x:c>
      <x:c r="C161" s="14" t="str">
        <x:v>src-pleiades-550763</x:v>
      </x:c>
      <x:c r="D161" s="14" t="str">
        <x:v>description</x:v>
      </x:c>
      <x:c r="E161" s="20" t="b">
        <x:v>1</x:v>
      </x:c>
    </x:row>
    <x:row r="162" ht="24" customHeight="1">
      <x:c r="A162" s="14" t="str">
        <x:v>es-city-mytilene-pleiades-550763-geometry</x:v>
      </x:c>
      <x:c r="B162" s="14" t="str">
        <x:v>city-mytilene</x:v>
      </x:c>
      <x:c r="C162" s="14" t="str">
        <x:v>src-pleiades-550763</x:v>
      </x:c>
      <x:c r="D162" s="14" t="str">
        <x:v>geometry</x:v>
      </x:c>
      <x:c r="E162" s="20" t="b">
        <x:v>1</x:v>
      </x:c>
    </x:row>
    <x:row r="163" ht="24" customHeight="1">
      <x:c r="A163" s="14" t="str">
        <x:v>es-city-mytilene-pleiades-550763-identity</x:v>
      </x:c>
      <x:c r="B163" s="14" t="str">
        <x:v>city-mytilene</x:v>
      </x:c>
      <x:c r="C163" s="14" t="str">
        <x:v>src-pleiades-550763</x:v>
      </x:c>
      <x:c r="D163" s="14" t="str">
        <x:v>identity</x:v>
      </x:c>
      <x:c r="E163" s="20" t="b">
        <x:v>1</x:v>
      </x:c>
    </x:row>
    <x:row r="164" ht="24" customHeight="1">
      <x:c r="A164" s="14" t="str">
        <x:v>es-city-mytilene-pleiades-550763-names</x:v>
      </x:c>
      <x:c r="B164" s="14" t="str">
        <x:v>city-mytilene</x:v>
      </x:c>
      <x:c r="C164" s="14" t="str">
        <x:v>src-pleiades-550763</x:v>
      </x:c>
      <x:c r="D164" s="14" t="str">
        <x:v>names</x:v>
      </x:c>
      <x:c r="E164" s="20" t="b">
        <x:v>1</x:v>
      </x:c>
    </x:row>
    <x:row r="165" ht="24" customHeight="1">
      <x:c r="A165" s="14" t="str">
        <x:v>es-city-mytilene-pleiades-550763-relationships</x:v>
      </x:c>
      <x:c r="B165" s="14" t="str">
        <x:v>city-mytilene</x:v>
      </x:c>
      <x:c r="C165" s="14" t="str">
        <x:v>src-pleiades-550763</x:v>
      </x:c>
      <x:c r="D165" s="14" t="str">
        <x:v>relationships</x:v>
      </x:c>
      <x:c r="E165" s="20" t="b">
        <x:v>1</x:v>
      </x:c>
    </x:row>
    <x:row r="166" ht="24" customHeight="1">
      <x:c r="A166" s="14" t="str">
        <x:v>es-city-naxos-cyclades-pleiades-599821-chronology</x:v>
      </x:c>
      <x:c r="B166" s="14" t="str">
        <x:v>city-naxos-cyclades</x:v>
      </x:c>
      <x:c r="C166" s="14" t="str">
        <x:v>src-pleiades-599821</x:v>
      </x:c>
      <x:c r="D166" s="14" t="str">
        <x:v>chronology</x:v>
      </x:c>
      <x:c r="E166" s="20" t="b">
        <x:v>1</x:v>
      </x:c>
    </x:row>
    <x:row r="167" ht="24" customHeight="1">
      <x:c r="A167" s="14" t="str">
        <x:v>es-city-naxos-cyclades-pleiades-599821-classification</x:v>
      </x:c>
      <x:c r="B167" s="14" t="str">
        <x:v>city-naxos-cyclades</x:v>
      </x:c>
      <x:c r="C167" s="14" t="str">
        <x:v>src-pleiades-599821</x:v>
      </x:c>
      <x:c r="D167" s="14" t="str">
        <x:v>classification</x:v>
      </x:c>
      <x:c r="E167" s="20" t="b">
        <x:v>1</x:v>
      </x:c>
    </x:row>
    <x:row r="168" ht="24" customHeight="1">
      <x:c r="A168" s="14" t="str">
        <x:v>es-city-naxos-cyclades-pleiades-599821-description</x:v>
      </x:c>
      <x:c r="B168" s="14" t="str">
        <x:v>city-naxos-cyclades</x:v>
      </x:c>
      <x:c r="C168" s="14" t="str">
        <x:v>src-pleiades-599821</x:v>
      </x:c>
      <x:c r="D168" s="14" t="str">
        <x:v>description</x:v>
      </x:c>
      <x:c r="E168" s="20" t="b">
        <x:v>1</x:v>
      </x:c>
    </x:row>
    <x:row r="169" ht="24" customHeight="1">
      <x:c r="A169" s="14" t="str">
        <x:v>es-city-naxos-cyclades-pleiades-599821-geometry</x:v>
      </x:c>
      <x:c r="B169" s="14" t="str">
        <x:v>city-naxos-cyclades</x:v>
      </x:c>
      <x:c r="C169" s="14" t="str">
        <x:v>src-pleiades-599821</x:v>
      </x:c>
      <x:c r="D169" s="14" t="str">
        <x:v>geometry</x:v>
      </x:c>
      <x:c r="E169" s="20" t="b">
        <x:v>1</x:v>
      </x:c>
    </x:row>
    <x:row r="170" ht="24" customHeight="1">
      <x:c r="A170" s="14" t="str">
        <x:v>es-city-naxos-cyclades-pleiades-599821-identity</x:v>
      </x:c>
      <x:c r="B170" s="14" t="str">
        <x:v>city-naxos-cyclades</x:v>
      </x:c>
      <x:c r="C170" s="14" t="str">
        <x:v>src-pleiades-599821</x:v>
      </x:c>
      <x:c r="D170" s="14" t="str">
        <x:v>identity</x:v>
      </x:c>
      <x:c r="E170" s="20" t="b">
        <x:v>1</x:v>
      </x:c>
    </x:row>
    <x:row r="171" ht="24" customHeight="1">
      <x:c r="A171" s="14" t="str">
        <x:v>es-city-naxos-cyclades-pleiades-599821-names</x:v>
      </x:c>
      <x:c r="B171" s="14" t="str">
        <x:v>city-naxos-cyclades</x:v>
      </x:c>
      <x:c r="C171" s="14" t="str">
        <x:v>src-pleiades-599821</x:v>
      </x:c>
      <x:c r="D171" s="14" t="str">
        <x:v>names</x:v>
      </x:c>
      <x:c r="E171" s="20" t="b">
        <x:v>1</x:v>
      </x:c>
    </x:row>
    <x:row r="172" ht="24" customHeight="1">
      <x:c r="A172" s="14" t="str">
        <x:v>es-city-naxos-cyclades-pleiades-599821-relationships</x:v>
      </x:c>
      <x:c r="B172" s="14" t="str">
        <x:v>city-naxos-cyclades</x:v>
      </x:c>
      <x:c r="C172" s="14" t="str">
        <x:v>src-pleiades-599821</x:v>
      </x:c>
      <x:c r="D172" s="14" t="str">
        <x:v>relationships</x:v>
      </x:c>
      <x:c r="E172" s="20" t="b">
        <x:v>1</x:v>
      </x:c>
    </x:row>
    <x:row r="173" ht="24" customHeight="1">
      <x:c r="A173" s="14" t="str">
        <x:v>es-city-olynthus-pleiades-491678-chronology</x:v>
      </x:c>
      <x:c r="B173" s="14" t="str">
        <x:v>city-olynthus</x:v>
      </x:c>
      <x:c r="C173" s="14" t="str">
        <x:v>src-pleiades-491678</x:v>
      </x:c>
      <x:c r="D173" s="14" t="str">
        <x:v>chronology</x:v>
      </x:c>
      <x:c r="E173" s="20" t="b">
        <x:v>1</x:v>
      </x:c>
    </x:row>
    <x:row r="174" ht="24" customHeight="1">
      <x:c r="A174" s="14" t="str">
        <x:v>es-city-olynthus-pleiades-491678-classification</x:v>
      </x:c>
      <x:c r="B174" s="14" t="str">
        <x:v>city-olynthus</x:v>
      </x:c>
      <x:c r="C174" s="14" t="str">
        <x:v>src-pleiades-491678</x:v>
      </x:c>
      <x:c r="D174" s="14" t="str">
        <x:v>classification</x:v>
      </x:c>
      <x:c r="E174" s="20" t="b">
        <x:v>1</x:v>
      </x:c>
    </x:row>
    <x:row r="175" ht="24" customHeight="1">
      <x:c r="A175" s="14" t="str">
        <x:v>es-city-olynthus-pleiades-491678-description</x:v>
      </x:c>
      <x:c r="B175" s="14" t="str">
        <x:v>city-olynthus</x:v>
      </x:c>
      <x:c r="C175" s="14" t="str">
        <x:v>src-pleiades-491678</x:v>
      </x:c>
      <x:c r="D175" s="14" t="str">
        <x:v>description</x:v>
      </x:c>
      <x:c r="E175" s="20" t="b">
        <x:v>1</x:v>
      </x:c>
    </x:row>
    <x:row r="176" ht="24" customHeight="1">
      <x:c r="A176" s="14" t="str">
        <x:v>es-city-olynthus-pleiades-491678-geometry</x:v>
      </x:c>
      <x:c r="B176" s="14" t="str">
        <x:v>city-olynthus</x:v>
      </x:c>
      <x:c r="C176" s="14" t="str">
        <x:v>src-pleiades-491678</x:v>
      </x:c>
      <x:c r="D176" s="14" t="str">
        <x:v>geometry</x:v>
      </x:c>
      <x:c r="E176" s="20" t="b">
        <x:v>1</x:v>
      </x:c>
    </x:row>
    <x:row r="177" ht="24" customHeight="1">
      <x:c r="A177" s="14" t="str">
        <x:v>es-city-olynthus-pleiades-491678-identity</x:v>
      </x:c>
      <x:c r="B177" s="14" t="str">
        <x:v>city-olynthus</x:v>
      </x:c>
      <x:c r="C177" s="14" t="str">
        <x:v>src-pleiades-491678</x:v>
      </x:c>
      <x:c r="D177" s="14" t="str">
        <x:v>identity</x:v>
      </x:c>
      <x:c r="E177" s="20" t="b">
        <x:v>1</x:v>
      </x:c>
    </x:row>
    <x:row r="178" ht="24" customHeight="1">
      <x:c r="A178" s="14" t="str">
        <x:v>es-city-olynthus-pleiades-491678-names</x:v>
      </x:c>
      <x:c r="B178" s="14" t="str">
        <x:v>city-olynthus</x:v>
      </x:c>
      <x:c r="C178" s="14" t="str">
        <x:v>src-pleiades-491678</x:v>
      </x:c>
      <x:c r="D178" s="14" t="str">
        <x:v>names</x:v>
      </x:c>
      <x:c r="E178" s="20" t="b">
        <x:v>1</x:v>
      </x:c>
    </x:row>
    <x:row r="179" ht="24" customHeight="1">
      <x:c r="A179" s="14" t="str">
        <x:v>es-city-olynthus-pleiades-491678-relationships</x:v>
      </x:c>
      <x:c r="B179" s="14" t="str">
        <x:v>city-olynthus</x:v>
      </x:c>
      <x:c r="C179" s="14" t="str">
        <x:v>src-pleiades-491678</x:v>
      </x:c>
      <x:c r="D179" s="14" t="str">
        <x:v>relationships</x:v>
      </x:c>
      <x:c r="E179" s="20" t="b">
        <x:v>1</x:v>
      </x:c>
    </x:row>
    <x:row r="180" ht="24" customHeight="1">
      <x:c r="A180" s="14" t="str">
        <x:v>es-city-patrae-pleiades-570567-chronology</x:v>
      </x:c>
      <x:c r="B180" s="14" t="str">
        <x:v>city-patrae</x:v>
      </x:c>
      <x:c r="C180" s="14" t="str">
        <x:v>src-pleiades-570567</x:v>
      </x:c>
      <x:c r="D180" s="14" t="str">
        <x:v>chronology</x:v>
      </x:c>
      <x:c r="E180" s="20" t="b">
        <x:v>1</x:v>
      </x:c>
    </x:row>
    <x:row r="181" ht="24" customHeight="1">
      <x:c r="A181" s="14" t="str">
        <x:v>es-city-patrae-pleiades-570567-classification</x:v>
      </x:c>
      <x:c r="B181" s="14" t="str">
        <x:v>city-patrae</x:v>
      </x:c>
      <x:c r="C181" s="14" t="str">
        <x:v>src-pleiades-570567</x:v>
      </x:c>
      <x:c r="D181" s="14" t="str">
        <x:v>classification</x:v>
      </x:c>
      <x:c r="E181" s="20" t="b">
        <x:v>1</x:v>
      </x:c>
    </x:row>
    <x:row r="182" ht="24" customHeight="1">
      <x:c r="A182" s="14" t="str">
        <x:v>es-city-patrae-pleiades-570567-description</x:v>
      </x:c>
      <x:c r="B182" s="14" t="str">
        <x:v>city-patrae</x:v>
      </x:c>
      <x:c r="C182" s="14" t="str">
        <x:v>src-pleiades-570567</x:v>
      </x:c>
      <x:c r="D182" s="14" t="str">
        <x:v>description</x:v>
      </x:c>
      <x:c r="E182" s="20" t="b">
        <x:v>1</x:v>
      </x:c>
    </x:row>
    <x:row r="183" ht="24" customHeight="1">
      <x:c r="A183" s="14" t="str">
        <x:v>es-city-patrae-pleiades-570567-geometry</x:v>
      </x:c>
      <x:c r="B183" s="14" t="str">
        <x:v>city-patrae</x:v>
      </x:c>
      <x:c r="C183" s="14" t="str">
        <x:v>src-pleiades-570567</x:v>
      </x:c>
      <x:c r="D183" s="14" t="str">
        <x:v>geometry</x:v>
      </x:c>
      <x:c r="E183" s="20" t="b">
        <x:v>1</x:v>
      </x:c>
    </x:row>
    <x:row r="184" ht="24" customHeight="1">
      <x:c r="A184" s="14" t="str">
        <x:v>es-city-patrae-pleiades-570567-identity</x:v>
      </x:c>
      <x:c r="B184" s="14" t="str">
        <x:v>city-patrae</x:v>
      </x:c>
      <x:c r="C184" s="14" t="str">
        <x:v>src-pleiades-570567</x:v>
      </x:c>
      <x:c r="D184" s="14" t="str">
        <x:v>identity</x:v>
      </x:c>
      <x:c r="E184" s="20" t="b">
        <x:v>1</x:v>
      </x:c>
    </x:row>
    <x:row r="185" ht="24" customHeight="1">
      <x:c r="A185" s="14" t="str">
        <x:v>es-city-patrae-pleiades-570567-names</x:v>
      </x:c>
      <x:c r="B185" s="14" t="str">
        <x:v>city-patrae</x:v>
      </x:c>
      <x:c r="C185" s="14" t="str">
        <x:v>src-pleiades-570567</x:v>
      </x:c>
      <x:c r="D185" s="14" t="str">
        <x:v>names</x:v>
      </x:c>
      <x:c r="E185" s="20" t="b">
        <x:v>1</x:v>
      </x:c>
    </x:row>
    <x:row r="186" ht="24" customHeight="1">
      <x:c r="A186" s="14" t="str">
        <x:v>es-city-patrae-pleiades-570567-relationships</x:v>
      </x:c>
      <x:c r="B186" s="14" t="str">
        <x:v>city-patrae</x:v>
      </x:c>
      <x:c r="C186" s="14" t="str">
        <x:v>src-pleiades-570567</x:v>
      </x:c>
      <x:c r="D186" s="14" t="str">
        <x:v>relationships</x:v>
      </x:c>
      <x:c r="E186" s="20" t="b">
        <x:v>1</x:v>
      </x:c>
    </x:row>
    <x:row r="187" ht="24" customHeight="1">
      <x:c r="A187" s="14" t="str">
        <x:v>es-city-pella-pleiades-491687-chronology</x:v>
      </x:c>
      <x:c r="B187" s="14" t="str">
        <x:v>city-pella</x:v>
      </x:c>
      <x:c r="C187" s="14" t="str">
        <x:v>src-pleiades-491687</x:v>
      </x:c>
      <x:c r="D187" s="14" t="str">
        <x:v>chronology</x:v>
      </x:c>
      <x:c r="E187" s="20" t="b">
        <x:v>1</x:v>
      </x:c>
    </x:row>
    <x:row r="188" ht="24" customHeight="1">
      <x:c r="A188" s="14" t="str">
        <x:v>es-city-pella-pleiades-491687-classification</x:v>
      </x:c>
      <x:c r="B188" s="14" t="str">
        <x:v>city-pella</x:v>
      </x:c>
      <x:c r="C188" s="14" t="str">
        <x:v>src-pleiades-491687</x:v>
      </x:c>
      <x:c r="D188" s="14" t="str">
        <x:v>classification</x:v>
      </x:c>
      <x:c r="E188" s="20" t="b">
        <x:v>1</x:v>
      </x:c>
    </x:row>
    <x:row r="189" ht="24" customHeight="1">
      <x:c r="A189" s="14" t="str">
        <x:v>es-city-pella-pleiades-491687-description</x:v>
      </x:c>
      <x:c r="B189" s="14" t="str">
        <x:v>city-pella</x:v>
      </x:c>
      <x:c r="C189" s="14" t="str">
        <x:v>src-pleiades-491687</x:v>
      </x:c>
      <x:c r="D189" s="14" t="str">
        <x:v>description</x:v>
      </x:c>
      <x:c r="E189" s="20" t="b">
        <x:v>1</x:v>
      </x:c>
    </x:row>
    <x:row r="190" ht="24" customHeight="1">
      <x:c r="A190" s="14" t="str">
        <x:v>es-city-pella-pleiades-491687-geometry</x:v>
      </x:c>
      <x:c r="B190" s="14" t="str">
        <x:v>city-pella</x:v>
      </x:c>
      <x:c r="C190" s="14" t="str">
        <x:v>src-pleiades-491687</x:v>
      </x:c>
      <x:c r="D190" s="14" t="str">
        <x:v>geometry</x:v>
      </x:c>
      <x:c r="E190" s="20" t="b">
        <x:v>1</x:v>
      </x:c>
    </x:row>
    <x:row r="191" ht="24" customHeight="1">
      <x:c r="A191" s="14" t="str">
        <x:v>es-city-pella-pleiades-491687-identity</x:v>
      </x:c>
      <x:c r="B191" s="14" t="str">
        <x:v>city-pella</x:v>
      </x:c>
      <x:c r="C191" s="14" t="str">
        <x:v>src-pleiades-491687</x:v>
      </x:c>
      <x:c r="D191" s="14" t="str">
        <x:v>identity</x:v>
      </x:c>
      <x:c r="E191" s="20" t="b">
        <x:v>1</x:v>
      </x:c>
    </x:row>
    <x:row r="192" ht="24" customHeight="1">
      <x:c r="A192" s="14" t="str">
        <x:v>es-city-pella-pleiades-491687-names</x:v>
      </x:c>
      <x:c r="B192" s="14" t="str">
        <x:v>city-pella</x:v>
      </x:c>
      <x:c r="C192" s="14" t="str">
        <x:v>src-pleiades-491687</x:v>
      </x:c>
      <x:c r="D192" s="14" t="str">
        <x:v>names</x:v>
      </x:c>
      <x:c r="E192" s="20" t="b">
        <x:v>1</x:v>
      </x:c>
    </x:row>
    <x:row r="193" ht="24" customHeight="1">
      <x:c r="A193" s="14" t="str">
        <x:v>es-city-pella-pleiades-491687-relationships</x:v>
      </x:c>
      <x:c r="B193" s="14" t="str">
        <x:v>city-pella</x:v>
      </x:c>
      <x:c r="C193" s="14" t="str">
        <x:v>src-pleiades-491687</x:v>
      </x:c>
      <x:c r="D193" s="14" t="str">
        <x:v>relationships</x:v>
      </x:c>
      <x:c r="E193" s="20" t="b">
        <x:v>1</x:v>
      </x:c>
    </x:row>
    <x:row r="194" ht="24" customHeight="1">
      <x:c r="A194" s="14" t="str">
        <x:v>es-city-pergamum-pleiades-550812-chronology</x:v>
      </x:c>
      <x:c r="B194" s="14" t="str">
        <x:v>city-pergamum</x:v>
      </x:c>
      <x:c r="C194" s="14" t="str">
        <x:v>src-pleiades-550812</x:v>
      </x:c>
      <x:c r="D194" s="14" t="str">
        <x:v>chronology</x:v>
      </x:c>
      <x:c r="E194" s="20" t="b">
        <x:v>1</x:v>
      </x:c>
    </x:row>
    <x:row r="195" ht="24" customHeight="1">
      <x:c r="A195" s="14" t="str">
        <x:v>es-city-pergamum-pleiades-550812-classification</x:v>
      </x:c>
      <x:c r="B195" s="14" t="str">
        <x:v>city-pergamum</x:v>
      </x:c>
      <x:c r="C195" s="14" t="str">
        <x:v>src-pleiades-550812</x:v>
      </x:c>
      <x:c r="D195" s="14" t="str">
        <x:v>classification</x:v>
      </x:c>
      <x:c r="E195" s="20" t="b">
        <x:v>1</x:v>
      </x:c>
    </x:row>
    <x:row r="196" ht="24" customHeight="1">
      <x:c r="A196" s="14" t="str">
        <x:v>es-city-pergamum-pleiades-550812-description</x:v>
      </x:c>
      <x:c r="B196" s="14" t="str">
        <x:v>city-pergamum</x:v>
      </x:c>
      <x:c r="C196" s="14" t="str">
        <x:v>src-pleiades-550812</x:v>
      </x:c>
      <x:c r="D196" s="14" t="str">
        <x:v>description</x:v>
      </x:c>
      <x:c r="E196" s="20" t="b">
        <x:v>1</x:v>
      </x:c>
    </x:row>
    <x:row r="197" ht="24" customHeight="1">
      <x:c r="A197" s="14" t="str">
        <x:v>es-city-pergamum-pleiades-550812-geometry</x:v>
      </x:c>
      <x:c r="B197" s="14" t="str">
        <x:v>city-pergamum</x:v>
      </x:c>
      <x:c r="C197" s="14" t="str">
        <x:v>src-pleiades-550812</x:v>
      </x:c>
      <x:c r="D197" s="14" t="str">
        <x:v>geometry</x:v>
      </x:c>
      <x:c r="E197" s="20" t="b">
        <x:v>1</x:v>
      </x:c>
    </x:row>
    <x:row r="198" ht="24" customHeight="1">
      <x:c r="A198" s="14" t="str">
        <x:v>es-city-pergamum-pleiades-550812-identity</x:v>
      </x:c>
      <x:c r="B198" s="14" t="str">
        <x:v>city-pergamum</x:v>
      </x:c>
      <x:c r="C198" s="14" t="str">
        <x:v>src-pleiades-550812</x:v>
      </x:c>
      <x:c r="D198" s="14" t="str">
        <x:v>identity</x:v>
      </x:c>
      <x:c r="E198" s="20" t="b">
        <x:v>1</x:v>
      </x:c>
    </x:row>
    <x:row r="199" ht="24" customHeight="1">
      <x:c r="A199" s="14" t="str">
        <x:v>es-city-pergamum-pleiades-550812-names</x:v>
      </x:c>
      <x:c r="B199" s="14" t="str">
        <x:v>city-pergamum</x:v>
      </x:c>
      <x:c r="C199" s="14" t="str">
        <x:v>src-pleiades-550812</x:v>
      </x:c>
      <x:c r="D199" s="14" t="str">
        <x:v>names</x:v>
      </x:c>
      <x:c r="E199" s="20" t="b">
        <x:v>1</x:v>
      </x:c>
    </x:row>
    <x:row r="200" ht="24" customHeight="1">
      <x:c r="A200" s="14" t="str">
        <x:v>es-city-pergamum-pleiades-550812-relationships</x:v>
      </x:c>
      <x:c r="B200" s="14" t="str">
        <x:v>city-pergamum</x:v>
      </x:c>
      <x:c r="C200" s="14" t="str">
        <x:v>src-pleiades-550812</x:v>
      </x:c>
      <x:c r="D200" s="14" t="str">
        <x:v>relationships</x:v>
      </x:c>
      <x:c r="E200" s="20" t="b">
        <x:v>1</x:v>
      </x:c>
    </x:row>
    <x:row r="201" ht="24" customHeight="1">
      <x:c r="A201" s="14" t="str">
        <x:v>es-city-pherae-thessaly-pleiades-541044-chronology</x:v>
      </x:c>
      <x:c r="B201" s="14" t="str">
        <x:v>city-pherae-thessaly</x:v>
      </x:c>
      <x:c r="C201" s="14" t="str">
        <x:v>src-pleiades-541044</x:v>
      </x:c>
      <x:c r="D201" s="14" t="str">
        <x:v>chronology</x:v>
      </x:c>
      <x:c r="E201" s="20" t="b">
        <x:v>1</x:v>
      </x:c>
    </x:row>
    <x:row r="202" ht="24" customHeight="1">
      <x:c r="A202" s="14" t="str">
        <x:v>es-city-pherae-thessaly-pleiades-541044-classification</x:v>
      </x:c>
      <x:c r="B202" s="14" t="str">
        <x:v>city-pherae-thessaly</x:v>
      </x:c>
      <x:c r="C202" s="14" t="str">
        <x:v>src-pleiades-541044</x:v>
      </x:c>
      <x:c r="D202" s="14" t="str">
        <x:v>classification</x:v>
      </x:c>
      <x:c r="E202" s="20" t="b">
        <x:v>1</x:v>
      </x:c>
    </x:row>
    <x:row r="203" ht="24" customHeight="1">
      <x:c r="A203" s="14" t="str">
        <x:v>es-city-pherae-thessaly-pleiades-541044-description</x:v>
      </x:c>
      <x:c r="B203" s="14" t="str">
        <x:v>city-pherae-thessaly</x:v>
      </x:c>
      <x:c r="C203" s="14" t="str">
        <x:v>src-pleiades-541044</x:v>
      </x:c>
      <x:c r="D203" s="14" t="str">
        <x:v>description</x:v>
      </x:c>
      <x:c r="E203" s="20" t="b">
        <x:v>1</x:v>
      </x:c>
    </x:row>
    <x:row r="204" ht="24" customHeight="1">
      <x:c r="A204" s="14" t="str">
        <x:v>es-city-pherae-thessaly-pleiades-541044-geometry</x:v>
      </x:c>
      <x:c r="B204" s="14" t="str">
        <x:v>city-pherae-thessaly</x:v>
      </x:c>
      <x:c r="C204" s="14" t="str">
        <x:v>src-pleiades-541044</x:v>
      </x:c>
      <x:c r="D204" s="14" t="str">
        <x:v>geometry</x:v>
      </x:c>
      <x:c r="E204" s="20" t="b">
        <x:v>1</x:v>
      </x:c>
    </x:row>
    <x:row r="205" ht="24" customHeight="1">
      <x:c r="A205" s="14" t="str">
        <x:v>es-city-pherae-thessaly-pleiades-541044-identity</x:v>
      </x:c>
      <x:c r="B205" s="14" t="str">
        <x:v>city-pherae-thessaly</x:v>
      </x:c>
      <x:c r="C205" s="14" t="str">
        <x:v>src-pleiades-541044</x:v>
      </x:c>
      <x:c r="D205" s="14" t="str">
        <x:v>identity</x:v>
      </x:c>
      <x:c r="E205" s="20" t="b">
        <x:v>1</x:v>
      </x:c>
    </x:row>
    <x:row r="206" ht="24" customHeight="1">
      <x:c r="A206" s="14" t="str">
        <x:v>es-city-pherae-thessaly-pleiades-541044-names</x:v>
      </x:c>
      <x:c r="B206" s="14" t="str">
        <x:v>city-pherae-thessaly</x:v>
      </x:c>
      <x:c r="C206" s="14" t="str">
        <x:v>src-pleiades-541044</x:v>
      </x:c>
      <x:c r="D206" s="14" t="str">
        <x:v>names</x:v>
      </x:c>
      <x:c r="E206" s="20" t="b">
        <x:v>1</x:v>
      </x:c>
    </x:row>
    <x:row r="207" ht="24" customHeight="1">
      <x:c r="A207" s="14" t="str">
        <x:v>es-city-pherae-thessaly-pleiades-541044-relationships</x:v>
      </x:c>
      <x:c r="B207" s="14" t="str">
        <x:v>city-pherae-thessaly</x:v>
      </x:c>
      <x:c r="C207" s="14" t="str">
        <x:v>src-pleiades-541044</x:v>
      </x:c>
      <x:c r="D207" s="14" t="str">
        <x:v>relationships</x:v>
      </x:c>
      <x:c r="E207" s="20" t="b">
        <x:v>1</x:v>
      </x:c>
    </x:row>
    <x:row r="208" ht="24" customHeight="1">
      <x:c r="A208" s="14" t="str">
        <x:v>es-city-piraeus-pleiades-580062-chronology</x:v>
      </x:c>
      <x:c r="B208" s="14" t="str">
        <x:v>city-piraeus</x:v>
      </x:c>
      <x:c r="C208" s="14" t="str">
        <x:v>src-pleiades-580062</x:v>
      </x:c>
      <x:c r="D208" s="14" t="str">
        <x:v>chronology</x:v>
      </x:c>
      <x:c r="E208" s="20" t="b">
        <x:v>1</x:v>
      </x:c>
    </x:row>
    <x:row r="209" ht="24" customHeight="1">
      <x:c r="A209" s="14" t="str">
        <x:v>es-city-piraeus-pleiades-580062-classification</x:v>
      </x:c>
      <x:c r="B209" s="14" t="str">
        <x:v>city-piraeus</x:v>
      </x:c>
      <x:c r="C209" s="14" t="str">
        <x:v>src-pleiades-580062</x:v>
      </x:c>
      <x:c r="D209" s="14" t="str">
        <x:v>classification</x:v>
      </x:c>
      <x:c r="E209" s="20" t="b">
        <x:v>1</x:v>
      </x:c>
    </x:row>
    <x:row r="210" ht="24" customHeight="1">
      <x:c r="A210" s="14" t="str">
        <x:v>es-city-piraeus-pleiades-580062-description</x:v>
      </x:c>
      <x:c r="B210" s="14" t="str">
        <x:v>city-piraeus</x:v>
      </x:c>
      <x:c r="C210" s="14" t="str">
        <x:v>src-pleiades-580062</x:v>
      </x:c>
      <x:c r="D210" s="14" t="str">
        <x:v>description</x:v>
      </x:c>
      <x:c r="E210" s="20" t="b">
        <x:v>1</x:v>
      </x:c>
    </x:row>
    <x:row r="211" ht="24" customHeight="1">
      <x:c r="A211" s="14" t="str">
        <x:v>es-city-piraeus-pleiades-580062-geometry</x:v>
      </x:c>
      <x:c r="B211" s="14" t="str">
        <x:v>city-piraeus</x:v>
      </x:c>
      <x:c r="C211" s="14" t="str">
        <x:v>src-pleiades-580062</x:v>
      </x:c>
      <x:c r="D211" s="14" t="str">
        <x:v>geometry</x:v>
      </x:c>
      <x:c r="E211" s="20" t="b">
        <x:v>1</x:v>
      </x:c>
    </x:row>
    <x:row r="212" ht="24" customHeight="1">
      <x:c r="A212" s="14" t="str">
        <x:v>es-city-piraeus-pleiades-580062-identity</x:v>
      </x:c>
      <x:c r="B212" s="14" t="str">
        <x:v>city-piraeus</x:v>
      </x:c>
      <x:c r="C212" s="14" t="str">
        <x:v>src-pleiades-580062</x:v>
      </x:c>
      <x:c r="D212" s="14" t="str">
        <x:v>identity</x:v>
      </x:c>
      <x:c r="E212" s="20" t="b">
        <x:v>1</x:v>
      </x:c>
    </x:row>
    <x:row r="213" ht="24" customHeight="1">
      <x:c r="A213" s="14" t="str">
        <x:v>es-city-piraeus-pleiades-580062-names</x:v>
      </x:c>
      <x:c r="B213" s="14" t="str">
        <x:v>city-piraeus</x:v>
      </x:c>
      <x:c r="C213" s="14" t="str">
        <x:v>src-pleiades-580062</x:v>
      </x:c>
      <x:c r="D213" s="14" t="str">
        <x:v>names</x:v>
      </x:c>
      <x:c r="E213" s="20" t="b">
        <x:v>1</x:v>
      </x:c>
    </x:row>
    <x:row r="214" ht="24" customHeight="1">
      <x:c r="A214" s="14" t="str">
        <x:v>es-city-piraeus-pleiades-580062-relationships</x:v>
      </x:c>
      <x:c r="B214" s="14" t="str">
        <x:v>city-piraeus</x:v>
      </x:c>
      <x:c r="C214" s="14" t="str">
        <x:v>src-pleiades-580062</x:v>
      </x:c>
      <x:c r="D214" s="14" t="str">
        <x:v>relationships</x:v>
      </x:c>
      <x:c r="E214" s="20" t="b">
        <x:v>1</x:v>
      </x:c>
    </x:row>
    <x:row r="215" ht="24" customHeight="1">
      <x:c r="A215" s="14" t="str">
        <x:v>es-city-ptolemais-cyrenaica-pleiades-373879-chronology</x:v>
      </x:c>
      <x:c r="B215" s="14" t="str">
        <x:v>city-ptolemais-cyrenaica</x:v>
      </x:c>
      <x:c r="C215" s="14" t="str">
        <x:v>src-pleiades-373879</x:v>
      </x:c>
      <x:c r="D215" s="14" t="str">
        <x:v>chronology</x:v>
      </x:c>
      <x:c r="E215" s="20" t="b">
        <x:v>1</x:v>
      </x:c>
    </x:row>
    <x:row r="216" ht="24" customHeight="1">
      <x:c r="A216" s="14" t="str">
        <x:v>es-city-ptolemais-cyrenaica-pleiades-373879-classification</x:v>
      </x:c>
      <x:c r="B216" s="14" t="str">
        <x:v>city-ptolemais-cyrenaica</x:v>
      </x:c>
      <x:c r="C216" s="14" t="str">
        <x:v>src-pleiades-373879</x:v>
      </x:c>
      <x:c r="D216" s="14" t="str">
        <x:v>classification</x:v>
      </x:c>
      <x:c r="E216" s="20" t="b">
        <x:v>1</x:v>
      </x:c>
    </x:row>
    <x:row r="217" ht="24" customHeight="1">
      <x:c r="A217" s="14" t="str">
        <x:v>es-city-ptolemais-cyrenaica-pleiades-373879-description</x:v>
      </x:c>
      <x:c r="B217" s="14" t="str">
        <x:v>city-ptolemais-cyrenaica</x:v>
      </x:c>
      <x:c r="C217" s="14" t="str">
        <x:v>src-pleiades-373879</x:v>
      </x:c>
      <x:c r="D217" s="14" t="str">
        <x:v>description</x:v>
      </x:c>
      <x:c r="E217" s="20" t="b">
        <x:v>1</x:v>
      </x:c>
    </x:row>
    <x:row r="218" ht="24" customHeight="1">
      <x:c r="A218" s="14" t="str">
        <x:v>es-city-ptolemais-cyrenaica-pleiades-373879-geometry</x:v>
      </x:c>
      <x:c r="B218" s="14" t="str">
        <x:v>city-ptolemais-cyrenaica</x:v>
      </x:c>
      <x:c r="C218" s="14" t="str">
        <x:v>src-pleiades-373879</x:v>
      </x:c>
      <x:c r="D218" s="14" t="str">
        <x:v>geometry</x:v>
      </x:c>
      <x:c r="E218" s="20" t="b">
        <x:v>1</x:v>
      </x:c>
    </x:row>
    <x:row r="219" ht="24" customHeight="1">
      <x:c r="A219" s="14" t="str">
        <x:v>es-city-ptolemais-cyrenaica-pleiades-373879-identity</x:v>
      </x:c>
      <x:c r="B219" s="14" t="str">
        <x:v>city-ptolemais-cyrenaica</x:v>
      </x:c>
      <x:c r="C219" s="14" t="str">
        <x:v>src-pleiades-373879</x:v>
      </x:c>
      <x:c r="D219" s="14" t="str">
        <x:v>identity</x:v>
      </x:c>
      <x:c r="E219" s="20" t="b">
        <x:v>1</x:v>
      </x:c>
    </x:row>
    <x:row r="220" ht="24" customHeight="1">
      <x:c r="A220" s="14" t="str">
        <x:v>es-city-ptolemais-cyrenaica-pleiades-373879-names</x:v>
      </x:c>
      <x:c r="B220" s="14" t="str">
        <x:v>city-ptolemais-cyrenaica</x:v>
      </x:c>
      <x:c r="C220" s="14" t="str">
        <x:v>src-pleiades-373879</x:v>
      </x:c>
      <x:c r="D220" s="14" t="str">
        <x:v>names</x:v>
      </x:c>
      <x:c r="E220" s="20" t="b">
        <x:v>1</x:v>
      </x:c>
    </x:row>
    <x:row r="221" ht="24" customHeight="1">
      <x:c r="A221" s="14" t="str">
        <x:v>es-city-ptolemais-cyrenaica-pleiades-373879-relationships</x:v>
      </x:c>
      <x:c r="B221" s="14" t="str">
        <x:v>city-ptolemais-cyrenaica</x:v>
      </x:c>
      <x:c r="C221" s="14" t="str">
        <x:v>src-pleiades-373879</x:v>
      </x:c>
      <x:c r="D221" s="14" t="str">
        <x:v>relationships</x:v>
      </x:c>
      <x:c r="E221" s="20" t="b">
        <x:v>1</x:v>
      </x:c>
    </x:row>
    <x:row r="222" ht="24" customHeight="1">
      <x:c r="A222" s="14" t="str">
        <x:v>es-city-pydna-pleiades-491703-chronology</x:v>
      </x:c>
      <x:c r="B222" s="14" t="str">
        <x:v>city-pydna</x:v>
      </x:c>
      <x:c r="C222" s="14" t="str">
        <x:v>src-pleiades-491703</x:v>
      </x:c>
      <x:c r="D222" s="14" t="str">
        <x:v>chronology</x:v>
      </x:c>
      <x:c r="E222" s="20" t="b">
        <x:v>1</x:v>
      </x:c>
    </x:row>
    <x:row r="223" ht="24" customHeight="1">
      <x:c r="A223" s="14" t="str">
        <x:v>es-city-pydna-pleiades-491703-classification</x:v>
      </x:c>
      <x:c r="B223" s="14" t="str">
        <x:v>city-pydna</x:v>
      </x:c>
      <x:c r="C223" s="14" t="str">
        <x:v>src-pleiades-491703</x:v>
      </x:c>
      <x:c r="D223" s="14" t="str">
        <x:v>classification</x:v>
      </x:c>
      <x:c r="E223" s="20" t="b">
        <x:v>1</x:v>
      </x:c>
    </x:row>
    <x:row r="224" ht="24" customHeight="1">
      <x:c r="A224" s="14" t="str">
        <x:v>es-city-pydna-pleiades-491703-description</x:v>
      </x:c>
      <x:c r="B224" s="14" t="str">
        <x:v>city-pydna</x:v>
      </x:c>
      <x:c r="C224" s="14" t="str">
        <x:v>src-pleiades-491703</x:v>
      </x:c>
      <x:c r="D224" s="14" t="str">
        <x:v>description</x:v>
      </x:c>
      <x:c r="E224" s="20" t="b">
        <x:v>1</x:v>
      </x:c>
    </x:row>
    <x:row r="225" ht="24" customHeight="1">
      <x:c r="A225" s="14" t="str">
        <x:v>es-city-pydna-pleiades-491703-geometry</x:v>
      </x:c>
      <x:c r="B225" s="14" t="str">
        <x:v>city-pydna</x:v>
      </x:c>
      <x:c r="C225" s="14" t="str">
        <x:v>src-pleiades-491703</x:v>
      </x:c>
      <x:c r="D225" s="14" t="str">
        <x:v>geometry</x:v>
      </x:c>
      <x:c r="E225" s="20" t="b">
        <x:v>1</x:v>
      </x:c>
    </x:row>
    <x:row r="226" ht="24" customHeight="1">
      <x:c r="A226" s="14" t="str">
        <x:v>es-city-pydna-pleiades-491703-identity</x:v>
      </x:c>
      <x:c r="B226" s="14" t="str">
        <x:v>city-pydna</x:v>
      </x:c>
      <x:c r="C226" s="14" t="str">
        <x:v>src-pleiades-491703</x:v>
      </x:c>
      <x:c r="D226" s="14" t="str">
        <x:v>identity</x:v>
      </x:c>
      <x:c r="E226" s="20" t="b">
        <x:v>1</x:v>
      </x:c>
    </x:row>
    <x:row r="227" ht="24" customHeight="1">
      <x:c r="A227" s="14" t="str">
        <x:v>es-city-pydna-pleiades-491703-names</x:v>
      </x:c>
      <x:c r="B227" s="14" t="str">
        <x:v>city-pydna</x:v>
      </x:c>
      <x:c r="C227" s="14" t="str">
        <x:v>src-pleiades-491703</x:v>
      </x:c>
      <x:c r="D227" s="14" t="str">
        <x:v>names</x:v>
      </x:c>
      <x:c r="E227" s="20" t="b">
        <x:v>1</x:v>
      </x:c>
    </x:row>
    <x:row r="228" ht="24" customHeight="1">
      <x:c r="A228" s="14" t="str">
        <x:v>es-city-pydna-pleiades-491703-relationships</x:v>
      </x:c>
      <x:c r="B228" s="14" t="str">
        <x:v>city-pydna</x:v>
      </x:c>
      <x:c r="C228" s="14" t="str">
        <x:v>src-pleiades-491703</x:v>
      </x:c>
      <x:c r="D228" s="14" t="str">
        <x:v>relationships</x:v>
      </x:c>
      <x:c r="E228" s="20" t="b">
        <x:v>1</x:v>
      </x:c>
    </x:row>
    <x:row r="229" ht="24" customHeight="1">
      <x:c r="A229" s="14" t="str">
        <x:v>es-city-rhodes-city-pleiades-590030-chronology</x:v>
      </x:c>
      <x:c r="B229" s="14" t="str">
        <x:v>city-rhodes-city</x:v>
      </x:c>
      <x:c r="C229" s="14" t="str">
        <x:v>src-pleiades-590030</x:v>
      </x:c>
      <x:c r="D229" s="14" t="str">
        <x:v>chronology</x:v>
      </x:c>
      <x:c r="E229" s="20" t="b">
        <x:v>1</x:v>
      </x:c>
    </x:row>
    <x:row r="230" ht="24" customHeight="1">
      <x:c r="A230" s="14" t="str">
        <x:v>es-city-rhodes-city-pleiades-590030-classification</x:v>
      </x:c>
      <x:c r="B230" s="14" t="str">
        <x:v>city-rhodes-city</x:v>
      </x:c>
      <x:c r="C230" s="14" t="str">
        <x:v>src-pleiades-590030</x:v>
      </x:c>
      <x:c r="D230" s="14" t="str">
        <x:v>classification</x:v>
      </x:c>
      <x:c r="E230" s="20" t="b">
        <x:v>1</x:v>
      </x:c>
    </x:row>
    <x:row r="231" ht="24" customHeight="1">
      <x:c r="A231" s="14" t="str">
        <x:v>es-city-rhodes-city-pleiades-590030-description</x:v>
      </x:c>
      <x:c r="B231" s="14" t="str">
        <x:v>city-rhodes-city</x:v>
      </x:c>
      <x:c r="C231" s="14" t="str">
        <x:v>src-pleiades-590030</x:v>
      </x:c>
      <x:c r="D231" s="14" t="str">
        <x:v>description</x:v>
      </x:c>
      <x:c r="E231" s="20" t="b">
        <x:v>1</x:v>
      </x:c>
    </x:row>
    <x:row r="232" ht="24" customHeight="1">
      <x:c r="A232" s="14" t="str">
        <x:v>es-city-rhodes-city-pleiades-590030-geometry</x:v>
      </x:c>
      <x:c r="B232" s="14" t="str">
        <x:v>city-rhodes-city</x:v>
      </x:c>
      <x:c r="C232" s="14" t="str">
        <x:v>src-pleiades-590030</x:v>
      </x:c>
      <x:c r="D232" s="14" t="str">
        <x:v>geometry</x:v>
      </x:c>
      <x:c r="E232" s="20" t="b">
        <x:v>1</x:v>
      </x:c>
    </x:row>
    <x:row r="233" ht="24" customHeight="1">
      <x:c r="A233" s="14" t="str">
        <x:v>es-city-rhodes-city-pleiades-590030-identity</x:v>
      </x:c>
      <x:c r="B233" s="14" t="str">
        <x:v>city-rhodes-city</x:v>
      </x:c>
      <x:c r="C233" s="14" t="str">
        <x:v>src-pleiades-590030</x:v>
      </x:c>
      <x:c r="D233" s="14" t="str">
        <x:v>identity</x:v>
      </x:c>
      <x:c r="E233" s="20" t="b">
        <x:v>1</x:v>
      </x:c>
    </x:row>
    <x:row r="234" ht="24" customHeight="1">
      <x:c r="A234" s="14" t="str">
        <x:v>es-city-rhodes-city-pleiades-590030-names</x:v>
      </x:c>
      <x:c r="B234" s="14" t="str">
        <x:v>city-rhodes-city</x:v>
      </x:c>
      <x:c r="C234" s="14" t="str">
        <x:v>src-pleiades-590030</x:v>
      </x:c>
      <x:c r="D234" s="14" t="str">
        <x:v>names</x:v>
      </x:c>
      <x:c r="E234" s="20" t="b">
        <x:v>1</x:v>
      </x:c>
    </x:row>
    <x:row r="235" ht="24" customHeight="1">
      <x:c r="A235" s="14" t="str">
        <x:v>es-city-rhodes-city-pleiades-590030-relationships</x:v>
      </x:c>
      <x:c r="B235" s="14" t="str">
        <x:v>city-rhodes-city</x:v>
      </x:c>
      <x:c r="C235" s="14" t="str">
        <x:v>src-pleiades-590030</x:v>
      </x:c>
      <x:c r="D235" s="14" t="str">
        <x:v>relationships</x:v>
      </x:c>
      <x:c r="E235" s="20" t="b">
        <x:v>1</x:v>
      </x:c>
    </x:row>
    <x:row r="236" ht="24" customHeight="1">
      <x:c r="A236" s="14" t="str">
        <x:v>es-city-samos-city-pleiades-599925-chronology</x:v>
      </x:c>
      <x:c r="B236" s="14" t="str">
        <x:v>city-samos-city</x:v>
      </x:c>
      <x:c r="C236" s="14" t="str">
        <x:v>src-pleiades-599925</x:v>
      </x:c>
      <x:c r="D236" s="14" t="str">
        <x:v>chronology</x:v>
      </x:c>
      <x:c r="E236" s="20" t="b">
        <x:v>1</x:v>
      </x:c>
    </x:row>
    <x:row r="237" ht="24" customHeight="1">
      <x:c r="A237" s="14" t="str">
        <x:v>es-city-samos-city-pleiades-599925-classification</x:v>
      </x:c>
      <x:c r="B237" s="14" t="str">
        <x:v>city-samos-city</x:v>
      </x:c>
      <x:c r="C237" s="14" t="str">
        <x:v>src-pleiades-599925</x:v>
      </x:c>
      <x:c r="D237" s="14" t="str">
        <x:v>classification</x:v>
      </x:c>
      <x:c r="E237" s="20" t="b">
        <x:v>1</x:v>
      </x:c>
    </x:row>
    <x:row r="238" ht="24" customHeight="1">
      <x:c r="A238" s="14" t="str">
        <x:v>es-city-samos-city-pleiades-599925-description</x:v>
      </x:c>
      <x:c r="B238" s="14" t="str">
        <x:v>city-samos-city</x:v>
      </x:c>
      <x:c r="C238" s="14" t="str">
        <x:v>src-pleiades-599925</x:v>
      </x:c>
      <x:c r="D238" s="14" t="str">
        <x:v>description</x:v>
      </x:c>
      <x:c r="E238" s="20" t="b">
        <x:v>1</x:v>
      </x:c>
    </x:row>
    <x:row r="239" ht="24" customHeight="1">
      <x:c r="A239" s="14" t="str">
        <x:v>es-city-samos-city-pleiades-599925-geometry</x:v>
      </x:c>
      <x:c r="B239" s="14" t="str">
        <x:v>city-samos-city</x:v>
      </x:c>
      <x:c r="C239" s="14" t="str">
        <x:v>src-pleiades-599925</x:v>
      </x:c>
      <x:c r="D239" s="14" t="str">
        <x:v>geometry</x:v>
      </x:c>
      <x:c r="E239" s="20" t="b">
        <x:v>1</x:v>
      </x:c>
    </x:row>
    <x:row r="240" ht="24" customHeight="1">
      <x:c r="A240" s="14" t="str">
        <x:v>es-city-samos-city-pleiades-599925-identity</x:v>
      </x:c>
      <x:c r="B240" s="14" t="str">
        <x:v>city-samos-city</x:v>
      </x:c>
      <x:c r="C240" s="14" t="str">
        <x:v>src-pleiades-599925</x:v>
      </x:c>
      <x:c r="D240" s="14" t="str">
        <x:v>identity</x:v>
      </x:c>
      <x:c r="E240" s="20" t="b">
        <x:v>1</x:v>
      </x:c>
    </x:row>
    <x:row r="241" ht="24" customHeight="1">
      <x:c r="A241" s="14" t="str">
        <x:v>es-city-samos-city-pleiades-599925-names</x:v>
      </x:c>
      <x:c r="B241" s="14" t="str">
        <x:v>city-samos-city</x:v>
      </x:c>
      <x:c r="C241" s="14" t="str">
        <x:v>src-pleiades-599925</x:v>
      </x:c>
      <x:c r="D241" s="14" t="str">
        <x:v>names</x:v>
      </x:c>
      <x:c r="E241" s="20" t="b">
        <x:v>1</x:v>
      </x:c>
    </x:row>
    <x:row r="242" ht="24" customHeight="1">
      <x:c r="A242" s="14" t="str">
        <x:v>es-city-samos-city-pleiades-599925-relationships</x:v>
      </x:c>
      <x:c r="B242" s="14" t="str">
        <x:v>city-samos-city</x:v>
      </x:c>
      <x:c r="C242" s="14" t="str">
        <x:v>src-pleiades-599925</x:v>
      </x:c>
      <x:c r="D242" s="14" t="str">
        <x:v>relationships</x:v>
      </x:c>
      <x:c r="E242" s="20" t="b">
        <x:v>1</x:v>
      </x:c>
    </x:row>
    <x:row r="243" ht="24" customHeight="1">
      <x:c r="A243" s="14" t="str">
        <x:v>es-city-sicyon-pleiades-570668-chronology</x:v>
      </x:c>
      <x:c r="B243" s="14" t="str">
        <x:v>city-sicyon</x:v>
      </x:c>
      <x:c r="C243" s="14" t="str">
        <x:v>src-pleiades-570668</x:v>
      </x:c>
      <x:c r="D243" s="14" t="str">
        <x:v>chronology</x:v>
      </x:c>
      <x:c r="E243" s="20" t="b">
        <x:v>1</x:v>
      </x:c>
    </x:row>
    <x:row r="244" ht="24" customHeight="1">
      <x:c r="A244" s="14" t="str">
        <x:v>es-city-sicyon-pleiades-570668-classification</x:v>
      </x:c>
      <x:c r="B244" s="14" t="str">
        <x:v>city-sicyon</x:v>
      </x:c>
      <x:c r="C244" s="14" t="str">
        <x:v>src-pleiades-570668</x:v>
      </x:c>
      <x:c r="D244" s="14" t="str">
        <x:v>classification</x:v>
      </x:c>
      <x:c r="E244" s="20" t="b">
        <x:v>1</x:v>
      </x:c>
    </x:row>
    <x:row r="245" ht="24" customHeight="1">
      <x:c r="A245" s="14" t="str">
        <x:v>es-city-sicyon-pleiades-570668-description</x:v>
      </x:c>
      <x:c r="B245" s="14" t="str">
        <x:v>city-sicyon</x:v>
      </x:c>
      <x:c r="C245" s="14" t="str">
        <x:v>src-pleiades-570668</x:v>
      </x:c>
      <x:c r="D245" s="14" t="str">
        <x:v>description</x:v>
      </x:c>
      <x:c r="E245" s="20" t="b">
        <x:v>1</x:v>
      </x:c>
    </x:row>
    <x:row r="246" ht="24" customHeight="1">
      <x:c r="A246" s="14" t="str">
        <x:v>es-city-sicyon-pleiades-570668-geometry</x:v>
      </x:c>
      <x:c r="B246" s="14" t="str">
        <x:v>city-sicyon</x:v>
      </x:c>
      <x:c r="C246" s="14" t="str">
        <x:v>src-pleiades-570668</x:v>
      </x:c>
      <x:c r="D246" s="14" t="str">
        <x:v>geometry</x:v>
      </x:c>
      <x:c r="E246" s="20" t="b">
        <x:v>1</x:v>
      </x:c>
    </x:row>
    <x:row r="247" ht="24" customHeight="1">
      <x:c r="A247" s="14" t="str">
        <x:v>es-city-sicyon-pleiades-570668-identity</x:v>
      </x:c>
      <x:c r="B247" s="14" t="str">
        <x:v>city-sicyon</x:v>
      </x:c>
      <x:c r="C247" s="14" t="str">
        <x:v>src-pleiades-570668</x:v>
      </x:c>
      <x:c r="D247" s="14" t="str">
        <x:v>identity</x:v>
      </x:c>
      <x:c r="E247" s="20" t="b">
        <x:v>1</x:v>
      </x:c>
    </x:row>
    <x:row r="248" ht="24" customHeight="1">
      <x:c r="A248" s="14" t="str">
        <x:v>es-city-sicyon-pleiades-570668-names</x:v>
      </x:c>
      <x:c r="B248" s="14" t="str">
        <x:v>city-sicyon</x:v>
      </x:c>
      <x:c r="C248" s="14" t="str">
        <x:v>src-pleiades-570668</x:v>
      </x:c>
      <x:c r="D248" s="14" t="str">
        <x:v>names</x:v>
      </x:c>
      <x:c r="E248" s="20" t="b">
        <x:v>1</x:v>
      </x:c>
    </x:row>
    <x:row r="249" ht="24" customHeight="1">
      <x:c r="A249" s="14" t="str">
        <x:v>es-city-sicyon-pleiades-570668-relationships</x:v>
      </x:c>
      <x:c r="B249" s="14" t="str">
        <x:v>city-sicyon</x:v>
      </x:c>
      <x:c r="C249" s="14" t="str">
        <x:v>src-pleiades-570668</x:v>
      </x:c>
      <x:c r="D249" s="14" t="str">
        <x:v>relationships</x:v>
      </x:c>
      <x:c r="E249" s="20" t="b">
        <x:v>1</x:v>
      </x:c>
    </x:row>
    <x:row r="250" ht="24" customHeight="1">
      <x:c r="A250" s="14" t="str">
        <x:v>es-city-smyrna-pleiades-550893-chronology</x:v>
      </x:c>
      <x:c r="B250" s="14" t="str">
        <x:v>city-smyrna</x:v>
      </x:c>
      <x:c r="C250" s="14" t="str">
        <x:v>src-pleiades-550893</x:v>
      </x:c>
      <x:c r="D250" s="14" t="str">
        <x:v>chronology</x:v>
      </x:c>
      <x:c r="E250" s="20" t="b">
        <x:v>1</x:v>
      </x:c>
    </x:row>
    <x:row r="251" ht="24" customHeight="1">
      <x:c r="A251" s="14" t="str">
        <x:v>es-city-smyrna-pleiades-550893-classification</x:v>
      </x:c>
      <x:c r="B251" s="14" t="str">
        <x:v>city-smyrna</x:v>
      </x:c>
      <x:c r="C251" s="14" t="str">
        <x:v>src-pleiades-550893</x:v>
      </x:c>
      <x:c r="D251" s="14" t="str">
        <x:v>classification</x:v>
      </x:c>
      <x:c r="E251" s="20" t="b">
        <x:v>1</x:v>
      </x:c>
    </x:row>
    <x:row r="252" ht="24" customHeight="1">
      <x:c r="A252" s="14" t="str">
        <x:v>es-city-smyrna-pleiades-550893-description</x:v>
      </x:c>
      <x:c r="B252" s="14" t="str">
        <x:v>city-smyrna</x:v>
      </x:c>
      <x:c r="C252" s="14" t="str">
        <x:v>src-pleiades-550893</x:v>
      </x:c>
      <x:c r="D252" s="14" t="str">
        <x:v>description</x:v>
      </x:c>
      <x:c r="E252" s="20" t="b">
        <x:v>1</x:v>
      </x:c>
    </x:row>
    <x:row r="253" ht="24" customHeight="1">
      <x:c r="A253" s="14" t="str">
        <x:v>es-city-smyrna-pleiades-550893-geometry</x:v>
      </x:c>
      <x:c r="B253" s="14" t="str">
        <x:v>city-smyrna</x:v>
      </x:c>
      <x:c r="C253" s="14" t="str">
        <x:v>src-pleiades-550893</x:v>
      </x:c>
      <x:c r="D253" s="14" t="str">
        <x:v>geometry</x:v>
      </x:c>
      <x:c r="E253" s="20" t="b">
        <x:v>1</x:v>
      </x:c>
    </x:row>
    <x:row r="254" ht="24" customHeight="1">
      <x:c r="A254" s="14" t="str">
        <x:v>es-city-smyrna-pleiades-550893-identity</x:v>
      </x:c>
      <x:c r="B254" s="14" t="str">
        <x:v>city-smyrna</x:v>
      </x:c>
      <x:c r="C254" s="14" t="str">
        <x:v>src-pleiades-550893</x:v>
      </x:c>
      <x:c r="D254" s="14" t="str">
        <x:v>identity</x:v>
      </x:c>
      <x:c r="E254" s="20" t="b">
        <x:v>1</x:v>
      </x:c>
    </x:row>
    <x:row r="255" ht="24" customHeight="1">
      <x:c r="A255" s="14" t="str">
        <x:v>es-city-smyrna-pleiades-550893-names</x:v>
      </x:c>
      <x:c r="B255" s="14" t="str">
        <x:v>city-smyrna</x:v>
      </x:c>
      <x:c r="C255" s="14" t="str">
        <x:v>src-pleiades-550893</x:v>
      </x:c>
      <x:c r="D255" s="14" t="str">
        <x:v>names</x:v>
      </x:c>
      <x:c r="E255" s="20" t="b">
        <x:v>1</x:v>
      </x:c>
    </x:row>
    <x:row r="256" ht="24" customHeight="1">
      <x:c r="A256" s="14" t="str">
        <x:v>es-city-smyrna-pleiades-550893-relationships</x:v>
      </x:c>
      <x:c r="B256" s="14" t="str">
        <x:v>city-smyrna</x:v>
      </x:c>
      <x:c r="C256" s="14" t="str">
        <x:v>src-pleiades-550893</x:v>
      </x:c>
      <x:c r="D256" s="14" t="str">
        <x:v>relationships</x:v>
      </x:c>
      <x:c r="E256" s="20" t="b">
        <x:v>1</x:v>
      </x:c>
    </x:row>
    <x:row r="257" ht="24" customHeight="1">
      <x:c r="A257" s="14" t="str">
        <x:v>es-city-sparta-pleiades-570685-chronology</x:v>
      </x:c>
      <x:c r="B257" s="14" t="str">
        <x:v>city-sparta</x:v>
      </x:c>
      <x:c r="C257" s="14" t="str">
        <x:v>src-pleiades-570685</x:v>
      </x:c>
      <x:c r="D257" s="14" t="str">
        <x:v>chronology</x:v>
      </x:c>
      <x:c r="E257" s="20" t="b">
        <x:v>1</x:v>
      </x:c>
    </x:row>
    <x:row r="258" ht="24" customHeight="1">
      <x:c r="A258" s="14" t="str">
        <x:v>es-city-sparta-pleiades-570685-classification</x:v>
      </x:c>
      <x:c r="B258" s="14" t="str">
        <x:v>city-sparta</x:v>
      </x:c>
      <x:c r="C258" s="14" t="str">
        <x:v>src-pleiades-570685</x:v>
      </x:c>
      <x:c r="D258" s="14" t="str">
        <x:v>classification</x:v>
      </x:c>
      <x:c r="E258" s="20" t="b">
        <x:v>1</x:v>
      </x:c>
    </x:row>
    <x:row r="259" ht="24" customHeight="1">
      <x:c r="A259" s="14" t="str">
        <x:v>es-city-sparta-pleiades-570685-description</x:v>
      </x:c>
      <x:c r="B259" s="14" t="str">
        <x:v>city-sparta</x:v>
      </x:c>
      <x:c r="C259" s="14" t="str">
        <x:v>src-pleiades-570685</x:v>
      </x:c>
      <x:c r="D259" s="14" t="str">
        <x:v>description</x:v>
      </x:c>
      <x:c r="E259" s="20" t="b">
        <x:v>1</x:v>
      </x:c>
    </x:row>
    <x:row r="260" ht="24" customHeight="1">
      <x:c r="A260" s="14" t="str">
        <x:v>es-city-sparta-pleiades-570685-geometry</x:v>
      </x:c>
      <x:c r="B260" s="14" t="str">
        <x:v>city-sparta</x:v>
      </x:c>
      <x:c r="C260" s="14" t="str">
        <x:v>src-pleiades-570685</x:v>
      </x:c>
      <x:c r="D260" s="14" t="str">
        <x:v>geometry</x:v>
      </x:c>
      <x:c r="E260" s="20" t="b">
        <x:v>1</x:v>
      </x:c>
    </x:row>
    <x:row r="261" ht="24" customHeight="1">
      <x:c r="A261" s="14" t="str">
        <x:v>es-city-sparta-pleiades-570685-identity</x:v>
      </x:c>
      <x:c r="B261" s="14" t="str">
        <x:v>city-sparta</x:v>
      </x:c>
      <x:c r="C261" s="14" t="str">
        <x:v>src-pleiades-570685</x:v>
      </x:c>
      <x:c r="D261" s="14" t="str">
        <x:v>identity</x:v>
      </x:c>
      <x:c r="E261" s="20" t="b">
        <x:v>1</x:v>
      </x:c>
    </x:row>
    <x:row r="262" ht="24" customHeight="1">
      <x:c r="A262" s="14" t="str">
        <x:v>es-city-sparta-pleiades-570685-names</x:v>
      </x:c>
      <x:c r="B262" s="14" t="str">
        <x:v>city-sparta</x:v>
      </x:c>
      <x:c r="C262" s="14" t="str">
        <x:v>src-pleiades-570685</x:v>
      </x:c>
      <x:c r="D262" s="14" t="str">
        <x:v>names</x:v>
      </x:c>
      <x:c r="E262" s="20" t="b">
        <x:v>1</x:v>
      </x:c>
    </x:row>
    <x:row r="263" ht="24" customHeight="1">
      <x:c r="A263" s="14" t="str">
        <x:v>es-city-sparta-pleiades-570685-relationships</x:v>
      </x:c>
      <x:c r="B263" s="14" t="str">
        <x:v>city-sparta</x:v>
      </x:c>
      <x:c r="C263" s="14" t="str">
        <x:v>src-pleiades-570685</x:v>
      </x:c>
      <x:c r="D263" s="14" t="str">
        <x:v>relationships</x:v>
      </x:c>
      <x:c r="E263" s="20" t="b">
        <x:v>1</x:v>
      </x:c>
    </x:row>
    <x:row r="264" ht="24" customHeight="1">
      <x:c r="A264" s="14" t="str">
        <x:v>es-city-tegea-pleiades-570707-chronology</x:v>
      </x:c>
      <x:c r="B264" s="14" t="str">
        <x:v>city-tegea</x:v>
      </x:c>
      <x:c r="C264" s="14" t="str">
        <x:v>src-pleiades-570707</x:v>
      </x:c>
      <x:c r="D264" s="14" t="str">
        <x:v>chronology</x:v>
      </x:c>
      <x:c r="E264" s="20" t="b">
        <x:v>1</x:v>
      </x:c>
    </x:row>
    <x:row r="265" ht="24" customHeight="1">
      <x:c r="A265" s="14" t="str">
        <x:v>es-city-tegea-pleiades-570707-classification</x:v>
      </x:c>
      <x:c r="B265" s="14" t="str">
        <x:v>city-tegea</x:v>
      </x:c>
      <x:c r="C265" s="14" t="str">
        <x:v>src-pleiades-570707</x:v>
      </x:c>
      <x:c r="D265" s="14" t="str">
        <x:v>classification</x:v>
      </x:c>
      <x:c r="E265" s="20" t="b">
        <x:v>1</x:v>
      </x:c>
    </x:row>
    <x:row r="266" ht="24" customHeight="1">
      <x:c r="A266" s="14" t="str">
        <x:v>es-city-tegea-pleiades-570707-description</x:v>
      </x:c>
      <x:c r="B266" s="14" t="str">
        <x:v>city-tegea</x:v>
      </x:c>
      <x:c r="C266" s="14" t="str">
        <x:v>src-pleiades-570707</x:v>
      </x:c>
      <x:c r="D266" s="14" t="str">
        <x:v>description</x:v>
      </x:c>
      <x:c r="E266" s="20" t="b">
        <x:v>1</x:v>
      </x:c>
    </x:row>
    <x:row r="267" ht="24" customHeight="1">
      <x:c r="A267" s="14" t="str">
        <x:v>es-city-tegea-pleiades-570707-geometry</x:v>
      </x:c>
      <x:c r="B267" s="14" t="str">
        <x:v>city-tegea</x:v>
      </x:c>
      <x:c r="C267" s="14" t="str">
        <x:v>src-pleiades-570707</x:v>
      </x:c>
      <x:c r="D267" s="14" t="str">
        <x:v>geometry</x:v>
      </x:c>
      <x:c r="E267" s="20" t="b">
        <x:v>1</x:v>
      </x:c>
    </x:row>
    <x:row r="268" ht="24" customHeight="1">
      <x:c r="A268" s="14" t="str">
        <x:v>es-city-tegea-pleiades-570707-identity</x:v>
      </x:c>
      <x:c r="B268" s="14" t="str">
        <x:v>city-tegea</x:v>
      </x:c>
      <x:c r="C268" s="14" t="str">
        <x:v>src-pleiades-570707</x:v>
      </x:c>
      <x:c r="D268" s="14" t="str">
        <x:v>identity</x:v>
      </x:c>
      <x:c r="E268" s="20" t="b">
        <x:v>1</x:v>
      </x:c>
    </x:row>
    <x:row r="269" ht="24" customHeight="1">
      <x:c r="A269" s="14" t="str">
        <x:v>es-city-tegea-pleiades-570707-names</x:v>
      </x:c>
      <x:c r="B269" s="14" t="str">
        <x:v>city-tegea</x:v>
      </x:c>
      <x:c r="C269" s="14" t="str">
        <x:v>src-pleiades-570707</x:v>
      </x:c>
      <x:c r="D269" s="14" t="str">
        <x:v>names</x:v>
      </x:c>
      <x:c r="E269" s="20" t="b">
        <x:v>1</x:v>
      </x:c>
    </x:row>
    <x:row r="270" ht="24" customHeight="1">
      <x:c r="A270" s="14" t="str">
        <x:v>es-city-tegea-pleiades-570707-relationships</x:v>
      </x:c>
      <x:c r="B270" s="14" t="str">
        <x:v>city-tegea</x:v>
      </x:c>
      <x:c r="C270" s="14" t="str">
        <x:v>src-pleiades-570707</x:v>
      </x:c>
      <x:c r="D270" s="14" t="str">
        <x:v>relationships</x:v>
      </x:c>
      <x:c r="E270" s="20" t="b">
        <x:v>1</x:v>
      </x:c>
    </x:row>
    <x:row r="271" ht="24" customHeight="1">
      <x:c r="A271" s="14" t="str">
        <x:v>es-city-thebes-boeotia-pleiades-541138-chronology</x:v>
      </x:c>
      <x:c r="B271" s="14" t="str">
        <x:v>city-thebes-boeotia</x:v>
      </x:c>
      <x:c r="C271" s="14" t="str">
        <x:v>src-pleiades-541138</x:v>
      </x:c>
      <x:c r="D271" s="14" t="str">
        <x:v>chronology</x:v>
      </x:c>
      <x:c r="E271" s="20" t="b">
        <x:v>1</x:v>
      </x:c>
    </x:row>
    <x:row r="272" ht="24" customHeight="1">
      <x:c r="A272" s="14" t="str">
        <x:v>es-city-thebes-boeotia-pleiades-541138-classification</x:v>
      </x:c>
      <x:c r="B272" s="14" t="str">
        <x:v>city-thebes-boeotia</x:v>
      </x:c>
      <x:c r="C272" s="14" t="str">
        <x:v>src-pleiades-541138</x:v>
      </x:c>
      <x:c r="D272" s="14" t="str">
        <x:v>classification</x:v>
      </x:c>
      <x:c r="E272" s="20" t="b">
        <x:v>1</x:v>
      </x:c>
    </x:row>
    <x:row r="273" ht="24" customHeight="1">
      <x:c r="A273" s="14" t="str">
        <x:v>es-city-thebes-boeotia-pleiades-541138-description</x:v>
      </x:c>
      <x:c r="B273" s="14" t="str">
        <x:v>city-thebes-boeotia</x:v>
      </x:c>
      <x:c r="C273" s="14" t="str">
        <x:v>src-pleiades-541138</x:v>
      </x:c>
      <x:c r="D273" s="14" t="str">
        <x:v>description</x:v>
      </x:c>
      <x:c r="E273" s="20" t="b">
        <x:v>1</x:v>
      </x:c>
    </x:row>
    <x:row r="274" ht="24" customHeight="1">
      <x:c r="A274" s="14" t="str">
        <x:v>es-city-thebes-boeotia-pleiades-541138-geometry</x:v>
      </x:c>
      <x:c r="B274" s="14" t="str">
        <x:v>city-thebes-boeotia</x:v>
      </x:c>
      <x:c r="C274" s="14" t="str">
        <x:v>src-pleiades-541138</x:v>
      </x:c>
      <x:c r="D274" s="14" t="str">
        <x:v>geometry</x:v>
      </x:c>
      <x:c r="E274" s="20" t="b">
        <x:v>1</x:v>
      </x:c>
    </x:row>
    <x:row r="275" ht="24" customHeight="1">
      <x:c r="A275" s="14" t="str">
        <x:v>es-city-thebes-boeotia-pleiades-541138-identity</x:v>
      </x:c>
      <x:c r="B275" s="14" t="str">
        <x:v>city-thebes-boeotia</x:v>
      </x:c>
      <x:c r="C275" s="14" t="str">
        <x:v>src-pleiades-541138</x:v>
      </x:c>
      <x:c r="D275" s="14" t="str">
        <x:v>identity</x:v>
      </x:c>
      <x:c r="E275" s="20" t="b">
        <x:v>1</x:v>
      </x:c>
    </x:row>
    <x:row r="276" ht="24" customHeight="1">
      <x:c r="A276" s="14" t="str">
        <x:v>es-city-thebes-boeotia-pleiades-541138-names</x:v>
      </x:c>
      <x:c r="B276" s="14" t="str">
        <x:v>city-thebes-boeotia</x:v>
      </x:c>
      <x:c r="C276" s="14" t="str">
        <x:v>src-pleiades-541138</x:v>
      </x:c>
      <x:c r="D276" s="14" t="str">
        <x:v>names</x:v>
      </x:c>
      <x:c r="E276" s="20" t="b">
        <x:v>1</x:v>
      </x:c>
    </x:row>
    <x:row r="277" ht="24" customHeight="1">
      <x:c r="A277" s="14" t="str">
        <x:v>es-city-thebes-boeotia-pleiades-541138-relationships</x:v>
      </x:c>
      <x:c r="B277" s="14" t="str">
        <x:v>city-thebes-boeotia</x:v>
      </x:c>
      <x:c r="C277" s="14" t="str">
        <x:v>src-pleiades-541138</x:v>
      </x:c>
      <x:c r="D277" s="14" t="str">
        <x:v>relationships</x:v>
      </x:c>
      <x:c r="E277" s="20" t="b">
        <x:v>1</x:v>
      </x:c>
    </x:row>
    <x:row r="278" ht="24" customHeight="1">
      <x:c r="A278" s="14" t="str">
        <x:v>es-city-thera-city-pleiades-599971-chronology</x:v>
      </x:c>
      <x:c r="B278" s="14" t="str">
        <x:v>city-thera-city</x:v>
      </x:c>
      <x:c r="C278" s="14" t="str">
        <x:v>src-pleiades-599971</x:v>
      </x:c>
      <x:c r="D278" s="14" t="str">
        <x:v>chronology</x:v>
      </x:c>
      <x:c r="E278" s="20" t="b">
        <x:v>1</x:v>
      </x:c>
    </x:row>
    <x:row r="279" ht="24" customHeight="1">
      <x:c r="A279" s="14" t="str">
        <x:v>es-city-thera-city-pleiades-599971-classification</x:v>
      </x:c>
      <x:c r="B279" s="14" t="str">
        <x:v>city-thera-city</x:v>
      </x:c>
      <x:c r="C279" s="14" t="str">
        <x:v>src-pleiades-599971</x:v>
      </x:c>
      <x:c r="D279" s="14" t="str">
        <x:v>classification</x:v>
      </x:c>
      <x:c r="E279" s="20" t="b">
        <x:v>1</x:v>
      </x:c>
    </x:row>
    <x:row r="280" ht="24" customHeight="1">
      <x:c r="A280" s="14" t="str">
        <x:v>es-city-thera-city-pleiades-599971-description</x:v>
      </x:c>
      <x:c r="B280" s="14" t="str">
        <x:v>city-thera-city</x:v>
      </x:c>
      <x:c r="C280" s="14" t="str">
        <x:v>src-pleiades-599971</x:v>
      </x:c>
      <x:c r="D280" s="14" t="str">
        <x:v>description</x:v>
      </x:c>
      <x:c r="E280" s="20" t="b">
        <x:v>1</x:v>
      </x:c>
    </x:row>
    <x:row r="281" ht="24" customHeight="1">
      <x:c r="A281" s="14" t="str">
        <x:v>es-city-thera-city-pleiades-599971-geometry</x:v>
      </x:c>
      <x:c r="B281" s="14" t="str">
        <x:v>city-thera-city</x:v>
      </x:c>
      <x:c r="C281" s="14" t="str">
        <x:v>src-pleiades-599971</x:v>
      </x:c>
      <x:c r="D281" s="14" t="str">
        <x:v>geometry</x:v>
      </x:c>
      <x:c r="E281" s="20" t="b">
        <x:v>1</x:v>
      </x:c>
    </x:row>
    <x:row r="282" ht="24" customHeight="1">
      <x:c r="A282" s="14" t="str">
        <x:v>es-city-thera-city-pleiades-599971-identity</x:v>
      </x:c>
      <x:c r="B282" s="14" t="str">
        <x:v>city-thera-city</x:v>
      </x:c>
      <x:c r="C282" s="14" t="str">
        <x:v>src-pleiades-599971</x:v>
      </x:c>
      <x:c r="D282" s="14" t="str">
        <x:v>identity</x:v>
      </x:c>
      <x:c r="E282" s="20" t="b">
        <x:v>1</x:v>
      </x:c>
    </x:row>
    <x:row r="283" ht="24" customHeight="1">
      <x:c r="A283" s="14" t="str">
        <x:v>es-city-thera-city-pleiades-599971-names</x:v>
      </x:c>
      <x:c r="B283" s="14" t="str">
        <x:v>city-thera-city</x:v>
      </x:c>
      <x:c r="C283" s="14" t="str">
        <x:v>src-pleiades-599971</x:v>
      </x:c>
      <x:c r="D283" s="14" t="str">
        <x:v>names</x:v>
      </x:c>
      <x:c r="E283" s="20" t="b">
        <x:v>1</x:v>
      </x:c>
    </x:row>
    <x:row r="284" ht="24" customHeight="1">
      <x:c r="A284" s="14" t="str">
        <x:v>es-city-thera-city-pleiades-599971-relationships</x:v>
      </x:c>
      <x:c r="B284" s="14" t="str">
        <x:v>city-thera-city</x:v>
      </x:c>
      <x:c r="C284" s="14" t="str">
        <x:v>src-pleiades-599971</x:v>
      </x:c>
      <x:c r="D284" s="14" t="str">
        <x:v>relationships</x:v>
      </x:c>
      <x:c r="E284" s="20" t="b">
        <x:v>1</x:v>
      </x:c>
    </x:row>
    <x:row r="285" ht="24" customHeight="1">
      <x:c r="A285" s="14" t="str">
        <x:v>es-city-thessalonica-pleiades-491741-chronology</x:v>
      </x:c>
      <x:c r="B285" s="14" t="str">
        <x:v>city-thessalonica</x:v>
      </x:c>
      <x:c r="C285" s="14" t="str">
        <x:v>src-pleiades-491741</x:v>
      </x:c>
      <x:c r="D285" s="14" t="str">
        <x:v>chronology</x:v>
      </x:c>
      <x:c r="E285" s="20" t="b">
        <x:v>1</x:v>
      </x:c>
    </x:row>
    <x:row r="286" ht="24" customHeight="1">
      <x:c r="A286" s="14" t="str">
        <x:v>es-city-thessalonica-pleiades-491741-classification</x:v>
      </x:c>
      <x:c r="B286" s="14" t="str">
        <x:v>city-thessalonica</x:v>
      </x:c>
      <x:c r="C286" s="14" t="str">
        <x:v>src-pleiades-491741</x:v>
      </x:c>
      <x:c r="D286" s="14" t="str">
        <x:v>classification</x:v>
      </x:c>
      <x:c r="E286" s="20" t="b">
        <x:v>1</x:v>
      </x:c>
    </x:row>
    <x:row r="287" ht="24" customHeight="1">
      <x:c r="A287" s="14" t="str">
        <x:v>es-city-thessalonica-pleiades-491741-description</x:v>
      </x:c>
      <x:c r="B287" s="14" t="str">
        <x:v>city-thessalonica</x:v>
      </x:c>
      <x:c r="C287" s="14" t="str">
        <x:v>src-pleiades-491741</x:v>
      </x:c>
      <x:c r="D287" s="14" t="str">
        <x:v>description</x:v>
      </x:c>
      <x:c r="E287" s="20" t="b">
        <x:v>1</x:v>
      </x:c>
    </x:row>
    <x:row r="288" ht="24" customHeight="1">
      <x:c r="A288" s="14" t="str">
        <x:v>es-city-thessalonica-pleiades-491741-geometry</x:v>
      </x:c>
      <x:c r="B288" s="14" t="str">
        <x:v>city-thessalonica</x:v>
      </x:c>
      <x:c r="C288" s="14" t="str">
        <x:v>src-pleiades-491741</x:v>
      </x:c>
      <x:c r="D288" s="14" t="str">
        <x:v>geometry</x:v>
      </x:c>
      <x:c r="E288" s="20" t="b">
        <x:v>1</x:v>
      </x:c>
    </x:row>
    <x:row r="289" ht="24" customHeight="1">
      <x:c r="A289" s="14" t="str">
        <x:v>es-city-thessalonica-pleiades-491741-identity</x:v>
      </x:c>
      <x:c r="B289" s="14" t="str">
        <x:v>city-thessalonica</x:v>
      </x:c>
      <x:c r="C289" s="14" t="str">
        <x:v>src-pleiades-491741</x:v>
      </x:c>
      <x:c r="D289" s="14" t="str">
        <x:v>identity</x:v>
      </x:c>
      <x:c r="E289" s="20" t="b">
        <x:v>1</x:v>
      </x:c>
    </x:row>
    <x:row r="290" ht="24" customHeight="1">
      <x:c r="A290" s="14" t="str">
        <x:v>es-city-thessalonica-pleiades-491741-names</x:v>
      </x:c>
      <x:c r="B290" s="14" t="str">
        <x:v>city-thessalonica</x:v>
      </x:c>
      <x:c r="C290" s="14" t="str">
        <x:v>src-pleiades-491741</x:v>
      </x:c>
      <x:c r="D290" s="14" t="str">
        <x:v>names</x:v>
      </x:c>
      <x:c r="E290" s="20" t="b">
        <x:v>1</x:v>
      </x:c>
    </x:row>
    <x:row r="291" ht="24" customHeight="1">
      <x:c r="A291" s="14" t="str">
        <x:v>es-city-thessalonica-pleiades-491741-relationships</x:v>
      </x:c>
      <x:c r="B291" s="14" t="str">
        <x:v>city-thessalonica</x:v>
      </x:c>
      <x:c r="C291" s="14" t="str">
        <x:v>src-pleiades-491741</x:v>
      </x:c>
      <x:c r="D291" s="14" t="str">
        <x:v>relationships</x:v>
      </x:c>
      <x:c r="E291" s="20" t="b">
        <x:v>1</x:v>
      </x:c>
    </x:row>
    <x:row r="292" ht="24" customHeight="1">
      <x:c r="A292" s="14" t="str">
        <x:v>es-colony-abydos-pleiades-501325-chronology</x:v>
      </x:c>
      <x:c r="B292" s="14" t="str">
        <x:v>colony-abydos</x:v>
      </x:c>
      <x:c r="C292" s="14" t="str">
        <x:v>src-pleiades-501325</x:v>
      </x:c>
      <x:c r="D292" s="14" t="str">
        <x:v>chronology</x:v>
      </x:c>
      <x:c r="E292" s="20" t="b">
        <x:v>1</x:v>
      </x:c>
    </x:row>
    <x:row r="293" ht="24" customHeight="1">
      <x:c r="A293" s="14" t="str">
        <x:v>es-colony-abydos-pleiades-501325-classification</x:v>
      </x:c>
      <x:c r="B293" s="14" t="str">
        <x:v>colony-abydos</x:v>
      </x:c>
      <x:c r="C293" s="14" t="str">
        <x:v>src-pleiades-501325</x:v>
      </x:c>
      <x:c r="D293" s="14" t="str">
        <x:v>classification</x:v>
      </x:c>
      <x:c r="E293" s="20" t="b">
        <x:v>1</x:v>
      </x:c>
    </x:row>
    <x:row r="294" ht="24" customHeight="1">
      <x:c r="A294" s="14" t="str">
        <x:v>es-colony-abydos-pleiades-501325-description</x:v>
      </x:c>
      <x:c r="B294" s="14" t="str">
        <x:v>colony-abydos</x:v>
      </x:c>
      <x:c r="C294" s="14" t="str">
        <x:v>src-pleiades-501325</x:v>
      </x:c>
      <x:c r="D294" s="14" t="str">
        <x:v>description</x:v>
      </x:c>
      <x:c r="E294" s="20" t="b">
        <x:v>1</x:v>
      </x:c>
    </x:row>
    <x:row r="295" ht="24" customHeight="1">
      <x:c r="A295" s="14" t="str">
        <x:v>es-colony-abydos-pleiades-501325-geometry</x:v>
      </x:c>
      <x:c r="B295" s="14" t="str">
        <x:v>colony-abydos</x:v>
      </x:c>
      <x:c r="C295" s="14" t="str">
        <x:v>src-pleiades-501325</x:v>
      </x:c>
      <x:c r="D295" s="14" t="str">
        <x:v>geometry</x:v>
      </x:c>
      <x:c r="E295" s="20" t="b">
        <x:v>1</x:v>
      </x:c>
    </x:row>
    <x:row r="296" ht="24" customHeight="1">
      <x:c r="A296" s="14" t="str">
        <x:v>es-colony-abydos-pleiades-501325-identity</x:v>
      </x:c>
      <x:c r="B296" s="14" t="str">
        <x:v>colony-abydos</x:v>
      </x:c>
      <x:c r="C296" s="14" t="str">
        <x:v>src-pleiades-501325</x:v>
      </x:c>
      <x:c r="D296" s="14" t="str">
        <x:v>identity</x:v>
      </x:c>
      <x:c r="E296" s="20" t="b">
        <x:v>1</x:v>
      </x:c>
    </x:row>
    <x:row r="297" ht="24" customHeight="1">
      <x:c r="A297" s="14" t="str">
        <x:v>es-colony-abydos-pleiades-501325-names</x:v>
      </x:c>
      <x:c r="B297" s="14" t="str">
        <x:v>colony-abydos</x:v>
      </x:c>
      <x:c r="C297" s="14" t="str">
        <x:v>src-pleiades-501325</x:v>
      </x:c>
      <x:c r="D297" s="14" t="str">
        <x:v>names</x:v>
      </x:c>
      <x:c r="E297" s="20" t="b">
        <x:v>1</x:v>
      </x:c>
    </x:row>
    <x:row r="298" ht="24" customHeight="1">
      <x:c r="A298" s="14" t="str">
        <x:v>es-colony-abydos-pleiades-501325-relationships</x:v>
      </x:c>
      <x:c r="B298" s="14" t="str">
        <x:v>colony-abydos</x:v>
      </x:c>
      <x:c r="C298" s="14" t="str">
        <x:v>src-pleiades-501325</x:v>
      </x:c>
      <x:c r="D298" s="14" t="str">
        <x:v>relationships</x:v>
      </x:c>
      <x:c r="E298" s="20" t="b">
        <x:v>1</x:v>
      </x:c>
    </x:row>
    <x:row r="299" ht="24" customHeight="1">
      <x:c r="A299" s="14" t="str">
        <x:v>es-colony-akragas-pleiades-462086-chronology</x:v>
      </x:c>
      <x:c r="B299" s="14" t="str">
        <x:v>colony-akragas</x:v>
      </x:c>
      <x:c r="C299" s="14" t="str">
        <x:v>src-pleiades-462086</x:v>
      </x:c>
      <x:c r="D299" s="14" t="str">
        <x:v>chronology</x:v>
      </x:c>
      <x:c r="E299" s="20" t="b">
        <x:v>1</x:v>
      </x:c>
    </x:row>
    <x:row r="300" ht="24" customHeight="1">
      <x:c r="A300" s="14" t="str">
        <x:v>es-colony-akragas-pleiades-462086-classification</x:v>
      </x:c>
      <x:c r="B300" s="14" t="str">
        <x:v>colony-akragas</x:v>
      </x:c>
      <x:c r="C300" s="14" t="str">
        <x:v>src-pleiades-462086</x:v>
      </x:c>
      <x:c r="D300" s="14" t="str">
        <x:v>classification</x:v>
      </x:c>
      <x:c r="E300" s="20" t="b">
        <x:v>1</x:v>
      </x:c>
    </x:row>
    <x:row r="301" ht="24" customHeight="1">
      <x:c r="A301" s="14" t="str">
        <x:v>es-colony-akragas-pleiades-462086-description</x:v>
      </x:c>
      <x:c r="B301" s="14" t="str">
        <x:v>colony-akragas</x:v>
      </x:c>
      <x:c r="C301" s="14" t="str">
        <x:v>src-pleiades-462086</x:v>
      </x:c>
      <x:c r="D301" s="14" t="str">
        <x:v>description</x:v>
      </x:c>
      <x:c r="E301" s="20" t="b">
        <x:v>1</x:v>
      </x:c>
    </x:row>
    <x:row r="302" ht="24" customHeight="1">
      <x:c r="A302" s="14" t="str">
        <x:v>es-colony-akragas-pleiades-462086-geometry</x:v>
      </x:c>
      <x:c r="B302" s="14" t="str">
        <x:v>colony-akragas</x:v>
      </x:c>
      <x:c r="C302" s="14" t="str">
        <x:v>src-pleiades-462086</x:v>
      </x:c>
      <x:c r="D302" s="14" t="str">
        <x:v>geometry</x:v>
      </x:c>
      <x:c r="E302" s="20" t="b">
        <x:v>1</x:v>
      </x:c>
    </x:row>
    <x:row r="303" ht="24" customHeight="1">
      <x:c r="A303" s="14" t="str">
        <x:v>es-colony-akragas-pleiades-462086-identity</x:v>
      </x:c>
      <x:c r="B303" s="14" t="str">
        <x:v>colony-akragas</x:v>
      </x:c>
      <x:c r="C303" s="14" t="str">
        <x:v>src-pleiades-462086</x:v>
      </x:c>
      <x:c r="D303" s="14" t="str">
        <x:v>identity</x:v>
      </x:c>
      <x:c r="E303" s="20" t="b">
        <x:v>1</x:v>
      </x:c>
    </x:row>
    <x:row r="304" ht="24" customHeight="1">
      <x:c r="A304" s="14" t="str">
        <x:v>es-colony-akragas-pleiades-462086-names</x:v>
      </x:c>
      <x:c r="B304" s="14" t="str">
        <x:v>colony-akragas</x:v>
      </x:c>
      <x:c r="C304" s="14" t="str">
        <x:v>src-pleiades-462086</x:v>
      </x:c>
      <x:c r="D304" s="14" t="str">
        <x:v>names</x:v>
      </x:c>
      <x:c r="E304" s="20" t="b">
        <x:v>1</x:v>
      </x:c>
    </x:row>
    <x:row r="305" ht="24" customHeight="1">
      <x:c r="A305" s="14" t="str">
        <x:v>es-colony-akragas-pleiades-462086-relationships</x:v>
      </x:c>
      <x:c r="B305" s="14" t="str">
        <x:v>colony-akragas</x:v>
      </x:c>
      <x:c r="C305" s="14" t="str">
        <x:v>src-pleiades-462086</x:v>
      </x:c>
      <x:c r="D305" s="14" t="str">
        <x:v>relationships</x:v>
      </x:c>
      <x:c r="E305" s="20" t="b">
        <x:v>1</x:v>
      </x:c>
    </x:row>
    <x:row r="306" ht="24" customHeight="1">
      <x:c r="A306" s="14" t="str">
        <x:v>es-colony-ambracia-pleiades-530794-chronology</x:v>
      </x:c>
      <x:c r="B306" s="14" t="str">
        <x:v>colony-ambracia</x:v>
      </x:c>
      <x:c r="C306" s="14" t="str">
        <x:v>src-pleiades-530794</x:v>
      </x:c>
      <x:c r="D306" s="14" t="str">
        <x:v>chronology</x:v>
      </x:c>
      <x:c r="E306" s="20" t="b">
        <x:v>1</x:v>
      </x:c>
    </x:row>
    <x:row r="307" ht="24" customHeight="1">
      <x:c r="A307" s="14" t="str">
        <x:v>es-colony-ambracia-pleiades-530794-classification</x:v>
      </x:c>
      <x:c r="B307" s="14" t="str">
        <x:v>colony-ambracia</x:v>
      </x:c>
      <x:c r="C307" s="14" t="str">
        <x:v>src-pleiades-530794</x:v>
      </x:c>
      <x:c r="D307" s="14" t="str">
        <x:v>classification</x:v>
      </x:c>
      <x:c r="E307" s="20" t="b">
        <x:v>1</x:v>
      </x:c>
    </x:row>
    <x:row r="308" ht="24" customHeight="1">
      <x:c r="A308" s="14" t="str">
        <x:v>es-colony-ambracia-pleiades-530794-description</x:v>
      </x:c>
      <x:c r="B308" s="14" t="str">
        <x:v>colony-ambracia</x:v>
      </x:c>
      <x:c r="C308" s="14" t="str">
        <x:v>src-pleiades-530794</x:v>
      </x:c>
      <x:c r="D308" s="14" t="str">
        <x:v>description</x:v>
      </x:c>
      <x:c r="E308" s="20" t="b">
        <x:v>1</x:v>
      </x:c>
    </x:row>
    <x:row r="309" ht="24" customHeight="1">
      <x:c r="A309" s="14" t="str">
        <x:v>es-colony-ambracia-pleiades-530794-geometry</x:v>
      </x:c>
      <x:c r="B309" s="14" t="str">
        <x:v>colony-ambracia</x:v>
      </x:c>
      <x:c r="C309" s="14" t="str">
        <x:v>src-pleiades-530794</x:v>
      </x:c>
      <x:c r="D309" s="14" t="str">
        <x:v>geometry</x:v>
      </x:c>
      <x:c r="E309" s="20" t="b">
        <x:v>1</x:v>
      </x:c>
    </x:row>
    <x:row r="310" ht="24" customHeight="1">
      <x:c r="A310" s="14" t="str">
        <x:v>es-colony-ambracia-pleiades-530794-identity</x:v>
      </x:c>
      <x:c r="B310" s="14" t="str">
        <x:v>colony-ambracia</x:v>
      </x:c>
      <x:c r="C310" s="14" t="str">
        <x:v>src-pleiades-530794</x:v>
      </x:c>
      <x:c r="D310" s="14" t="str">
        <x:v>identity</x:v>
      </x:c>
      <x:c r="E310" s="20" t="b">
        <x:v>1</x:v>
      </x:c>
    </x:row>
    <x:row r="311" ht="24" customHeight="1">
      <x:c r="A311" s="14" t="str">
        <x:v>es-colony-ambracia-pleiades-530794-names</x:v>
      </x:c>
      <x:c r="B311" s="14" t="str">
        <x:v>colony-ambracia</x:v>
      </x:c>
      <x:c r="C311" s="14" t="str">
        <x:v>src-pleiades-530794</x:v>
      </x:c>
      <x:c r="D311" s="14" t="str">
        <x:v>names</x:v>
      </x:c>
      <x:c r="E311" s="20" t="b">
        <x:v>1</x:v>
      </x:c>
    </x:row>
    <x:row r="312" ht="24" customHeight="1">
      <x:c r="A312" s="14" t="str">
        <x:v>es-colony-ambracia-pleiades-530794-relationships</x:v>
      </x:c>
      <x:c r="B312" s="14" t="str">
        <x:v>colony-ambracia</x:v>
      </x:c>
      <x:c r="C312" s="14" t="str">
        <x:v>src-pleiades-530794</x:v>
      </x:c>
      <x:c r="D312" s="14" t="str">
        <x:v>relationships</x:v>
      </x:c>
      <x:c r="E312" s="20" t="b">
        <x:v>1</x:v>
      </x:c>
    </x:row>
    <x:row r="313" ht="24" customHeight="1">
      <x:c r="A313" s="14" t="str">
        <x:v>es-colony-amisus-pleiades-857024-chronology</x:v>
      </x:c>
      <x:c r="B313" s="14" t="str">
        <x:v>colony-amisus</x:v>
      </x:c>
      <x:c r="C313" s="14" t="str">
        <x:v>src-pleiades-857024</x:v>
      </x:c>
      <x:c r="D313" s="14" t="str">
        <x:v>chronology</x:v>
      </x:c>
      <x:c r="E313" s="20" t="b">
        <x:v>1</x:v>
      </x:c>
    </x:row>
    <x:row r="314" ht="24" customHeight="1">
      <x:c r="A314" s="14" t="str">
        <x:v>es-colony-amisus-pleiades-857024-classification</x:v>
      </x:c>
      <x:c r="B314" s="14" t="str">
        <x:v>colony-amisus</x:v>
      </x:c>
      <x:c r="C314" s="14" t="str">
        <x:v>src-pleiades-857024</x:v>
      </x:c>
      <x:c r="D314" s="14" t="str">
        <x:v>classification</x:v>
      </x:c>
      <x:c r="E314" s="20" t="b">
        <x:v>1</x:v>
      </x:c>
    </x:row>
    <x:row r="315" ht="24" customHeight="1">
      <x:c r="A315" s="14" t="str">
        <x:v>es-colony-amisus-pleiades-857024-description</x:v>
      </x:c>
      <x:c r="B315" s="14" t="str">
        <x:v>colony-amisus</x:v>
      </x:c>
      <x:c r="C315" s="14" t="str">
        <x:v>src-pleiades-857024</x:v>
      </x:c>
      <x:c r="D315" s="14" t="str">
        <x:v>description</x:v>
      </x:c>
      <x:c r="E315" s="20" t="b">
        <x:v>1</x:v>
      </x:c>
    </x:row>
    <x:row r="316" ht="24" customHeight="1">
      <x:c r="A316" s="14" t="str">
        <x:v>es-colony-amisus-pleiades-857024-geometry</x:v>
      </x:c>
      <x:c r="B316" s="14" t="str">
        <x:v>colony-amisus</x:v>
      </x:c>
      <x:c r="C316" s="14" t="str">
        <x:v>src-pleiades-857024</x:v>
      </x:c>
      <x:c r="D316" s="14" t="str">
        <x:v>geometry</x:v>
      </x:c>
      <x:c r="E316" s="20" t="b">
        <x:v>1</x:v>
      </x:c>
    </x:row>
    <x:row r="317" ht="24" customHeight="1">
      <x:c r="A317" s="14" t="str">
        <x:v>es-colony-amisus-pleiades-857024-identity</x:v>
      </x:c>
      <x:c r="B317" s="14" t="str">
        <x:v>colony-amisus</x:v>
      </x:c>
      <x:c r="C317" s="14" t="str">
        <x:v>src-pleiades-857024</x:v>
      </x:c>
      <x:c r="D317" s="14" t="str">
        <x:v>identity</x:v>
      </x:c>
      <x:c r="E317" s="20" t="b">
        <x:v>1</x:v>
      </x:c>
    </x:row>
    <x:row r="318" ht="24" customHeight="1">
      <x:c r="A318" s="14" t="str">
        <x:v>es-colony-amisus-pleiades-857024-names</x:v>
      </x:c>
      <x:c r="B318" s="14" t="str">
        <x:v>colony-amisus</x:v>
      </x:c>
      <x:c r="C318" s="14" t="str">
        <x:v>src-pleiades-857024</x:v>
      </x:c>
      <x:c r="D318" s="14" t="str">
        <x:v>names</x:v>
      </x:c>
      <x:c r="E318" s="20" t="b">
        <x:v>1</x:v>
      </x:c>
    </x:row>
    <x:row r="319" ht="24" customHeight="1">
      <x:c r="A319" s="14" t="str">
        <x:v>es-colony-amisus-pleiades-857024-relationships</x:v>
      </x:c>
      <x:c r="B319" s="14" t="str">
        <x:v>colony-amisus</x:v>
      </x:c>
      <x:c r="C319" s="14" t="str">
        <x:v>src-pleiades-857024</x:v>
      </x:c>
      <x:c r="D319" s="14" t="str">
        <x:v>relationships</x:v>
      </x:c>
      <x:c r="E319" s="20" t="b">
        <x:v>1</x:v>
      </x:c>
    </x:row>
    <x:row r="320" ht="24" customHeight="1">
      <x:c r="A320" s="14" t="str">
        <x:v>es-colony-amphipolis-pleiades-501347-chronology</x:v>
      </x:c>
      <x:c r="B320" s="14" t="str">
        <x:v>colony-amphipolis</x:v>
      </x:c>
      <x:c r="C320" s="14" t="str">
        <x:v>src-pleiades-501347</x:v>
      </x:c>
      <x:c r="D320" s="14" t="str">
        <x:v>chronology</x:v>
      </x:c>
      <x:c r="E320" s="20" t="b">
        <x:v>1</x:v>
      </x:c>
    </x:row>
    <x:row r="321" ht="24" customHeight="1">
      <x:c r="A321" s="14" t="str">
        <x:v>es-colony-amphipolis-pleiades-501347-classification</x:v>
      </x:c>
      <x:c r="B321" s="14" t="str">
        <x:v>colony-amphipolis</x:v>
      </x:c>
      <x:c r="C321" s="14" t="str">
        <x:v>src-pleiades-501347</x:v>
      </x:c>
      <x:c r="D321" s="14" t="str">
        <x:v>classification</x:v>
      </x:c>
      <x:c r="E321" s="20" t="b">
        <x:v>1</x:v>
      </x:c>
    </x:row>
    <x:row r="322" ht="24" customHeight="1">
      <x:c r="A322" s="14" t="str">
        <x:v>es-colony-amphipolis-pleiades-501347-description</x:v>
      </x:c>
      <x:c r="B322" s="14" t="str">
        <x:v>colony-amphipolis</x:v>
      </x:c>
      <x:c r="C322" s="14" t="str">
        <x:v>src-pleiades-501347</x:v>
      </x:c>
      <x:c r="D322" s="14" t="str">
        <x:v>description</x:v>
      </x:c>
      <x:c r="E322" s="20" t="b">
        <x:v>1</x:v>
      </x:c>
    </x:row>
    <x:row r="323" ht="24" customHeight="1">
      <x:c r="A323" s="14" t="str">
        <x:v>es-colony-amphipolis-pleiades-501347-geometry</x:v>
      </x:c>
      <x:c r="B323" s="14" t="str">
        <x:v>colony-amphipolis</x:v>
      </x:c>
      <x:c r="C323" s="14" t="str">
        <x:v>src-pleiades-501347</x:v>
      </x:c>
      <x:c r="D323" s="14" t="str">
        <x:v>geometry</x:v>
      </x:c>
      <x:c r="E323" s="20" t="b">
        <x:v>1</x:v>
      </x:c>
    </x:row>
    <x:row r="324" ht="24" customHeight="1">
      <x:c r="A324" s="14" t="str">
        <x:v>es-colony-amphipolis-pleiades-501347-identity</x:v>
      </x:c>
      <x:c r="B324" s="14" t="str">
        <x:v>colony-amphipolis</x:v>
      </x:c>
      <x:c r="C324" s="14" t="str">
        <x:v>src-pleiades-501347</x:v>
      </x:c>
      <x:c r="D324" s="14" t="str">
        <x:v>identity</x:v>
      </x:c>
      <x:c r="E324" s="20" t="b">
        <x:v>1</x:v>
      </x:c>
    </x:row>
    <x:row r="325" ht="24" customHeight="1">
      <x:c r="A325" s="14" t="str">
        <x:v>es-colony-amphipolis-pleiades-501347-names</x:v>
      </x:c>
      <x:c r="B325" s="14" t="str">
        <x:v>colony-amphipolis</x:v>
      </x:c>
      <x:c r="C325" s="14" t="str">
        <x:v>src-pleiades-501347</x:v>
      </x:c>
      <x:c r="D325" s="14" t="str">
        <x:v>names</x:v>
      </x:c>
      <x:c r="E325" s="20" t="b">
        <x:v>1</x:v>
      </x:c>
    </x:row>
    <x:row r="326" ht="24" customHeight="1">
      <x:c r="A326" s="14" t="str">
        <x:v>es-colony-amphipolis-pleiades-501347-relationships</x:v>
      </x:c>
      <x:c r="B326" s="14" t="str">
        <x:v>colony-amphipolis</x:v>
      </x:c>
      <x:c r="C326" s="14" t="str">
        <x:v>src-pleiades-501347</x:v>
      </x:c>
      <x:c r="D326" s="14" t="str">
        <x:v>relationships</x:v>
      </x:c>
      <x:c r="E326" s="20" t="b">
        <x:v>1</x:v>
      </x:c>
    </x:row>
    <x:row r="327" ht="24" customHeight="1">
      <x:c r="A327" s="14" t="str">
        <x:v>es-colony-ancona-pleiades-413014-chronology</x:v>
      </x:c>
      <x:c r="B327" s="14" t="str">
        <x:v>colony-ancona</x:v>
      </x:c>
      <x:c r="C327" s="14" t="str">
        <x:v>src-pleiades-413014</x:v>
      </x:c>
      <x:c r="D327" s="14" t="str">
        <x:v>chronology</x:v>
      </x:c>
      <x:c r="E327" s="20" t="b">
        <x:v>1</x:v>
      </x:c>
    </x:row>
    <x:row r="328" ht="24" customHeight="1">
      <x:c r="A328" s="14" t="str">
        <x:v>es-colony-ancona-pleiades-413014-classification</x:v>
      </x:c>
      <x:c r="B328" s="14" t="str">
        <x:v>colony-ancona</x:v>
      </x:c>
      <x:c r="C328" s="14" t="str">
        <x:v>src-pleiades-413014</x:v>
      </x:c>
      <x:c r="D328" s="14" t="str">
        <x:v>classification</x:v>
      </x:c>
      <x:c r="E328" s="20" t="b">
        <x:v>1</x:v>
      </x:c>
    </x:row>
    <x:row r="329" ht="24" customHeight="1">
      <x:c r="A329" s="14" t="str">
        <x:v>es-colony-ancona-pleiades-413014-description</x:v>
      </x:c>
      <x:c r="B329" s="14" t="str">
        <x:v>colony-ancona</x:v>
      </x:c>
      <x:c r="C329" s="14" t="str">
        <x:v>src-pleiades-413014</x:v>
      </x:c>
      <x:c r="D329" s="14" t="str">
        <x:v>description</x:v>
      </x:c>
      <x:c r="E329" s="20" t="b">
        <x:v>1</x:v>
      </x:c>
    </x:row>
    <x:row r="330" ht="24" customHeight="1">
      <x:c r="A330" s="14" t="str">
        <x:v>es-colony-ancona-pleiades-413014-geometry</x:v>
      </x:c>
      <x:c r="B330" s="14" t="str">
        <x:v>colony-ancona</x:v>
      </x:c>
      <x:c r="C330" s="14" t="str">
        <x:v>src-pleiades-413014</x:v>
      </x:c>
      <x:c r="D330" s="14" t="str">
        <x:v>geometry</x:v>
      </x:c>
      <x:c r="E330" s="20" t="b">
        <x:v>1</x:v>
      </x:c>
    </x:row>
    <x:row r="331" ht="24" customHeight="1">
      <x:c r="A331" s="14" t="str">
        <x:v>es-colony-ancona-pleiades-413014-identity</x:v>
      </x:c>
      <x:c r="B331" s="14" t="str">
        <x:v>colony-ancona</x:v>
      </x:c>
      <x:c r="C331" s="14" t="str">
        <x:v>src-pleiades-413014</x:v>
      </x:c>
      <x:c r="D331" s="14" t="str">
        <x:v>identity</x:v>
      </x:c>
      <x:c r="E331" s="20" t="b">
        <x:v>1</x:v>
      </x:c>
    </x:row>
    <x:row r="332" ht="24" customHeight="1">
      <x:c r="A332" s="14" t="str">
        <x:v>es-colony-ancona-pleiades-413014-names</x:v>
      </x:c>
      <x:c r="B332" s="14" t="str">
        <x:v>colony-ancona</x:v>
      </x:c>
      <x:c r="C332" s="14" t="str">
        <x:v>src-pleiades-413014</x:v>
      </x:c>
      <x:c r="D332" s="14" t="str">
        <x:v>names</x:v>
      </x:c>
      <x:c r="E332" s="20" t="b">
        <x:v>1</x:v>
      </x:c>
    </x:row>
    <x:row r="333" ht="24" customHeight="1">
      <x:c r="A333" s="14" t="str">
        <x:v>es-colony-ancona-pleiades-413014-relationships</x:v>
      </x:c>
      <x:c r="B333" s="14" t="str">
        <x:v>colony-ancona</x:v>
      </x:c>
      <x:c r="C333" s="14" t="str">
        <x:v>src-pleiades-413014</x:v>
      </x:c>
      <x:c r="D333" s="14" t="str">
        <x:v>relationships</x:v>
      </x:c>
      <x:c r="E333" s="20" t="b">
        <x:v>1</x:v>
      </x:c>
    </x:row>
    <x:row r="334" ht="24" customHeight="1">
      <x:c r="A334" s="14" t="str">
        <x:v>es-colony-apollonia-cyrenaica-pleiades-373732-chronology</x:v>
      </x:c>
      <x:c r="B334" s="14" t="str">
        <x:v>colony-apollonia-cyrenaica</x:v>
      </x:c>
      <x:c r="C334" s="14" t="str">
        <x:v>src-pleiades-373732</x:v>
      </x:c>
      <x:c r="D334" s="14" t="str">
        <x:v>chronology</x:v>
      </x:c>
      <x:c r="E334" s="20" t="b">
        <x:v>1</x:v>
      </x:c>
    </x:row>
    <x:row r="335" ht="24" customHeight="1">
      <x:c r="A335" s="14" t="str">
        <x:v>es-colony-apollonia-cyrenaica-pleiades-373732-classification</x:v>
      </x:c>
      <x:c r="B335" s="14" t="str">
        <x:v>colony-apollonia-cyrenaica</x:v>
      </x:c>
      <x:c r="C335" s="14" t="str">
        <x:v>src-pleiades-373732</x:v>
      </x:c>
      <x:c r="D335" s="14" t="str">
        <x:v>classification</x:v>
      </x:c>
      <x:c r="E335" s="20" t="b">
        <x:v>1</x:v>
      </x:c>
    </x:row>
    <x:row r="336" ht="24" customHeight="1">
      <x:c r="A336" s="14" t="str">
        <x:v>es-colony-apollonia-cyrenaica-pleiades-373732-description</x:v>
      </x:c>
      <x:c r="B336" s="14" t="str">
        <x:v>colony-apollonia-cyrenaica</x:v>
      </x:c>
      <x:c r="C336" s="14" t="str">
        <x:v>src-pleiades-373732</x:v>
      </x:c>
      <x:c r="D336" s="14" t="str">
        <x:v>description</x:v>
      </x:c>
      <x:c r="E336" s="20" t="b">
        <x:v>1</x:v>
      </x:c>
    </x:row>
    <x:row r="337" ht="24" customHeight="1">
      <x:c r="A337" s="14" t="str">
        <x:v>es-colony-apollonia-cyrenaica-pleiades-373732-geometry</x:v>
      </x:c>
      <x:c r="B337" s="14" t="str">
        <x:v>colony-apollonia-cyrenaica</x:v>
      </x:c>
      <x:c r="C337" s="14" t="str">
        <x:v>src-pleiades-373732</x:v>
      </x:c>
      <x:c r="D337" s="14" t="str">
        <x:v>geometry</x:v>
      </x:c>
      <x:c r="E337" s="20" t="b">
        <x:v>1</x:v>
      </x:c>
    </x:row>
    <x:row r="338" ht="24" customHeight="1">
      <x:c r="A338" s="14" t="str">
        <x:v>es-colony-apollonia-cyrenaica-pleiades-373732-identity</x:v>
      </x:c>
      <x:c r="B338" s="14" t="str">
        <x:v>colony-apollonia-cyrenaica</x:v>
      </x:c>
      <x:c r="C338" s="14" t="str">
        <x:v>src-pleiades-373732</x:v>
      </x:c>
      <x:c r="D338" s="14" t="str">
        <x:v>identity</x:v>
      </x:c>
      <x:c r="E338" s="20" t="b">
        <x:v>1</x:v>
      </x:c>
    </x:row>
    <x:row r="339" ht="24" customHeight="1">
      <x:c r="A339" s="14" t="str">
        <x:v>es-colony-apollonia-cyrenaica-pleiades-373732-names</x:v>
      </x:c>
      <x:c r="B339" s="14" t="str">
        <x:v>colony-apollonia-cyrenaica</x:v>
      </x:c>
      <x:c r="C339" s="14" t="str">
        <x:v>src-pleiades-373732</x:v>
      </x:c>
      <x:c r="D339" s="14" t="str">
        <x:v>names</x:v>
      </x:c>
      <x:c r="E339" s="20" t="b">
        <x:v>1</x:v>
      </x:c>
    </x:row>
    <x:row r="340" ht="24" customHeight="1">
      <x:c r="A340" s="14" t="str">
        <x:v>es-colony-apollonia-cyrenaica-pleiades-373732-relationships</x:v>
      </x:c>
      <x:c r="B340" s="14" t="str">
        <x:v>colony-apollonia-cyrenaica</x:v>
      </x:c>
      <x:c r="C340" s="14" t="str">
        <x:v>src-pleiades-373732</x:v>
      </x:c>
      <x:c r="D340" s="14" t="str">
        <x:v>relationships</x:v>
      </x:c>
      <x:c r="E340" s="20" t="b">
        <x:v>1</x:v>
      </x:c>
    </x:row>
    <x:row r="341" ht="24" customHeight="1">
      <x:c r="A341" s="14" t="str">
        <x:v>es-colony-apollonia-illyria-pleiades-481728-chronology</x:v>
      </x:c>
      <x:c r="B341" s="14" t="str">
        <x:v>colony-apollonia-illyria</x:v>
      </x:c>
      <x:c r="C341" s="14" t="str">
        <x:v>src-pleiades-481728</x:v>
      </x:c>
      <x:c r="D341" s="14" t="str">
        <x:v>chronology</x:v>
      </x:c>
      <x:c r="E341" s="20" t="b">
        <x:v>1</x:v>
      </x:c>
    </x:row>
    <x:row r="342" ht="24" customHeight="1">
      <x:c r="A342" s="14" t="str">
        <x:v>es-colony-apollonia-illyria-pleiades-481728-classification</x:v>
      </x:c>
      <x:c r="B342" s="14" t="str">
        <x:v>colony-apollonia-illyria</x:v>
      </x:c>
      <x:c r="C342" s="14" t="str">
        <x:v>src-pleiades-481728</x:v>
      </x:c>
      <x:c r="D342" s="14" t="str">
        <x:v>classification</x:v>
      </x:c>
      <x:c r="E342" s="20" t="b">
        <x:v>1</x:v>
      </x:c>
    </x:row>
    <x:row r="343" ht="24" customHeight="1">
      <x:c r="A343" s="14" t="str">
        <x:v>es-colony-apollonia-illyria-pleiades-481728-description</x:v>
      </x:c>
      <x:c r="B343" s="14" t="str">
        <x:v>colony-apollonia-illyria</x:v>
      </x:c>
      <x:c r="C343" s="14" t="str">
        <x:v>src-pleiades-481728</x:v>
      </x:c>
      <x:c r="D343" s="14" t="str">
        <x:v>description</x:v>
      </x:c>
      <x:c r="E343" s="20" t="b">
        <x:v>1</x:v>
      </x:c>
    </x:row>
    <x:row r="344" ht="24" customHeight="1">
      <x:c r="A344" s="14" t="str">
        <x:v>es-colony-apollonia-illyria-pleiades-481728-geometry</x:v>
      </x:c>
      <x:c r="B344" s="14" t="str">
        <x:v>colony-apollonia-illyria</x:v>
      </x:c>
      <x:c r="C344" s="14" t="str">
        <x:v>src-pleiades-481728</x:v>
      </x:c>
      <x:c r="D344" s="14" t="str">
        <x:v>geometry</x:v>
      </x:c>
      <x:c r="E344" s="20" t="b">
        <x:v>1</x:v>
      </x:c>
    </x:row>
    <x:row r="345" ht="24" customHeight="1">
      <x:c r="A345" s="14" t="str">
        <x:v>es-colony-apollonia-illyria-pleiades-481728-identity</x:v>
      </x:c>
      <x:c r="B345" s="14" t="str">
        <x:v>colony-apollonia-illyria</x:v>
      </x:c>
      <x:c r="C345" s="14" t="str">
        <x:v>src-pleiades-481728</x:v>
      </x:c>
      <x:c r="D345" s="14" t="str">
        <x:v>identity</x:v>
      </x:c>
      <x:c r="E345" s="20" t="b">
        <x:v>1</x:v>
      </x:c>
    </x:row>
    <x:row r="346" ht="24" customHeight="1">
      <x:c r="A346" s="14" t="str">
        <x:v>es-colony-apollonia-illyria-pleiades-481728-names</x:v>
      </x:c>
      <x:c r="B346" s="14" t="str">
        <x:v>colony-apollonia-illyria</x:v>
      </x:c>
      <x:c r="C346" s="14" t="str">
        <x:v>src-pleiades-481728</x:v>
      </x:c>
      <x:c r="D346" s="14" t="str">
        <x:v>names</x:v>
      </x:c>
      <x:c r="E346" s="20" t="b">
        <x:v>1</x:v>
      </x:c>
    </x:row>
    <x:row r="347" ht="24" customHeight="1">
      <x:c r="A347" s="14" t="str">
        <x:v>es-colony-apollonia-illyria-pleiades-481728-relationships</x:v>
      </x:c>
      <x:c r="B347" s="14" t="str">
        <x:v>colony-apollonia-illyria</x:v>
      </x:c>
      <x:c r="C347" s="14" t="str">
        <x:v>src-pleiades-481728</x:v>
      </x:c>
      <x:c r="D347" s="14" t="str">
        <x:v>relationships</x:v>
      </x:c>
      <x:c r="E347" s="20" t="b">
        <x:v>1</x:v>
      </x:c>
    </x:row>
    <x:row r="348" ht="24" customHeight="1">
      <x:c r="A348" s="14" t="str">
        <x:v>es-colony-apollonia-pontica-pleiades-216706-chronology</x:v>
      </x:c>
      <x:c r="B348" s="14" t="str">
        <x:v>colony-apollonia-pontica</x:v>
      </x:c>
      <x:c r="C348" s="14" t="str">
        <x:v>src-pleiades-216706</x:v>
      </x:c>
      <x:c r="D348" s="14" t="str">
        <x:v>chronology</x:v>
      </x:c>
      <x:c r="E348" s="20" t="b">
        <x:v>1</x:v>
      </x:c>
    </x:row>
    <x:row r="349" ht="24" customHeight="1">
      <x:c r="A349" s="14" t="str">
        <x:v>es-colony-apollonia-pontica-pleiades-216706-classification</x:v>
      </x:c>
      <x:c r="B349" s="14" t="str">
        <x:v>colony-apollonia-pontica</x:v>
      </x:c>
      <x:c r="C349" s="14" t="str">
        <x:v>src-pleiades-216706</x:v>
      </x:c>
      <x:c r="D349" s="14" t="str">
        <x:v>classification</x:v>
      </x:c>
      <x:c r="E349" s="20" t="b">
        <x:v>1</x:v>
      </x:c>
    </x:row>
    <x:row r="350" ht="24" customHeight="1">
      <x:c r="A350" s="14" t="str">
        <x:v>es-colony-apollonia-pontica-pleiades-216706-description</x:v>
      </x:c>
      <x:c r="B350" s="14" t="str">
        <x:v>colony-apollonia-pontica</x:v>
      </x:c>
      <x:c r="C350" s="14" t="str">
        <x:v>src-pleiades-216706</x:v>
      </x:c>
      <x:c r="D350" s="14" t="str">
        <x:v>description</x:v>
      </x:c>
      <x:c r="E350" s="20" t="b">
        <x:v>1</x:v>
      </x:c>
    </x:row>
    <x:row r="351" ht="24" customHeight="1">
      <x:c r="A351" s="14" t="str">
        <x:v>es-colony-apollonia-pontica-pleiades-216706-geometry</x:v>
      </x:c>
      <x:c r="B351" s="14" t="str">
        <x:v>colony-apollonia-pontica</x:v>
      </x:c>
      <x:c r="C351" s="14" t="str">
        <x:v>src-pleiades-216706</x:v>
      </x:c>
      <x:c r="D351" s="14" t="str">
        <x:v>geometry</x:v>
      </x:c>
      <x:c r="E351" s="20" t="b">
        <x:v>1</x:v>
      </x:c>
    </x:row>
    <x:row r="352" ht="24" customHeight="1">
      <x:c r="A352" s="14" t="str">
        <x:v>es-colony-apollonia-pontica-pleiades-216706-identity</x:v>
      </x:c>
      <x:c r="B352" s="14" t="str">
        <x:v>colony-apollonia-pontica</x:v>
      </x:c>
      <x:c r="C352" s="14" t="str">
        <x:v>src-pleiades-216706</x:v>
      </x:c>
      <x:c r="D352" s="14" t="str">
        <x:v>identity</x:v>
      </x:c>
      <x:c r="E352" s="20" t="b">
        <x:v>1</x:v>
      </x:c>
    </x:row>
    <x:row r="353" ht="24" customHeight="1">
      <x:c r="A353" s="14" t="str">
        <x:v>es-colony-apollonia-pontica-pleiades-216706-names</x:v>
      </x:c>
      <x:c r="B353" s="14" t="str">
        <x:v>colony-apollonia-pontica</x:v>
      </x:c>
      <x:c r="C353" s="14" t="str">
        <x:v>src-pleiades-216706</x:v>
      </x:c>
      <x:c r="D353" s="14" t="str">
        <x:v>names</x:v>
      </x:c>
      <x:c r="E353" s="20" t="b">
        <x:v>1</x:v>
      </x:c>
    </x:row>
    <x:row r="354" ht="24" customHeight="1">
      <x:c r="A354" s="14" t="str">
        <x:v>es-colony-apollonia-pontica-pleiades-216706-relationships</x:v>
      </x:c>
      <x:c r="B354" s="14" t="str">
        <x:v>colony-apollonia-pontica</x:v>
      </x:c>
      <x:c r="C354" s="14" t="str">
        <x:v>src-pleiades-216706</x:v>
      </x:c>
      <x:c r="D354" s="14" t="str">
        <x:v>relationships</x:v>
      </x:c>
      <x:c r="E354" s="20" t="b">
        <x:v>1</x:v>
      </x:c>
    </x:row>
    <x:row r="355" ht="24" customHeight="1">
      <x:c r="A355" s="14" t="str">
        <x:v>es-colony-assos-pleiades-550463-chronology</x:v>
      </x:c>
      <x:c r="B355" s="14" t="str">
        <x:v>colony-assos</x:v>
      </x:c>
      <x:c r="C355" s="14" t="str">
        <x:v>src-pleiades-550463</x:v>
      </x:c>
      <x:c r="D355" s="14" t="str">
        <x:v>chronology</x:v>
      </x:c>
      <x:c r="E355" s="20" t="b">
        <x:v>1</x:v>
      </x:c>
    </x:row>
    <x:row r="356" ht="24" customHeight="1">
      <x:c r="A356" s="14" t="str">
        <x:v>es-colony-assos-pleiades-550463-classification</x:v>
      </x:c>
      <x:c r="B356" s="14" t="str">
        <x:v>colony-assos</x:v>
      </x:c>
      <x:c r="C356" s="14" t="str">
        <x:v>src-pleiades-550463</x:v>
      </x:c>
      <x:c r="D356" s="14" t="str">
        <x:v>classification</x:v>
      </x:c>
      <x:c r="E356" s="20" t="b">
        <x:v>1</x:v>
      </x:c>
    </x:row>
    <x:row r="357" ht="24" customHeight="1">
      <x:c r="A357" s="14" t="str">
        <x:v>es-colony-assos-pleiades-550463-description</x:v>
      </x:c>
      <x:c r="B357" s="14" t="str">
        <x:v>colony-assos</x:v>
      </x:c>
      <x:c r="C357" s="14" t="str">
        <x:v>src-pleiades-550463</x:v>
      </x:c>
      <x:c r="D357" s="14" t="str">
        <x:v>description</x:v>
      </x:c>
      <x:c r="E357" s="20" t="b">
        <x:v>1</x:v>
      </x:c>
    </x:row>
    <x:row r="358" ht="24" customHeight="1">
      <x:c r="A358" s="14" t="str">
        <x:v>es-colony-assos-pleiades-550463-geometry</x:v>
      </x:c>
      <x:c r="B358" s="14" t="str">
        <x:v>colony-assos</x:v>
      </x:c>
      <x:c r="C358" s="14" t="str">
        <x:v>src-pleiades-550463</x:v>
      </x:c>
      <x:c r="D358" s="14" t="str">
        <x:v>geometry</x:v>
      </x:c>
      <x:c r="E358" s="20" t="b">
        <x:v>1</x:v>
      </x:c>
    </x:row>
    <x:row r="359" ht="24" customHeight="1">
      <x:c r="A359" s="14" t="str">
        <x:v>es-colony-assos-pleiades-550463-identity</x:v>
      </x:c>
      <x:c r="B359" s="14" t="str">
        <x:v>colony-assos</x:v>
      </x:c>
      <x:c r="C359" s="14" t="str">
        <x:v>src-pleiades-550463</x:v>
      </x:c>
      <x:c r="D359" s="14" t="str">
        <x:v>identity</x:v>
      </x:c>
      <x:c r="E359" s="20" t="b">
        <x:v>1</x:v>
      </x:c>
    </x:row>
    <x:row r="360" ht="24" customHeight="1">
      <x:c r="A360" s="14" t="str">
        <x:v>es-colony-assos-pleiades-550463-names</x:v>
      </x:c>
      <x:c r="B360" s="14" t="str">
        <x:v>colony-assos</x:v>
      </x:c>
      <x:c r="C360" s="14" t="str">
        <x:v>src-pleiades-550463</x:v>
      </x:c>
      <x:c r="D360" s="14" t="str">
        <x:v>names</x:v>
      </x:c>
      <x:c r="E360" s="20" t="b">
        <x:v>1</x:v>
      </x:c>
    </x:row>
    <x:row r="361" ht="24" customHeight="1">
      <x:c r="A361" s="14" t="str">
        <x:v>es-colony-assos-pleiades-550463-relationships</x:v>
      </x:c>
      <x:c r="B361" s="14" t="str">
        <x:v>colony-assos</x:v>
      </x:c>
      <x:c r="C361" s="14" t="str">
        <x:v>src-pleiades-550463</x:v>
      </x:c>
      <x:c r="D361" s="14" t="str">
        <x:v>relationships</x:v>
      </x:c>
      <x:c r="E361" s="20" t="b">
        <x:v>1</x:v>
      </x:c>
    </x:row>
    <x:row r="362" ht="24" customHeight="1">
      <x:c r="A362" s="14" t="str">
        <x:v>es-colony-barca-cyrenaica-pleiades-373750-chronology</x:v>
      </x:c>
      <x:c r="B362" s="14" t="str">
        <x:v>colony-barca-cyrenaica</x:v>
      </x:c>
      <x:c r="C362" s="14" t="str">
        <x:v>src-pleiades-373750</x:v>
      </x:c>
      <x:c r="D362" s="14" t="str">
        <x:v>chronology</x:v>
      </x:c>
      <x:c r="E362" s="20" t="b">
        <x:v>1</x:v>
      </x:c>
    </x:row>
    <x:row r="363" ht="24" customHeight="1">
      <x:c r="A363" s="14" t="str">
        <x:v>es-colony-barca-cyrenaica-pleiades-373750-classification</x:v>
      </x:c>
      <x:c r="B363" s="14" t="str">
        <x:v>colony-barca-cyrenaica</x:v>
      </x:c>
      <x:c r="C363" s="14" t="str">
        <x:v>src-pleiades-373750</x:v>
      </x:c>
      <x:c r="D363" s="14" t="str">
        <x:v>classification</x:v>
      </x:c>
      <x:c r="E363" s="20" t="b">
        <x:v>1</x:v>
      </x:c>
    </x:row>
    <x:row r="364" ht="24" customHeight="1">
      <x:c r="A364" s="14" t="str">
        <x:v>es-colony-barca-cyrenaica-pleiades-373750-description</x:v>
      </x:c>
      <x:c r="B364" s="14" t="str">
        <x:v>colony-barca-cyrenaica</x:v>
      </x:c>
      <x:c r="C364" s="14" t="str">
        <x:v>src-pleiades-373750</x:v>
      </x:c>
      <x:c r="D364" s="14" t="str">
        <x:v>description</x:v>
      </x:c>
      <x:c r="E364" s="20" t="b">
        <x:v>1</x:v>
      </x:c>
    </x:row>
    <x:row r="365" ht="24" customHeight="1">
      <x:c r="A365" s="14" t="str">
        <x:v>es-colony-barca-cyrenaica-pleiades-373750-geometry</x:v>
      </x:c>
      <x:c r="B365" s="14" t="str">
        <x:v>colony-barca-cyrenaica</x:v>
      </x:c>
      <x:c r="C365" s="14" t="str">
        <x:v>src-pleiades-373750</x:v>
      </x:c>
      <x:c r="D365" s="14" t="str">
        <x:v>geometry</x:v>
      </x:c>
      <x:c r="E365" s="20" t="b">
        <x:v>1</x:v>
      </x:c>
    </x:row>
    <x:row r="366" ht="24" customHeight="1">
      <x:c r="A366" s="14" t="str">
        <x:v>es-colony-barca-cyrenaica-pleiades-373750-identity</x:v>
      </x:c>
      <x:c r="B366" s="14" t="str">
        <x:v>colony-barca-cyrenaica</x:v>
      </x:c>
      <x:c r="C366" s="14" t="str">
        <x:v>src-pleiades-373750</x:v>
      </x:c>
      <x:c r="D366" s="14" t="str">
        <x:v>identity</x:v>
      </x:c>
      <x:c r="E366" s="20" t="b">
        <x:v>1</x:v>
      </x:c>
    </x:row>
    <x:row r="367" ht="24" customHeight="1">
      <x:c r="A367" s="14" t="str">
        <x:v>es-colony-barca-cyrenaica-pleiades-373750-names</x:v>
      </x:c>
      <x:c r="B367" s="14" t="str">
        <x:v>colony-barca-cyrenaica</x:v>
      </x:c>
      <x:c r="C367" s="14" t="str">
        <x:v>src-pleiades-373750</x:v>
      </x:c>
      <x:c r="D367" s="14" t="str">
        <x:v>names</x:v>
      </x:c>
      <x:c r="E367" s="20" t="b">
        <x:v>1</x:v>
      </x:c>
    </x:row>
    <x:row r="368" ht="24" customHeight="1">
      <x:c r="A368" s="14" t="str">
        <x:v>es-colony-barca-cyrenaica-pleiades-373750-relationships</x:v>
      </x:c>
      <x:c r="B368" s="14" t="str">
        <x:v>colony-barca-cyrenaica</x:v>
      </x:c>
      <x:c r="C368" s="14" t="str">
        <x:v>src-pleiades-373750</x:v>
      </x:c>
      <x:c r="D368" s="14" t="str">
        <x:v>relationships</x:v>
      </x:c>
      <x:c r="E368" s="20" t="b">
        <x:v>1</x:v>
      </x:c>
    </x:row>
    <x:row r="369" ht="24" customHeight="1">
      <x:c r="A369" s="14" t="str">
        <x:v>es-colony-byzantium-pleiades-520985-chronology</x:v>
      </x:c>
      <x:c r="B369" s="14" t="str">
        <x:v>colony-byzantium</x:v>
      </x:c>
      <x:c r="C369" s="14" t="str">
        <x:v>src-pleiades-520985</x:v>
      </x:c>
      <x:c r="D369" s="14" t="str">
        <x:v>chronology</x:v>
      </x:c>
      <x:c r="E369" s="20" t="b">
        <x:v>1</x:v>
      </x:c>
    </x:row>
    <x:row r="370" ht="24" customHeight="1">
      <x:c r="A370" s="14" t="str">
        <x:v>es-colony-byzantium-pleiades-520985-classification</x:v>
      </x:c>
      <x:c r="B370" s="14" t="str">
        <x:v>colony-byzantium</x:v>
      </x:c>
      <x:c r="C370" s="14" t="str">
        <x:v>src-pleiades-520985</x:v>
      </x:c>
      <x:c r="D370" s="14" t="str">
        <x:v>classification</x:v>
      </x:c>
      <x:c r="E370" s="20" t="b">
        <x:v>1</x:v>
      </x:c>
    </x:row>
    <x:row r="371" ht="24" customHeight="1">
      <x:c r="A371" s="14" t="str">
        <x:v>es-colony-byzantium-pleiades-520985-description</x:v>
      </x:c>
      <x:c r="B371" s="14" t="str">
        <x:v>colony-byzantium</x:v>
      </x:c>
      <x:c r="C371" s="14" t="str">
        <x:v>src-pleiades-520985</x:v>
      </x:c>
      <x:c r="D371" s="14" t="str">
        <x:v>description</x:v>
      </x:c>
      <x:c r="E371" s="20" t="b">
        <x:v>1</x:v>
      </x:c>
    </x:row>
    <x:row r="372" ht="24" customHeight="1">
      <x:c r="A372" s="14" t="str">
        <x:v>es-colony-byzantium-pleiades-520985-geometry</x:v>
      </x:c>
      <x:c r="B372" s="14" t="str">
        <x:v>colony-byzantium</x:v>
      </x:c>
      <x:c r="C372" s="14" t="str">
        <x:v>src-pleiades-520985</x:v>
      </x:c>
      <x:c r="D372" s="14" t="str">
        <x:v>geometry</x:v>
      </x:c>
      <x:c r="E372" s="20" t="b">
        <x:v>1</x:v>
      </x:c>
    </x:row>
    <x:row r="373" ht="24" customHeight="1">
      <x:c r="A373" s="14" t="str">
        <x:v>es-colony-byzantium-pleiades-520985-identity</x:v>
      </x:c>
      <x:c r="B373" s="14" t="str">
        <x:v>colony-byzantium</x:v>
      </x:c>
      <x:c r="C373" s="14" t="str">
        <x:v>src-pleiades-520985</x:v>
      </x:c>
      <x:c r="D373" s="14" t="str">
        <x:v>identity</x:v>
      </x:c>
      <x:c r="E373" s="20" t="b">
        <x:v>1</x:v>
      </x:c>
    </x:row>
    <x:row r="374" ht="24" customHeight="1">
      <x:c r="A374" s="14" t="str">
        <x:v>es-colony-byzantium-pleiades-520985-names</x:v>
      </x:c>
      <x:c r="B374" s="14" t="str">
        <x:v>colony-byzantium</x:v>
      </x:c>
      <x:c r="C374" s="14" t="str">
        <x:v>src-pleiades-520985</x:v>
      </x:c>
      <x:c r="D374" s="14" t="str">
        <x:v>names</x:v>
      </x:c>
      <x:c r="E374" s="20" t="b">
        <x:v>1</x:v>
      </x:c>
    </x:row>
    <x:row r="375" ht="24" customHeight="1">
      <x:c r="A375" s="14" t="str">
        <x:v>es-colony-byzantium-pleiades-520985-relationships</x:v>
      </x:c>
      <x:c r="B375" s="14" t="str">
        <x:v>colony-byzantium</x:v>
      </x:c>
      <x:c r="C375" s="14" t="str">
        <x:v>src-pleiades-520985</x:v>
      </x:c>
      <x:c r="D375" s="14" t="str">
        <x:v>relationships</x:v>
      </x:c>
      <x:c r="E375" s="20" t="b">
        <x:v>1</x:v>
      </x:c>
    </x:row>
    <x:row r="376" ht="24" customHeight="1">
      <x:c r="A376" s="14" t="str">
        <x:v>es-colony-callatis-pleiades-216744-chronology</x:v>
      </x:c>
      <x:c r="B376" s="14" t="str">
        <x:v>colony-callatis</x:v>
      </x:c>
      <x:c r="C376" s="14" t="str">
        <x:v>src-pleiades-216744</x:v>
      </x:c>
      <x:c r="D376" s="14" t="str">
        <x:v>chronology</x:v>
      </x:c>
      <x:c r="E376" s="20" t="b">
        <x:v>1</x:v>
      </x:c>
    </x:row>
    <x:row r="377" ht="24" customHeight="1">
      <x:c r="A377" s="14" t="str">
        <x:v>es-colony-callatis-pleiades-216744-classification</x:v>
      </x:c>
      <x:c r="B377" s="14" t="str">
        <x:v>colony-callatis</x:v>
      </x:c>
      <x:c r="C377" s="14" t="str">
        <x:v>src-pleiades-216744</x:v>
      </x:c>
      <x:c r="D377" s="14" t="str">
        <x:v>classification</x:v>
      </x:c>
      <x:c r="E377" s="20" t="b">
        <x:v>1</x:v>
      </x:c>
    </x:row>
    <x:row r="378" ht="24" customHeight="1">
      <x:c r="A378" s="14" t="str">
        <x:v>es-colony-callatis-pleiades-216744-description</x:v>
      </x:c>
      <x:c r="B378" s="14" t="str">
        <x:v>colony-callatis</x:v>
      </x:c>
      <x:c r="C378" s="14" t="str">
        <x:v>src-pleiades-216744</x:v>
      </x:c>
      <x:c r="D378" s="14" t="str">
        <x:v>description</x:v>
      </x:c>
      <x:c r="E378" s="20" t="b">
        <x:v>1</x:v>
      </x:c>
    </x:row>
    <x:row r="379" ht="24" customHeight="1">
      <x:c r="A379" s="14" t="str">
        <x:v>es-colony-callatis-pleiades-216744-geometry</x:v>
      </x:c>
      <x:c r="B379" s="14" t="str">
        <x:v>colony-callatis</x:v>
      </x:c>
      <x:c r="C379" s="14" t="str">
        <x:v>src-pleiades-216744</x:v>
      </x:c>
      <x:c r="D379" s="14" t="str">
        <x:v>geometry</x:v>
      </x:c>
      <x:c r="E379" s="20" t="b">
        <x:v>1</x:v>
      </x:c>
    </x:row>
    <x:row r="380" ht="24" customHeight="1">
      <x:c r="A380" s="14" t="str">
        <x:v>es-colony-callatis-pleiades-216744-identity</x:v>
      </x:c>
      <x:c r="B380" s="14" t="str">
        <x:v>colony-callatis</x:v>
      </x:c>
      <x:c r="C380" s="14" t="str">
        <x:v>src-pleiades-216744</x:v>
      </x:c>
      <x:c r="D380" s="14" t="str">
        <x:v>identity</x:v>
      </x:c>
      <x:c r="E380" s="20" t="b">
        <x:v>1</x:v>
      </x:c>
    </x:row>
    <x:row r="381" ht="24" customHeight="1">
      <x:c r="A381" s="14" t="str">
        <x:v>es-colony-callatis-pleiades-216744-names</x:v>
      </x:c>
      <x:c r="B381" s="14" t="str">
        <x:v>colony-callatis</x:v>
      </x:c>
      <x:c r="C381" s="14" t="str">
        <x:v>src-pleiades-216744</x:v>
      </x:c>
      <x:c r="D381" s="14" t="str">
        <x:v>names</x:v>
      </x:c>
      <x:c r="E381" s="20" t="b">
        <x:v>1</x:v>
      </x:c>
    </x:row>
    <x:row r="382" ht="24" customHeight="1">
      <x:c r="A382" s="14" t="str">
        <x:v>es-colony-callatis-pleiades-216744-relationships</x:v>
      </x:c>
      <x:c r="B382" s="14" t="str">
        <x:v>colony-callatis</x:v>
      </x:c>
      <x:c r="C382" s="14" t="str">
        <x:v>src-pleiades-216744</x:v>
      </x:c>
      <x:c r="D382" s="14" t="str">
        <x:v>relationships</x:v>
      </x:c>
      <x:c r="E382" s="20" t="b">
        <x:v>1</x:v>
      </x:c>
    </x:row>
    <x:row r="383" ht="24" customHeight="1">
      <x:c r="A383" s="14" t="str">
        <x:v>es-colony-catana-pleiades-462270-chronology</x:v>
      </x:c>
      <x:c r="B383" s="14" t="str">
        <x:v>colony-catana</x:v>
      </x:c>
      <x:c r="C383" s="14" t="str">
        <x:v>src-pleiades-462270</x:v>
      </x:c>
      <x:c r="D383" s="14" t="str">
        <x:v>chronology</x:v>
      </x:c>
      <x:c r="E383" s="20" t="b">
        <x:v>1</x:v>
      </x:c>
    </x:row>
    <x:row r="384" ht="24" customHeight="1">
      <x:c r="A384" s="14" t="str">
        <x:v>es-colony-catana-pleiades-462270-classification</x:v>
      </x:c>
      <x:c r="B384" s="14" t="str">
        <x:v>colony-catana</x:v>
      </x:c>
      <x:c r="C384" s="14" t="str">
        <x:v>src-pleiades-462270</x:v>
      </x:c>
      <x:c r="D384" s="14" t="str">
        <x:v>classification</x:v>
      </x:c>
      <x:c r="E384" s="20" t="b">
        <x:v>1</x:v>
      </x:c>
    </x:row>
    <x:row r="385" ht="24" customHeight="1">
      <x:c r="A385" s="14" t="str">
        <x:v>es-colony-catana-pleiades-462270-description</x:v>
      </x:c>
      <x:c r="B385" s="14" t="str">
        <x:v>colony-catana</x:v>
      </x:c>
      <x:c r="C385" s="14" t="str">
        <x:v>src-pleiades-462270</x:v>
      </x:c>
      <x:c r="D385" s="14" t="str">
        <x:v>description</x:v>
      </x:c>
      <x:c r="E385" s="20" t="b">
        <x:v>1</x:v>
      </x:c>
    </x:row>
    <x:row r="386" ht="24" customHeight="1">
      <x:c r="A386" s="14" t="str">
        <x:v>es-colony-catana-pleiades-462270-geometry</x:v>
      </x:c>
      <x:c r="B386" s="14" t="str">
        <x:v>colony-catana</x:v>
      </x:c>
      <x:c r="C386" s="14" t="str">
        <x:v>src-pleiades-462270</x:v>
      </x:c>
      <x:c r="D386" s="14" t="str">
        <x:v>geometry</x:v>
      </x:c>
      <x:c r="E386" s="20" t="b">
        <x:v>1</x:v>
      </x:c>
    </x:row>
    <x:row r="387" ht="24" customHeight="1">
      <x:c r="A387" s="14" t="str">
        <x:v>es-colony-catana-pleiades-462270-identity</x:v>
      </x:c>
      <x:c r="B387" s="14" t="str">
        <x:v>colony-catana</x:v>
      </x:c>
      <x:c r="C387" s="14" t="str">
        <x:v>src-pleiades-462270</x:v>
      </x:c>
      <x:c r="D387" s="14" t="str">
        <x:v>identity</x:v>
      </x:c>
      <x:c r="E387" s="20" t="b">
        <x:v>1</x:v>
      </x:c>
    </x:row>
    <x:row r="388" ht="24" customHeight="1">
      <x:c r="A388" s="14" t="str">
        <x:v>es-colony-catana-pleiades-462270-names</x:v>
      </x:c>
      <x:c r="B388" s="14" t="str">
        <x:v>colony-catana</x:v>
      </x:c>
      <x:c r="C388" s="14" t="str">
        <x:v>src-pleiades-462270</x:v>
      </x:c>
      <x:c r="D388" s="14" t="str">
        <x:v>names</x:v>
      </x:c>
      <x:c r="E388" s="20" t="b">
        <x:v>1</x:v>
      </x:c>
    </x:row>
    <x:row r="389" ht="24" customHeight="1">
      <x:c r="A389" s="14" t="str">
        <x:v>es-colony-catana-pleiades-462270-relationships</x:v>
      </x:c>
      <x:c r="B389" s="14" t="str">
        <x:v>colony-catana</x:v>
      </x:c>
      <x:c r="C389" s="14" t="str">
        <x:v>src-pleiades-462270</x:v>
      </x:c>
      <x:c r="D389" s="14" t="str">
        <x:v>relationships</x:v>
      </x:c>
      <x:c r="E389" s="20" t="b">
        <x:v>1</x:v>
      </x:c>
    </x:row>
    <x:row r="390" ht="24" customHeight="1">
      <x:c r="A390" s="14" t="str">
        <x:v>es-colony-chalcedon-pleiades-520988-chronology</x:v>
      </x:c>
      <x:c r="B390" s="14" t="str">
        <x:v>colony-chalcedon</x:v>
      </x:c>
      <x:c r="C390" s="14" t="str">
        <x:v>src-pleiades-520988</x:v>
      </x:c>
      <x:c r="D390" s="14" t="str">
        <x:v>chronology</x:v>
      </x:c>
      <x:c r="E390" s="20" t="b">
        <x:v>1</x:v>
      </x:c>
    </x:row>
    <x:row r="391" ht="24" customHeight="1">
      <x:c r="A391" s="14" t="str">
        <x:v>es-colony-chalcedon-pleiades-520988-classification</x:v>
      </x:c>
      <x:c r="B391" s="14" t="str">
        <x:v>colony-chalcedon</x:v>
      </x:c>
      <x:c r="C391" s="14" t="str">
        <x:v>src-pleiades-520988</x:v>
      </x:c>
      <x:c r="D391" s="14" t="str">
        <x:v>classification</x:v>
      </x:c>
      <x:c r="E391" s="20" t="b">
        <x:v>1</x:v>
      </x:c>
    </x:row>
    <x:row r="392" ht="24" customHeight="1">
      <x:c r="A392" s="14" t="str">
        <x:v>es-colony-chalcedon-pleiades-520988-description</x:v>
      </x:c>
      <x:c r="B392" s="14" t="str">
        <x:v>colony-chalcedon</x:v>
      </x:c>
      <x:c r="C392" s="14" t="str">
        <x:v>src-pleiades-520988</x:v>
      </x:c>
      <x:c r="D392" s="14" t="str">
        <x:v>description</x:v>
      </x:c>
      <x:c r="E392" s="20" t="b">
        <x:v>1</x:v>
      </x:c>
    </x:row>
    <x:row r="393" ht="24" customHeight="1">
      <x:c r="A393" s="14" t="str">
        <x:v>es-colony-chalcedon-pleiades-520988-geometry</x:v>
      </x:c>
      <x:c r="B393" s="14" t="str">
        <x:v>colony-chalcedon</x:v>
      </x:c>
      <x:c r="C393" s="14" t="str">
        <x:v>src-pleiades-520988</x:v>
      </x:c>
      <x:c r="D393" s="14" t="str">
        <x:v>geometry</x:v>
      </x:c>
      <x:c r="E393" s="20" t="b">
        <x:v>1</x:v>
      </x:c>
    </x:row>
    <x:row r="394" ht="24" customHeight="1">
      <x:c r="A394" s="14" t="str">
        <x:v>es-colony-chalcedon-pleiades-520988-identity</x:v>
      </x:c>
      <x:c r="B394" s="14" t="str">
        <x:v>colony-chalcedon</x:v>
      </x:c>
      <x:c r="C394" s="14" t="str">
        <x:v>src-pleiades-520988</x:v>
      </x:c>
      <x:c r="D394" s="14" t="str">
        <x:v>identity</x:v>
      </x:c>
      <x:c r="E394" s="20" t="b">
        <x:v>1</x:v>
      </x:c>
    </x:row>
    <x:row r="395" ht="24" customHeight="1">
      <x:c r="A395" s="14" t="str">
        <x:v>es-colony-chalcedon-pleiades-520988-names</x:v>
      </x:c>
      <x:c r="B395" s="14" t="str">
        <x:v>colony-chalcedon</x:v>
      </x:c>
      <x:c r="C395" s="14" t="str">
        <x:v>src-pleiades-520988</x:v>
      </x:c>
      <x:c r="D395" s="14" t="str">
        <x:v>names</x:v>
      </x:c>
      <x:c r="E395" s="20" t="b">
        <x:v>1</x:v>
      </x:c>
    </x:row>
    <x:row r="396" ht="24" customHeight="1">
      <x:c r="A396" s="14" t="str">
        <x:v>es-colony-chalcedon-pleiades-520988-relationships</x:v>
      </x:c>
      <x:c r="B396" s="14" t="str">
        <x:v>colony-chalcedon</x:v>
      </x:c>
      <x:c r="C396" s="14" t="str">
        <x:v>src-pleiades-520988</x:v>
      </x:c>
      <x:c r="D396" s="14" t="str">
        <x:v>relationships</x:v>
      </x:c>
      <x:c r="E396" s="20" t="b">
        <x:v>1</x:v>
      </x:c>
    </x:row>
    <x:row r="397" ht="24" customHeight="1">
      <x:c r="A397" s="14" t="str">
        <x:v>es-colony-chersonesus-taurica-pleiades-226564-chronology</x:v>
      </x:c>
      <x:c r="B397" s="14" t="str">
        <x:v>colony-chersonesus-taurica</x:v>
      </x:c>
      <x:c r="C397" s="14" t="str">
        <x:v>src-pleiades-226564</x:v>
      </x:c>
      <x:c r="D397" s="14" t="str">
        <x:v>chronology</x:v>
      </x:c>
      <x:c r="E397" s="20" t="b">
        <x:v>1</x:v>
      </x:c>
    </x:row>
    <x:row r="398" ht="24" customHeight="1">
      <x:c r="A398" s="14" t="str">
        <x:v>es-colony-chersonesus-taurica-pleiades-226564-classification</x:v>
      </x:c>
      <x:c r="B398" s="14" t="str">
        <x:v>colony-chersonesus-taurica</x:v>
      </x:c>
      <x:c r="C398" s="14" t="str">
        <x:v>src-pleiades-226564</x:v>
      </x:c>
      <x:c r="D398" s="14" t="str">
        <x:v>classification</x:v>
      </x:c>
      <x:c r="E398" s="20" t="b">
        <x:v>1</x:v>
      </x:c>
    </x:row>
    <x:row r="399" ht="24" customHeight="1">
      <x:c r="A399" s="14" t="str">
        <x:v>es-colony-chersonesus-taurica-pleiades-226564-description</x:v>
      </x:c>
      <x:c r="B399" s="14" t="str">
        <x:v>colony-chersonesus-taurica</x:v>
      </x:c>
      <x:c r="C399" s="14" t="str">
        <x:v>src-pleiades-226564</x:v>
      </x:c>
      <x:c r="D399" s="14" t="str">
        <x:v>description</x:v>
      </x:c>
      <x:c r="E399" s="20" t="b">
        <x:v>1</x:v>
      </x:c>
    </x:row>
    <x:row r="400" ht="24" customHeight="1">
      <x:c r="A400" s="14" t="str">
        <x:v>es-colony-chersonesus-taurica-pleiades-226564-geometry</x:v>
      </x:c>
      <x:c r="B400" s="14" t="str">
        <x:v>colony-chersonesus-taurica</x:v>
      </x:c>
      <x:c r="C400" s="14" t="str">
        <x:v>src-pleiades-226564</x:v>
      </x:c>
      <x:c r="D400" s="14" t="str">
        <x:v>geometry</x:v>
      </x:c>
      <x:c r="E400" s="20" t="b">
        <x:v>1</x:v>
      </x:c>
    </x:row>
    <x:row r="401" ht="24" customHeight="1">
      <x:c r="A401" s="14" t="str">
        <x:v>es-colony-chersonesus-taurica-pleiades-226564-identity</x:v>
      </x:c>
      <x:c r="B401" s="14" t="str">
        <x:v>colony-chersonesus-taurica</x:v>
      </x:c>
      <x:c r="C401" s="14" t="str">
        <x:v>src-pleiades-226564</x:v>
      </x:c>
      <x:c r="D401" s="14" t="str">
        <x:v>identity</x:v>
      </x:c>
      <x:c r="E401" s="20" t="b">
        <x:v>1</x:v>
      </x:c>
    </x:row>
    <x:row r="402" ht="24" customHeight="1">
      <x:c r="A402" s="14" t="str">
        <x:v>es-colony-chersonesus-taurica-pleiades-226564-names</x:v>
      </x:c>
      <x:c r="B402" s="14" t="str">
        <x:v>colony-chersonesus-taurica</x:v>
      </x:c>
      <x:c r="C402" s="14" t="str">
        <x:v>src-pleiades-226564</x:v>
      </x:c>
      <x:c r="D402" s="14" t="str">
        <x:v>names</x:v>
      </x:c>
      <x:c r="E402" s="20" t="b">
        <x:v>1</x:v>
      </x:c>
    </x:row>
    <x:row r="403" ht="24" customHeight="1">
      <x:c r="A403" s="14" t="str">
        <x:v>es-colony-chersonesus-taurica-pleiades-226564-relationships</x:v>
      </x:c>
      <x:c r="B403" s="14" t="str">
        <x:v>colony-chersonesus-taurica</x:v>
      </x:c>
      <x:c r="C403" s="14" t="str">
        <x:v>src-pleiades-226564</x:v>
      </x:c>
      <x:c r="D403" s="14" t="str">
        <x:v>relationships</x:v>
      </x:c>
      <x:c r="E403" s="20" t="b">
        <x:v>1</x:v>
      </x:c>
    </x:row>
    <x:row r="404" ht="24" customHeight="1">
      <x:c r="A404" s="14" t="str">
        <x:v>es-colony-clazomenae-pleiades-550651-chronology</x:v>
      </x:c>
      <x:c r="B404" s="14" t="str">
        <x:v>colony-clazomenae</x:v>
      </x:c>
      <x:c r="C404" s="14" t="str">
        <x:v>src-pleiades-550651</x:v>
      </x:c>
      <x:c r="D404" s="14" t="str">
        <x:v>chronology</x:v>
      </x:c>
      <x:c r="E404" s="20" t="b">
        <x:v>1</x:v>
      </x:c>
    </x:row>
    <x:row r="405" ht="24" customHeight="1">
      <x:c r="A405" s="14" t="str">
        <x:v>es-colony-clazomenae-pleiades-550651-classification</x:v>
      </x:c>
      <x:c r="B405" s="14" t="str">
        <x:v>colony-clazomenae</x:v>
      </x:c>
      <x:c r="C405" s="14" t="str">
        <x:v>src-pleiades-550651</x:v>
      </x:c>
      <x:c r="D405" s="14" t="str">
        <x:v>classification</x:v>
      </x:c>
      <x:c r="E405" s="20" t="b">
        <x:v>1</x:v>
      </x:c>
    </x:row>
    <x:row r="406" ht="24" customHeight="1">
      <x:c r="A406" s="14" t="str">
        <x:v>es-colony-clazomenae-pleiades-550651-description</x:v>
      </x:c>
      <x:c r="B406" s="14" t="str">
        <x:v>colony-clazomenae</x:v>
      </x:c>
      <x:c r="C406" s="14" t="str">
        <x:v>src-pleiades-550651</x:v>
      </x:c>
      <x:c r="D406" s="14" t="str">
        <x:v>description</x:v>
      </x:c>
      <x:c r="E406" s="20" t="b">
        <x:v>1</x:v>
      </x:c>
    </x:row>
    <x:row r="407" ht="24" customHeight="1">
      <x:c r="A407" s="14" t="str">
        <x:v>es-colony-clazomenae-pleiades-550651-geometry</x:v>
      </x:c>
      <x:c r="B407" s="14" t="str">
        <x:v>colony-clazomenae</x:v>
      </x:c>
      <x:c r="C407" s="14" t="str">
        <x:v>src-pleiades-550651</x:v>
      </x:c>
      <x:c r="D407" s="14" t="str">
        <x:v>geometry</x:v>
      </x:c>
      <x:c r="E407" s="20" t="b">
        <x:v>1</x:v>
      </x:c>
    </x:row>
    <x:row r="408" ht="24" customHeight="1">
      <x:c r="A408" s="14" t="str">
        <x:v>es-colony-clazomenae-pleiades-550651-identity</x:v>
      </x:c>
      <x:c r="B408" s="14" t="str">
        <x:v>colony-clazomenae</x:v>
      </x:c>
      <x:c r="C408" s="14" t="str">
        <x:v>src-pleiades-550651</x:v>
      </x:c>
      <x:c r="D408" s="14" t="str">
        <x:v>identity</x:v>
      </x:c>
      <x:c r="E408" s="20" t="b">
        <x:v>1</x:v>
      </x:c>
    </x:row>
    <x:row r="409" ht="24" customHeight="1">
      <x:c r="A409" s="14" t="str">
        <x:v>es-colony-clazomenae-pleiades-550651-names</x:v>
      </x:c>
      <x:c r="B409" s="14" t="str">
        <x:v>colony-clazomenae</x:v>
      </x:c>
      <x:c r="C409" s="14" t="str">
        <x:v>src-pleiades-550651</x:v>
      </x:c>
      <x:c r="D409" s="14" t="str">
        <x:v>names</x:v>
      </x:c>
      <x:c r="E409" s="20" t="b">
        <x:v>1</x:v>
      </x:c>
    </x:row>
    <x:row r="410" ht="24" customHeight="1">
      <x:c r="A410" s="14" t="str">
        <x:v>es-colony-clazomenae-pleiades-550651-relationships</x:v>
      </x:c>
      <x:c r="B410" s="14" t="str">
        <x:v>colony-clazomenae</x:v>
      </x:c>
      <x:c r="C410" s="14" t="str">
        <x:v>src-pleiades-550651</x:v>
      </x:c>
      <x:c r="D410" s="14" t="str">
        <x:v>relationships</x:v>
      </x:c>
      <x:c r="E410" s="20" t="b">
        <x:v>1</x:v>
      </x:c>
    </x:row>
    <x:row r="411" ht="24" customHeight="1">
      <x:c r="A411" s="14" t="str">
        <x:v>es-colony-cnidus-pleiades-599575-chronology</x:v>
      </x:c>
      <x:c r="B411" s="14" t="str">
        <x:v>colony-cnidus</x:v>
      </x:c>
      <x:c r="C411" s="14" t="str">
        <x:v>src-pleiades-599575</x:v>
      </x:c>
      <x:c r="D411" s="14" t="str">
        <x:v>chronology</x:v>
      </x:c>
      <x:c r="E411" s="20" t="b">
        <x:v>1</x:v>
      </x:c>
    </x:row>
    <x:row r="412" ht="24" customHeight="1">
      <x:c r="A412" s="14" t="str">
        <x:v>es-colony-cnidus-pleiades-599575-classification</x:v>
      </x:c>
      <x:c r="B412" s="14" t="str">
        <x:v>colony-cnidus</x:v>
      </x:c>
      <x:c r="C412" s="14" t="str">
        <x:v>src-pleiades-599575</x:v>
      </x:c>
      <x:c r="D412" s="14" t="str">
        <x:v>classification</x:v>
      </x:c>
      <x:c r="E412" s="20" t="b">
        <x:v>1</x:v>
      </x:c>
    </x:row>
    <x:row r="413" ht="24" customHeight="1">
      <x:c r="A413" s="14" t="str">
        <x:v>es-colony-cnidus-pleiades-599575-description</x:v>
      </x:c>
      <x:c r="B413" s="14" t="str">
        <x:v>colony-cnidus</x:v>
      </x:c>
      <x:c r="C413" s="14" t="str">
        <x:v>src-pleiades-599575</x:v>
      </x:c>
      <x:c r="D413" s="14" t="str">
        <x:v>description</x:v>
      </x:c>
      <x:c r="E413" s="20" t="b">
        <x:v>1</x:v>
      </x:c>
    </x:row>
    <x:row r="414" ht="24" customHeight="1">
      <x:c r="A414" s="14" t="str">
        <x:v>es-colony-cnidus-pleiades-599575-geometry</x:v>
      </x:c>
      <x:c r="B414" s="14" t="str">
        <x:v>colony-cnidus</x:v>
      </x:c>
      <x:c r="C414" s="14" t="str">
        <x:v>src-pleiades-599575</x:v>
      </x:c>
      <x:c r="D414" s="14" t="str">
        <x:v>geometry</x:v>
      </x:c>
      <x:c r="E414" s="20" t="b">
        <x:v>1</x:v>
      </x:c>
    </x:row>
    <x:row r="415" ht="24" customHeight="1">
      <x:c r="A415" s="14" t="str">
        <x:v>es-colony-cnidus-pleiades-599575-identity</x:v>
      </x:c>
      <x:c r="B415" s="14" t="str">
        <x:v>colony-cnidus</x:v>
      </x:c>
      <x:c r="C415" s="14" t="str">
        <x:v>src-pleiades-599575</x:v>
      </x:c>
      <x:c r="D415" s="14" t="str">
        <x:v>identity</x:v>
      </x:c>
      <x:c r="E415" s="20" t="b">
        <x:v>1</x:v>
      </x:c>
    </x:row>
    <x:row r="416" ht="24" customHeight="1">
      <x:c r="A416" s="14" t="str">
        <x:v>es-colony-cnidus-pleiades-599575-names</x:v>
      </x:c>
      <x:c r="B416" s="14" t="str">
        <x:v>colony-cnidus</x:v>
      </x:c>
      <x:c r="C416" s="14" t="str">
        <x:v>src-pleiades-599575</x:v>
      </x:c>
      <x:c r="D416" s="14" t="str">
        <x:v>names</x:v>
      </x:c>
      <x:c r="E416" s="20" t="b">
        <x:v>1</x:v>
      </x:c>
    </x:row>
    <x:row r="417" ht="24" customHeight="1">
      <x:c r="A417" s="14" t="str">
        <x:v>es-colony-cnidus-pleiades-599575-relationships</x:v>
      </x:c>
      <x:c r="B417" s="14" t="str">
        <x:v>colony-cnidus</x:v>
      </x:c>
      <x:c r="C417" s="14" t="str">
        <x:v>src-pleiades-599575</x:v>
      </x:c>
      <x:c r="D417" s="14" t="str">
        <x:v>relationships</x:v>
      </x:c>
      <x:c r="E417" s="20" t="b">
        <x:v>1</x:v>
      </x:c>
    </x:row>
    <x:row r="418" ht="24" customHeight="1">
      <x:c r="A418" s="14" t="str">
        <x:v>es-colony-colophon-pleiades-599577-chronology</x:v>
      </x:c>
      <x:c r="B418" s="14" t="str">
        <x:v>colony-colophon</x:v>
      </x:c>
      <x:c r="C418" s="14" t="str">
        <x:v>src-pleiades-599577</x:v>
      </x:c>
      <x:c r="D418" s="14" t="str">
        <x:v>chronology</x:v>
      </x:c>
      <x:c r="E418" s="20" t="b">
        <x:v>1</x:v>
      </x:c>
    </x:row>
    <x:row r="419" ht="24" customHeight="1">
      <x:c r="A419" s="14" t="str">
        <x:v>es-colony-colophon-pleiades-599577-classification</x:v>
      </x:c>
      <x:c r="B419" s="14" t="str">
        <x:v>colony-colophon</x:v>
      </x:c>
      <x:c r="C419" s="14" t="str">
        <x:v>src-pleiades-599577</x:v>
      </x:c>
      <x:c r="D419" s="14" t="str">
        <x:v>classification</x:v>
      </x:c>
      <x:c r="E419" s="20" t="b">
        <x:v>1</x:v>
      </x:c>
    </x:row>
    <x:row r="420" ht="24" customHeight="1">
      <x:c r="A420" s="14" t="str">
        <x:v>es-colony-colophon-pleiades-599577-description</x:v>
      </x:c>
      <x:c r="B420" s="14" t="str">
        <x:v>colony-colophon</x:v>
      </x:c>
      <x:c r="C420" s="14" t="str">
        <x:v>src-pleiades-599577</x:v>
      </x:c>
      <x:c r="D420" s="14" t="str">
        <x:v>description</x:v>
      </x:c>
      <x:c r="E420" s="20" t="b">
        <x:v>1</x:v>
      </x:c>
    </x:row>
    <x:row r="421" ht="24" customHeight="1">
      <x:c r="A421" s="14" t="str">
        <x:v>es-colony-colophon-pleiades-599577-geometry</x:v>
      </x:c>
      <x:c r="B421" s="14" t="str">
        <x:v>colony-colophon</x:v>
      </x:c>
      <x:c r="C421" s="14" t="str">
        <x:v>src-pleiades-599577</x:v>
      </x:c>
      <x:c r="D421" s="14" t="str">
        <x:v>geometry</x:v>
      </x:c>
      <x:c r="E421" s="20" t="b">
        <x:v>1</x:v>
      </x:c>
    </x:row>
    <x:row r="422" ht="24" customHeight="1">
      <x:c r="A422" s="14" t="str">
        <x:v>es-colony-colophon-pleiades-599577-identity</x:v>
      </x:c>
      <x:c r="B422" s="14" t="str">
        <x:v>colony-colophon</x:v>
      </x:c>
      <x:c r="C422" s="14" t="str">
        <x:v>src-pleiades-599577</x:v>
      </x:c>
      <x:c r="D422" s="14" t="str">
        <x:v>identity</x:v>
      </x:c>
      <x:c r="E422" s="20" t="b">
        <x:v>1</x:v>
      </x:c>
    </x:row>
    <x:row r="423" ht="24" customHeight="1">
      <x:c r="A423" s="14" t="str">
        <x:v>es-colony-colophon-pleiades-599577-names</x:v>
      </x:c>
      <x:c r="B423" s="14" t="str">
        <x:v>colony-colophon</x:v>
      </x:c>
      <x:c r="C423" s="14" t="str">
        <x:v>src-pleiades-599577</x:v>
      </x:c>
      <x:c r="D423" s="14" t="str">
        <x:v>names</x:v>
      </x:c>
      <x:c r="E423" s="20" t="b">
        <x:v>1</x:v>
      </x:c>
    </x:row>
    <x:row r="424" ht="24" customHeight="1">
      <x:c r="A424" s="14" t="str">
        <x:v>es-colony-colophon-pleiades-599577-relationships</x:v>
      </x:c>
      <x:c r="B424" s="14" t="str">
        <x:v>colony-colophon</x:v>
      </x:c>
      <x:c r="C424" s="14" t="str">
        <x:v>src-pleiades-599577</x:v>
      </x:c>
      <x:c r="D424" s="14" t="str">
        <x:v>relationships</x:v>
      </x:c>
      <x:c r="E424" s="20" t="b">
        <x:v>1</x:v>
      </x:c>
    </x:row>
    <x:row r="425" ht="24" customHeight="1">
      <x:c r="A425" s="14" t="str">
        <x:v>es-colony-corcyra-pleiades-530834-chronology</x:v>
      </x:c>
      <x:c r="B425" s="14" t="str">
        <x:v>colony-corcyra</x:v>
      </x:c>
      <x:c r="C425" s="14" t="str">
        <x:v>src-pleiades-530834</x:v>
      </x:c>
      <x:c r="D425" s="14" t="str">
        <x:v>chronology</x:v>
      </x:c>
      <x:c r="E425" s="20" t="b">
        <x:v>1</x:v>
      </x:c>
    </x:row>
    <x:row r="426" ht="24" customHeight="1">
      <x:c r="A426" s="14" t="str">
        <x:v>es-colony-corcyra-pleiades-530834-classification</x:v>
      </x:c>
      <x:c r="B426" s="14" t="str">
        <x:v>colony-corcyra</x:v>
      </x:c>
      <x:c r="C426" s="14" t="str">
        <x:v>src-pleiades-530834</x:v>
      </x:c>
      <x:c r="D426" s="14" t="str">
        <x:v>classification</x:v>
      </x:c>
      <x:c r="E426" s="20" t="b">
        <x:v>1</x:v>
      </x:c>
    </x:row>
    <x:row r="427" ht="24" customHeight="1">
      <x:c r="A427" s="14" t="str">
        <x:v>es-colony-corcyra-pleiades-530834-description</x:v>
      </x:c>
      <x:c r="B427" s="14" t="str">
        <x:v>colony-corcyra</x:v>
      </x:c>
      <x:c r="C427" s="14" t="str">
        <x:v>src-pleiades-530834</x:v>
      </x:c>
      <x:c r="D427" s="14" t="str">
        <x:v>description</x:v>
      </x:c>
      <x:c r="E427" s="20" t="b">
        <x:v>1</x:v>
      </x:c>
    </x:row>
    <x:row r="428" ht="24" customHeight="1">
      <x:c r="A428" s="14" t="str">
        <x:v>es-colony-corcyra-pleiades-530834-geometry</x:v>
      </x:c>
      <x:c r="B428" s="14" t="str">
        <x:v>colony-corcyra</x:v>
      </x:c>
      <x:c r="C428" s="14" t="str">
        <x:v>src-pleiades-530834</x:v>
      </x:c>
      <x:c r="D428" s="14" t="str">
        <x:v>geometry</x:v>
      </x:c>
      <x:c r="E428" s="20" t="b">
        <x:v>1</x:v>
      </x:c>
    </x:row>
    <x:row r="429" ht="24" customHeight="1">
      <x:c r="A429" s="14" t="str">
        <x:v>es-colony-corcyra-pleiades-530834-identity</x:v>
      </x:c>
      <x:c r="B429" s="14" t="str">
        <x:v>colony-corcyra</x:v>
      </x:c>
      <x:c r="C429" s="14" t="str">
        <x:v>src-pleiades-530834</x:v>
      </x:c>
      <x:c r="D429" s="14" t="str">
        <x:v>identity</x:v>
      </x:c>
      <x:c r="E429" s="20" t="b">
        <x:v>1</x:v>
      </x:c>
    </x:row>
    <x:row r="430" ht="24" customHeight="1">
      <x:c r="A430" s="14" t="str">
        <x:v>es-colony-corcyra-pleiades-530834-names</x:v>
      </x:c>
      <x:c r="B430" s="14" t="str">
        <x:v>colony-corcyra</x:v>
      </x:c>
      <x:c r="C430" s="14" t="str">
        <x:v>src-pleiades-530834</x:v>
      </x:c>
      <x:c r="D430" s="14" t="str">
        <x:v>names</x:v>
      </x:c>
      <x:c r="E430" s="20" t="b">
        <x:v>1</x:v>
      </x:c>
    </x:row>
    <x:row r="431" ht="24" customHeight="1">
      <x:c r="A431" s="14" t="str">
        <x:v>es-colony-corcyra-pleiades-530834-relationships</x:v>
      </x:c>
      <x:c r="B431" s="14" t="str">
        <x:v>colony-corcyra</x:v>
      </x:c>
      <x:c r="C431" s="14" t="str">
        <x:v>src-pleiades-530834</x:v>
      </x:c>
      <x:c r="D431" s="14" t="str">
        <x:v>relationships</x:v>
      </x:c>
      <x:c r="E431" s="20" t="b">
        <x:v>1</x:v>
      </x:c>
    </x:row>
    <x:row r="432" ht="24" customHeight="1">
      <x:c r="A432" s="14" t="str">
        <x:v>es-colony-croton-pleiades-452317-chronology</x:v>
      </x:c>
      <x:c r="B432" s="14" t="str">
        <x:v>colony-croton</x:v>
      </x:c>
      <x:c r="C432" s="14" t="str">
        <x:v>src-pleiades-452317</x:v>
      </x:c>
      <x:c r="D432" s="14" t="str">
        <x:v>chronology</x:v>
      </x:c>
      <x:c r="E432" s="20" t="b">
        <x:v>1</x:v>
      </x:c>
    </x:row>
    <x:row r="433" ht="24" customHeight="1">
      <x:c r="A433" s="14" t="str">
        <x:v>es-colony-croton-pleiades-452317-classification</x:v>
      </x:c>
      <x:c r="B433" s="14" t="str">
        <x:v>colony-croton</x:v>
      </x:c>
      <x:c r="C433" s="14" t="str">
        <x:v>src-pleiades-452317</x:v>
      </x:c>
      <x:c r="D433" s="14" t="str">
        <x:v>classification</x:v>
      </x:c>
      <x:c r="E433" s="20" t="b">
        <x:v>1</x:v>
      </x:c>
    </x:row>
    <x:row r="434" ht="24" customHeight="1">
      <x:c r="A434" s="14" t="str">
        <x:v>es-colony-croton-pleiades-452317-description</x:v>
      </x:c>
      <x:c r="B434" s="14" t="str">
        <x:v>colony-croton</x:v>
      </x:c>
      <x:c r="C434" s="14" t="str">
        <x:v>src-pleiades-452317</x:v>
      </x:c>
      <x:c r="D434" s="14" t="str">
        <x:v>description</x:v>
      </x:c>
      <x:c r="E434" s="20" t="b">
        <x:v>1</x:v>
      </x:c>
    </x:row>
    <x:row r="435" ht="24" customHeight="1">
      <x:c r="A435" s="14" t="str">
        <x:v>es-colony-croton-pleiades-452317-geometry</x:v>
      </x:c>
      <x:c r="B435" s="14" t="str">
        <x:v>colony-croton</x:v>
      </x:c>
      <x:c r="C435" s="14" t="str">
        <x:v>src-pleiades-452317</x:v>
      </x:c>
      <x:c r="D435" s="14" t="str">
        <x:v>geometry</x:v>
      </x:c>
      <x:c r="E435" s="20" t="b">
        <x:v>1</x:v>
      </x:c>
    </x:row>
    <x:row r="436" ht="24" customHeight="1">
      <x:c r="A436" s="14" t="str">
        <x:v>es-colony-croton-pleiades-452317-identity</x:v>
      </x:c>
      <x:c r="B436" s="14" t="str">
        <x:v>colony-croton</x:v>
      </x:c>
      <x:c r="C436" s="14" t="str">
        <x:v>src-pleiades-452317</x:v>
      </x:c>
      <x:c r="D436" s="14" t="str">
        <x:v>identity</x:v>
      </x:c>
      <x:c r="E436" s="20" t="b">
        <x:v>1</x:v>
      </x:c>
    </x:row>
    <x:row r="437" ht="24" customHeight="1">
      <x:c r="A437" s="14" t="str">
        <x:v>es-colony-croton-pleiades-452317-names</x:v>
      </x:c>
      <x:c r="B437" s="14" t="str">
        <x:v>colony-croton</x:v>
      </x:c>
      <x:c r="C437" s="14" t="str">
        <x:v>src-pleiades-452317</x:v>
      </x:c>
      <x:c r="D437" s="14" t="str">
        <x:v>names</x:v>
      </x:c>
      <x:c r="E437" s="20" t="b">
        <x:v>1</x:v>
      </x:c>
    </x:row>
    <x:row r="438" ht="24" customHeight="1">
      <x:c r="A438" s="14" t="str">
        <x:v>es-colony-croton-pleiades-452317-relationships</x:v>
      </x:c>
      <x:c r="B438" s="14" t="str">
        <x:v>colony-croton</x:v>
      </x:c>
      <x:c r="C438" s="14" t="str">
        <x:v>src-pleiades-452317</x:v>
      </x:c>
      <x:c r="D438" s="14" t="str">
        <x:v>relationships</x:v>
      </x:c>
      <x:c r="E438" s="20" t="b">
        <x:v>1</x:v>
      </x:c>
    </x:row>
    <x:row r="439" ht="24" customHeight="1">
      <x:c r="A439" s="14" t="str">
        <x:v>es-colony-cumae-campania-pleiades-432808-chronology</x:v>
      </x:c>
      <x:c r="B439" s="14" t="str">
        <x:v>colony-cumae-campania</x:v>
      </x:c>
      <x:c r="C439" s="14" t="str">
        <x:v>src-pleiades-432808</x:v>
      </x:c>
      <x:c r="D439" s="14" t="str">
        <x:v>chronology</x:v>
      </x:c>
      <x:c r="E439" s="20" t="b">
        <x:v>1</x:v>
      </x:c>
    </x:row>
    <x:row r="440" ht="24" customHeight="1">
      <x:c r="A440" s="14" t="str">
        <x:v>es-colony-cumae-campania-pleiades-432808-classification</x:v>
      </x:c>
      <x:c r="B440" s="14" t="str">
        <x:v>colony-cumae-campania</x:v>
      </x:c>
      <x:c r="C440" s="14" t="str">
        <x:v>src-pleiades-432808</x:v>
      </x:c>
      <x:c r="D440" s="14" t="str">
        <x:v>classification</x:v>
      </x:c>
      <x:c r="E440" s="20" t="b">
        <x:v>1</x:v>
      </x:c>
    </x:row>
    <x:row r="441" ht="24" customHeight="1">
      <x:c r="A441" s="14" t="str">
        <x:v>es-colony-cumae-campania-pleiades-432808-description</x:v>
      </x:c>
      <x:c r="B441" s="14" t="str">
        <x:v>colony-cumae-campania</x:v>
      </x:c>
      <x:c r="C441" s="14" t="str">
        <x:v>src-pleiades-432808</x:v>
      </x:c>
      <x:c r="D441" s="14" t="str">
        <x:v>description</x:v>
      </x:c>
      <x:c r="E441" s="20" t="b">
        <x:v>1</x:v>
      </x:c>
    </x:row>
    <x:row r="442" ht="24" customHeight="1">
      <x:c r="A442" s="14" t="str">
        <x:v>es-colony-cumae-campania-pleiades-432808-geometry</x:v>
      </x:c>
      <x:c r="B442" s="14" t="str">
        <x:v>colony-cumae-campania</x:v>
      </x:c>
      <x:c r="C442" s="14" t="str">
        <x:v>src-pleiades-432808</x:v>
      </x:c>
      <x:c r="D442" s="14" t="str">
        <x:v>geometry</x:v>
      </x:c>
      <x:c r="E442" s="20" t="b">
        <x:v>1</x:v>
      </x:c>
    </x:row>
    <x:row r="443" ht="24" customHeight="1">
      <x:c r="A443" s="14" t="str">
        <x:v>es-colony-cumae-campania-pleiades-432808-identity</x:v>
      </x:c>
      <x:c r="B443" s="14" t="str">
        <x:v>colony-cumae-campania</x:v>
      </x:c>
      <x:c r="C443" s="14" t="str">
        <x:v>src-pleiades-432808</x:v>
      </x:c>
      <x:c r="D443" s="14" t="str">
        <x:v>identity</x:v>
      </x:c>
      <x:c r="E443" s="20" t="b">
        <x:v>1</x:v>
      </x:c>
    </x:row>
    <x:row r="444" ht="24" customHeight="1">
      <x:c r="A444" s="14" t="str">
        <x:v>es-colony-cumae-campania-pleiades-432808-names</x:v>
      </x:c>
      <x:c r="B444" s="14" t="str">
        <x:v>colony-cumae-campania</x:v>
      </x:c>
      <x:c r="C444" s="14" t="str">
        <x:v>src-pleiades-432808</x:v>
      </x:c>
      <x:c r="D444" s="14" t="str">
        <x:v>names</x:v>
      </x:c>
      <x:c r="E444" s="20" t="b">
        <x:v>1</x:v>
      </x:c>
    </x:row>
    <x:row r="445" ht="24" customHeight="1">
      <x:c r="A445" s="14" t="str">
        <x:v>es-colony-cumae-campania-pleiades-432808-relationships</x:v>
      </x:c>
      <x:c r="B445" s="14" t="str">
        <x:v>colony-cumae-campania</x:v>
      </x:c>
      <x:c r="C445" s="14" t="str">
        <x:v>src-pleiades-432808</x:v>
      </x:c>
      <x:c r="D445" s="14" t="str">
        <x:v>relationships</x:v>
      </x:c>
      <x:c r="E445" s="20" t="b">
        <x:v>1</x:v>
      </x:c>
    </x:row>
    <x:row r="446" ht="24" customHeight="1">
      <x:c r="A446" s="14" t="str">
        <x:v>es-colony-cyme-aeolis-pleiades-550506-chronology</x:v>
      </x:c>
      <x:c r="B446" s="14" t="str">
        <x:v>colony-cyme-aeolis</x:v>
      </x:c>
      <x:c r="C446" s="14" t="str">
        <x:v>src-pleiades-550506</x:v>
      </x:c>
      <x:c r="D446" s="14" t="str">
        <x:v>chronology</x:v>
      </x:c>
      <x:c r="E446" s="20" t="b">
        <x:v>1</x:v>
      </x:c>
    </x:row>
    <x:row r="447" ht="24" customHeight="1">
      <x:c r="A447" s="14" t="str">
        <x:v>es-colony-cyme-aeolis-pleiades-550506-classification</x:v>
      </x:c>
      <x:c r="B447" s="14" t="str">
        <x:v>colony-cyme-aeolis</x:v>
      </x:c>
      <x:c r="C447" s="14" t="str">
        <x:v>src-pleiades-550506</x:v>
      </x:c>
      <x:c r="D447" s="14" t="str">
        <x:v>classification</x:v>
      </x:c>
      <x:c r="E447" s="20" t="b">
        <x:v>1</x:v>
      </x:c>
    </x:row>
    <x:row r="448" ht="24" customHeight="1">
      <x:c r="A448" s="14" t="str">
        <x:v>es-colony-cyme-aeolis-pleiades-550506-description</x:v>
      </x:c>
      <x:c r="B448" s="14" t="str">
        <x:v>colony-cyme-aeolis</x:v>
      </x:c>
      <x:c r="C448" s="14" t="str">
        <x:v>src-pleiades-550506</x:v>
      </x:c>
      <x:c r="D448" s="14" t="str">
        <x:v>description</x:v>
      </x:c>
      <x:c r="E448" s="20" t="b">
        <x:v>1</x:v>
      </x:c>
    </x:row>
    <x:row r="449" ht="24" customHeight="1">
      <x:c r="A449" s="14" t="str">
        <x:v>es-colony-cyme-aeolis-pleiades-550506-geometry</x:v>
      </x:c>
      <x:c r="B449" s="14" t="str">
        <x:v>colony-cyme-aeolis</x:v>
      </x:c>
      <x:c r="C449" s="14" t="str">
        <x:v>src-pleiades-550506</x:v>
      </x:c>
      <x:c r="D449" s="14" t="str">
        <x:v>geometry</x:v>
      </x:c>
      <x:c r="E449" s="20" t="b">
        <x:v>1</x:v>
      </x:c>
    </x:row>
    <x:row r="450" ht="24" customHeight="1">
      <x:c r="A450" s="14" t="str">
        <x:v>es-colony-cyme-aeolis-pleiades-550506-identity</x:v>
      </x:c>
      <x:c r="B450" s="14" t="str">
        <x:v>colony-cyme-aeolis</x:v>
      </x:c>
      <x:c r="C450" s="14" t="str">
        <x:v>src-pleiades-550506</x:v>
      </x:c>
      <x:c r="D450" s="14" t="str">
        <x:v>identity</x:v>
      </x:c>
      <x:c r="E450" s="20" t="b">
        <x:v>1</x:v>
      </x:c>
    </x:row>
    <x:row r="451" ht="24" customHeight="1">
      <x:c r="A451" s="14" t="str">
        <x:v>es-colony-cyme-aeolis-pleiades-550506-names</x:v>
      </x:c>
      <x:c r="B451" s="14" t="str">
        <x:v>colony-cyme-aeolis</x:v>
      </x:c>
      <x:c r="C451" s="14" t="str">
        <x:v>src-pleiades-550506</x:v>
      </x:c>
      <x:c r="D451" s="14" t="str">
        <x:v>names</x:v>
      </x:c>
      <x:c r="E451" s="20" t="b">
        <x:v>1</x:v>
      </x:c>
    </x:row>
    <x:row r="452" ht="24" customHeight="1">
      <x:c r="A452" s="14" t="str">
        <x:v>es-colony-cyme-aeolis-pleiades-550506-relationships</x:v>
      </x:c>
      <x:c r="B452" s="14" t="str">
        <x:v>colony-cyme-aeolis</x:v>
      </x:c>
      <x:c r="C452" s="14" t="str">
        <x:v>src-pleiades-550506</x:v>
      </x:c>
      <x:c r="D452" s="14" t="str">
        <x:v>relationships</x:v>
      </x:c>
      <x:c r="E452" s="20" t="b">
        <x:v>1</x:v>
      </x:c>
    </x:row>
    <x:row r="453" ht="24" customHeight="1">
      <x:c r="A453" s="14" t="str">
        <x:v>es-colony-cyrene-pleiades-373778-chronology</x:v>
      </x:c>
      <x:c r="B453" s="14" t="str">
        <x:v>colony-cyrene</x:v>
      </x:c>
      <x:c r="C453" s="14" t="str">
        <x:v>src-pleiades-373778</x:v>
      </x:c>
      <x:c r="D453" s="14" t="str">
        <x:v>chronology</x:v>
      </x:c>
      <x:c r="E453" s="20" t="b">
        <x:v>1</x:v>
      </x:c>
    </x:row>
    <x:row r="454" ht="24" customHeight="1">
      <x:c r="A454" s="14" t="str">
        <x:v>es-colony-cyrene-pleiades-373778-classification</x:v>
      </x:c>
      <x:c r="B454" s="14" t="str">
        <x:v>colony-cyrene</x:v>
      </x:c>
      <x:c r="C454" s="14" t="str">
        <x:v>src-pleiades-373778</x:v>
      </x:c>
      <x:c r="D454" s="14" t="str">
        <x:v>classification</x:v>
      </x:c>
      <x:c r="E454" s="20" t="b">
        <x:v>1</x:v>
      </x:c>
    </x:row>
    <x:row r="455" ht="24" customHeight="1">
      <x:c r="A455" s="14" t="str">
        <x:v>es-colony-cyrene-pleiades-373778-description</x:v>
      </x:c>
      <x:c r="B455" s="14" t="str">
        <x:v>colony-cyrene</x:v>
      </x:c>
      <x:c r="C455" s="14" t="str">
        <x:v>src-pleiades-373778</x:v>
      </x:c>
      <x:c r="D455" s="14" t="str">
        <x:v>description</x:v>
      </x:c>
      <x:c r="E455" s="20" t="b">
        <x:v>1</x:v>
      </x:c>
    </x:row>
    <x:row r="456" ht="24" customHeight="1">
      <x:c r="A456" s="14" t="str">
        <x:v>es-colony-cyrene-pleiades-373778-geometry</x:v>
      </x:c>
      <x:c r="B456" s="14" t="str">
        <x:v>colony-cyrene</x:v>
      </x:c>
      <x:c r="C456" s="14" t="str">
        <x:v>src-pleiades-373778</x:v>
      </x:c>
      <x:c r="D456" s="14" t="str">
        <x:v>geometry</x:v>
      </x:c>
      <x:c r="E456" s="20" t="b">
        <x:v>1</x:v>
      </x:c>
    </x:row>
    <x:row r="457" ht="24" customHeight="1">
      <x:c r="A457" s="14" t="str">
        <x:v>es-colony-cyrene-pleiades-373778-identity</x:v>
      </x:c>
      <x:c r="B457" s="14" t="str">
        <x:v>colony-cyrene</x:v>
      </x:c>
      <x:c r="C457" s="14" t="str">
        <x:v>src-pleiades-373778</x:v>
      </x:c>
      <x:c r="D457" s="14" t="str">
        <x:v>identity</x:v>
      </x:c>
      <x:c r="E457" s="20" t="b">
        <x:v>1</x:v>
      </x:c>
    </x:row>
    <x:row r="458" ht="24" customHeight="1">
      <x:c r="A458" s="14" t="str">
        <x:v>es-colony-cyrene-pleiades-373778-names</x:v>
      </x:c>
      <x:c r="B458" s="14" t="str">
        <x:v>colony-cyrene</x:v>
      </x:c>
      <x:c r="C458" s="14" t="str">
        <x:v>src-pleiades-373778</x:v>
      </x:c>
      <x:c r="D458" s="14" t="str">
        <x:v>names</x:v>
      </x:c>
      <x:c r="E458" s="20" t="b">
        <x:v>1</x:v>
      </x:c>
    </x:row>
    <x:row r="459" ht="24" customHeight="1">
      <x:c r="A459" s="14" t="str">
        <x:v>es-colony-cyrene-pleiades-373778-relationships</x:v>
      </x:c>
      <x:c r="B459" s="14" t="str">
        <x:v>colony-cyrene</x:v>
      </x:c>
      <x:c r="C459" s="14" t="str">
        <x:v>src-pleiades-373778</x:v>
      </x:c>
      <x:c r="D459" s="14" t="str">
        <x:v>relationships</x:v>
      </x:c>
      <x:c r="E459" s="20" t="b">
        <x:v>1</x:v>
      </x:c>
    </x:row>
    <x:row r="460" ht="24" customHeight="1">
      <x:c r="A460" s="14" t="str">
        <x:v>es-colony-cyzicus-pleiades-511218-chronology</x:v>
      </x:c>
      <x:c r="B460" s="14" t="str">
        <x:v>colony-cyzicus</x:v>
      </x:c>
      <x:c r="C460" s="14" t="str">
        <x:v>src-pleiades-511218</x:v>
      </x:c>
      <x:c r="D460" s="14" t="str">
        <x:v>chronology</x:v>
      </x:c>
      <x:c r="E460" s="20" t="b">
        <x:v>1</x:v>
      </x:c>
    </x:row>
    <x:row r="461" ht="24" customHeight="1">
      <x:c r="A461" s="14" t="str">
        <x:v>es-colony-cyzicus-pleiades-511218-classification</x:v>
      </x:c>
      <x:c r="B461" s="14" t="str">
        <x:v>colony-cyzicus</x:v>
      </x:c>
      <x:c r="C461" s="14" t="str">
        <x:v>src-pleiades-511218</x:v>
      </x:c>
      <x:c r="D461" s="14" t="str">
        <x:v>classification</x:v>
      </x:c>
      <x:c r="E461" s="20" t="b">
        <x:v>1</x:v>
      </x:c>
    </x:row>
    <x:row r="462" ht="24" customHeight="1">
      <x:c r="A462" s="14" t="str">
        <x:v>es-colony-cyzicus-pleiades-511218-description</x:v>
      </x:c>
      <x:c r="B462" s="14" t="str">
        <x:v>colony-cyzicus</x:v>
      </x:c>
      <x:c r="C462" s="14" t="str">
        <x:v>src-pleiades-511218</x:v>
      </x:c>
      <x:c r="D462" s="14" t="str">
        <x:v>description</x:v>
      </x:c>
      <x:c r="E462" s="20" t="b">
        <x:v>1</x:v>
      </x:c>
    </x:row>
    <x:row r="463" ht="24" customHeight="1">
      <x:c r="A463" s="14" t="str">
        <x:v>es-colony-cyzicus-pleiades-511218-geometry</x:v>
      </x:c>
      <x:c r="B463" s="14" t="str">
        <x:v>colony-cyzicus</x:v>
      </x:c>
      <x:c r="C463" s="14" t="str">
        <x:v>src-pleiades-511218</x:v>
      </x:c>
      <x:c r="D463" s="14" t="str">
        <x:v>geometry</x:v>
      </x:c>
      <x:c r="E463" s="20" t="b">
        <x:v>1</x:v>
      </x:c>
    </x:row>
    <x:row r="464" ht="24" customHeight="1">
      <x:c r="A464" s="14" t="str">
        <x:v>es-colony-cyzicus-pleiades-511218-identity</x:v>
      </x:c>
      <x:c r="B464" s="14" t="str">
        <x:v>colony-cyzicus</x:v>
      </x:c>
      <x:c r="C464" s="14" t="str">
        <x:v>src-pleiades-511218</x:v>
      </x:c>
      <x:c r="D464" s="14" t="str">
        <x:v>identity</x:v>
      </x:c>
      <x:c r="E464" s="20" t="b">
        <x:v>1</x:v>
      </x:c>
    </x:row>
    <x:row r="465" ht="24" customHeight="1">
      <x:c r="A465" s="14" t="str">
        <x:v>es-colony-cyzicus-pleiades-511218-names</x:v>
      </x:c>
      <x:c r="B465" s="14" t="str">
        <x:v>colony-cyzicus</x:v>
      </x:c>
      <x:c r="C465" s="14" t="str">
        <x:v>src-pleiades-511218</x:v>
      </x:c>
      <x:c r="D465" s="14" t="str">
        <x:v>names</x:v>
      </x:c>
      <x:c r="E465" s="20" t="b">
        <x:v>1</x:v>
      </x:c>
    </x:row>
    <x:row r="466" ht="24" customHeight="1">
      <x:c r="A466" s="14" t="str">
        <x:v>es-colony-cyzicus-pleiades-511218-relationships</x:v>
      </x:c>
      <x:c r="B466" s="14" t="str">
        <x:v>colony-cyzicus</x:v>
      </x:c>
      <x:c r="C466" s="14" t="str">
        <x:v>src-pleiades-511218</x:v>
      </x:c>
      <x:c r="D466" s="14" t="str">
        <x:v>relationships</x:v>
      </x:c>
      <x:c r="E466" s="20" t="b">
        <x:v>1</x:v>
      </x:c>
    </x:row>
    <x:row r="467" ht="24" customHeight="1">
      <x:c r="A467" s="14" t="str">
        <x:v>es-colony-dioscurias-pleiades-857107-chronology</x:v>
      </x:c>
      <x:c r="B467" s="14" t="str">
        <x:v>colony-dioscurias</x:v>
      </x:c>
      <x:c r="C467" s="14" t="str">
        <x:v>src-pleiades-857107</x:v>
      </x:c>
      <x:c r="D467" s="14" t="str">
        <x:v>chronology</x:v>
      </x:c>
      <x:c r="E467" s="20" t="b">
        <x:v>1</x:v>
      </x:c>
    </x:row>
    <x:row r="468" ht="24" customHeight="1">
      <x:c r="A468" s="14" t="str">
        <x:v>es-colony-dioscurias-pleiades-857107-classification</x:v>
      </x:c>
      <x:c r="B468" s="14" t="str">
        <x:v>colony-dioscurias</x:v>
      </x:c>
      <x:c r="C468" s="14" t="str">
        <x:v>src-pleiades-857107</x:v>
      </x:c>
      <x:c r="D468" s="14" t="str">
        <x:v>classification</x:v>
      </x:c>
      <x:c r="E468" s="20" t="b">
        <x:v>1</x:v>
      </x:c>
    </x:row>
    <x:row r="469" ht="24" customHeight="1">
      <x:c r="A469" s="14" t="str">
        <x:v>es-colony-dioscurias-pleiades-857107-description</x:v>
      </x:c>
      <x:c r="B469" s="14" t="str">
        <x:v>colony-dioscurias</x:v>
      </x:c>
      <x:c r="C469" s="14" t="str">
        <x:v>src-pleiades-857107</x:v>
      </x:c>
      <x:c r="D469" s="14" t="str">
        <x:v>description</x:v>
      </x:c>
      <x:c r="E469" s="20" t="b">
        <x:v>1</x:v>
      </x:c>
    </x:row>
    <x:row r="470" ht="24" customHeight="1">
      <x:c r="A470" s="14" t="str">
        <x:v>es-colony-dioscurias-pleiades-857107-geometry</x:v>
      </x:c>
      <x:c r="B470" s="14" t="str">
        <x:v>colony-dioscurias</x:v>
      </x:c>
      <x:c r="C470" s="14" t="str">
        <x:v>src-pleiades-857107</x:v>
      </x:c>
      <x:c r="D470" s="14" t="str">
        <x:v>geometry</x:v>
      </x:c>
      <x:c r="E470" s="20" t="b">
        <x:v>1</x:v>
      </x:c>
    </x:row>
    <x:row r="471" ht="24" customHeight="1">
      <x:c r="A471" s="14" t="str">
        <x:v>es-colony-dioscurias-pleiades-857107-identity</x:v>
      </x:c>
      <x:c r="B471" s="14" t="str">
        <x:v>colony-dioscurias</x:v>
      </x:c>
      <x:c r="C471" s="14" t="str">
        <x:v>src-pleiades-857107</x:v>
      </x:c>
      <x:c r="D471" s="14" t="str">
        <x:v>identity</x:v>
      </x:c>
      <x:c r="E471" s="20" t="b">
        <x:v>1</x:v>
      </x:c>
    </x:row>
    <x:row r="472" ht="24" customHeight="1">
      <x:c r="A472" s="14" t="str">
        <x:v>es-colony-dioscurias-pleiades-857107-names</x:v>
      </x:c>
      <x:c r="B472" s="14" t="str">
        <x:v>colony-dioscurias</x:v>
      </x:c>
      <x:c r="C472" s="14" t="str">
        <x:v>src-pleiades-857107</x:v>
      </x:c>
      <x:c r="D472" s="14" t="str">
        <x:v>names</x:v>
      </x:c>
      <x:c r="E472" s="20" t="b">
        <x:v>1</x:v>
      </x:c>
    </x:row>
    <x:row r="473" ht="24" customHeight="1">
      <x:c r="A473" s="14" t="str">
        <x:v>es-colony-dioscurias-pleiades-857107-relationships</x:v>
      </x:c>
      <x:c r="B473" s="14" t="str">
        <x:v>colony-dioscurias</x:v>
      </x:c>
      <x:c r="C473" s="14" t="str">
        <x:v>src-pleiades-857107</x:v>
      </x:c>
      <x:c r="D473" s="14" t="str">
        <x:v>relationships</x:v>
      </x:c>
      <x:c r="E473" s="20" t="b">
        <x:v>1</x:v>
      </x:c>
    </x:row>
    <x:row r="474" ht="24" customHeight="1">
      <x:c r="A474" s="14" t="str">
        <x:v>es-colony-elea-velia-pleiades-452488-chronology</x:v>
      </x:c>
      <x:c r="B474" s="14" t="str">
        <x:v>colony-elea-velia</x:v>
      </x:c>
      <x:c r="C474" s="14" t="str">
        <x:v>src-pleiades-452488</x:v>
      </x:c>
      <x:c r="D474" s="14" t="str">
        <x:v>chronology</x:v>
      </x:c>
      <x:c r="E474" s="20" t="b">
        <x:v>1</x:v>
      </x:c>
    </x:row>
    <x:row r="475" ht="24" customHeight="1">
      <x:c r="A475" s="14" t="str">
        <x:v>es-colony-elea-velia-pleiades-452488-classification</x:v>
      </x:c>
      <x:c r="B475" s="14" t="str">
        <x:v>colony-elea-velia</x:v>
      </x:c>
      <x:c r="C475" s="14" t="str">
        <x:v>src-pleiades-452488</x:v>
      </x:c>
      <x:c r="D475" s="14" t="str">
        <x:v>classification</x:v>
      </x:c>
      <x:c r="E475" s="20" t="b">
        <x:v>1</x:v>
      </x:c>
    </x:row>
    <x:row r="476" ht="24" customHeight="1">
      <x:c r="A476" s="14" t="str">
        <x:v>es-colony-elea-velia-pleiades-452488-description</x:v>
      </x:c>
      <x:c r="B476" s="14" t="str">
        <x:v>colony-elea-velia</x:v>
      </x:c>
      <x:c r="C476" s="14" t="str">
        <x:v>src-pleiades-452488</x:v>
      </x:c>
      <x:c r="D476" s="14" t="str">
        <x:v>description</x:v>
      </x:c>
      <x:c r="E476" s="20" t="b">
        <x:v>1</x:v>
      </x:c>
    </x:row>
    <x:row r="477" ht="24" customHeight="1">
      <x:c r="A477" s="14" t="str">
        <x:v>es-colony-elea-velia-pleiades-452488-geometry</x:v>
      </x:c>
      <x:c r="B477" s="14" t="str">
        <x:v>colony-elea-velia</x:v>
      </x:c>
      <x:c r="C477" s="14" t="str">
        <x:v>src-pleiades-452488</x:v>
      </x:c>
      <x:c r="D477" s="14" t="str">
        <x:v>geometry</x:v>
      </x:c>
      <x:c r="E477" s="20" t="b">
        <x:v>1</x:v>
      </x:c>
    </x:row>
    <x:row r="478" ht="24" customHeight="1">
      <x:c r="A478" s="14" t="str">
        <x:v>es-colony-elea-velia-pleiades-452488-identity</x:v>
      </x:c>
      <x:c r="B478" s="14" t="str">
        <x:v>colony-elea-velia</x:v>
      </x:c>
      <x:c r="C478" s="14" t="str">
        <x:v>src-pleiades-452488</x:v>
      </x:c>
      <x:c r="D478" s="14" t="str">
        <x:v>identity</x:v>
      </x:c>
      <x:c r="E478" s="20" t="b">
        <x:v>1</x:v>
      </x:c>
    </x:row>
    <x:row r="479" ht="24" customHeight="1">
      <x:c r="A479" s="14" t="str">
        <x:v>es-colony-elea-velia-pleiades-452488-names</x:v>
      </x:c>
      <x:c r="B479" s="14" t="str">
        <x:v>colony-elea-velia</x:v>
      </x:c>
      <x:c r="C479" s="14" t="str">
        <x:v>src-pleiades-452488</x:v>
      </x:c>
      <x:c r="D479" s="14" t="str">
        <x:v>names</x:v>
      </x:c>
      <x:c r="E479" s="20" t="b">
        <x:v>1</x:v>
      </x:c>
    </x:row>
    <x:row r="480" ht="24" customHeight="1">
      <x:c r="A480" s="14" t="str">
        <x:v>es-colony-elea-velia-pleiades-452488-relationships</x:v>
      </x:c>
      <x:c r="B480" s="14" t="str">
        <x:v>colony-elea-velia</x:v>
      </x:c>
      <x:c r="C480" s="14" t="str">
        <x:v>src-pleiades-452488</x:v>
      </x:c>
      <x:c r="D480" s="14" t="str">
        <x:v>relationships</x:v>
      </x:c>
      <x:c r="E480" s="20" t="b">
        <x:v>1</x:v>
      </x:c>
    </x:row>
    <x:row r="481" ht="24" customHeight="1">
      <x:c r="A481" s="14" t="str">
        <x:v>es-colony-emporion-iberia-pleiades-246382-chronology</x:v>
      </x:c>
      <x:c r="B481" s="14" t="str">
        <x:v>colony-emporion-iberia</x:v>
      </x:c>
      <x:c r="C481" s="14" t="str">
        <x:v>src-pleiades-246382</x:v>
      </x:c>
      <x:c r="D481" s="14" t="str">
        <x:v>chronology</x:v>
      </x:c>
      <x:c r="E481" s="20" t="b">
        <x:v>1</x:v>
      </x:c>
    </x:row>
    <x:row r="482" ht="24" customHeight="1">
      <x:c r="A482" s="14" t="str">
        <x:v>es-colony-emporion-iberia-pleiades-246382-classification</x:v>
      </x:c>
      <x:c r="B482" s="14" t="str">
        <x:v>colony-emporion-iberia</x:v>
      </x:c>
      <x:c r="C482" s="14" t="str">
        <x:v>src-pleiades-246382</x:v>
      </x:c>
      <x:c r="D482" s="14" t="str">
        <x:v>classification</x:v>
      </x:c>
      <x:c r="E482" s="20" t="b">
        <x:v>1</x:v>
      </x:c>
    </x:row>
    <x:row r="483" ht="24" customHeight="1">
      <x:c r="A483" s="14" t="str">
        <x:v>es-colony-emporion-iberia-pleiades-246382-description</x:v>
      </x:c>
      <x:c r="B483" s="14" t="str">
        <x:v>colony-emporion-iberia</x:v>
      </x:c>
      <x:c r="C483" s="14" t="str">
        <x:v>src-pleiades-246382</x:v>
      </x:c>
      <x:c r="D483" s="14" t="str">
        <x:v>description</x:v>
      </x:c>
      <x:c r="E483" s="20" t="b">
        <x:v>1</x:v>
      </x:c>
    </x:row>
    <x:row r="484" ht="24" customHeight="1">
      <x:c r="A484" s="14" t="str">
        <x:v>es-colony-emporion-iberia-pleiades-246382-geometry</x:v>
      </x:c>
      <x:c r="B484" s="14" t="str">
        <x:v>colony-emporion-iberia</x:v>
      </x:c>
      <x:c r="C484" s="14" t="str">
        <x:v>src-pleiades-246382</x:v>
      </x:c>
      <x:c r="D484" s="14" t="str">
        <x:v>geometry</x:v>
      </x:c>
      <x:c r="E484" s="20" t="b">
        <x:v>1</x:v>
      </x:c>
    </x:row>
    <x:row r="485" ht="24" customHeight="1">
      <x:c r="A485" s="14" t="str">
        <x:v>es-colony-emporion-iberia-pleiades-246382-identity</x:v>
      </x:c>
      <x:c r="B485" s="14" t="str">
        <x:v>colony-emporion-iberia</x:v>
      </x:c>
      <x:c r="C485" s="14" t="str">
        <x:v>src-pleiades-246382</x:v>
      </x:c>
      <x:c r="D485" s="14" t="str">
        <x:v>identity</x:v>
      </x:c>
      <x:c r="E485" s="20" t="b">
        <x:v>1</x:v>
      </x:c>
    </x:row>
    <x:row r="486" ht="24" customHeight="1">
      <x:c r="A486" s="14" t="str">
        <x:v>es-colony-emporion-iberia-pleiades-246382-names</x:v>
      </x:c>
      <x:c r="B486" s="14" t="str">
        <x:v>colony-emporion-iberia</x:v>
      </x:c>
      <x:c r="C486" s="14" t="str">
        <x:v>src-pleiades-246382</x:v>
      </x:c>
      <x:c r="D486" s="14" t="str">
        <x:v>names</x:v>
      </x:c>
      <x:c r="E486" s="20" t="b">
        <x:v>1</x:v>
      </x:c>
    </x:row>
    <x:row r="487" ht="24" customHeight="1">
      <x:c r="A487" s="14" t="str">
        <x:v>es-colony-emporion-iberia-pleiades-246382-relationships</x:v>
      </x:c>
      <x:c r="B487" s="14" t="str">
        <x:v>colony-emporion-iberia</x:v>
      </x:c>
      <x:c r="C487" s="14" t="str">
        <x:v>src-pleiades-246382</x:v>
      </x:c>
      <x:c r="D487" s="14" t="str">
        <x:v>relationships</x:v>
      </x:c>
      <x:c r="E487" s="20" t="b">
        <x:v>1</x:v>
      </x:c>
    </x:row>
    <x:row r="488" ht="24" customHeight="1">
      <x:c r="A488" s="14" t="str">
        <x:v>es-colony-ephesus-pleiades-599612-chronology</x:v>
      </x:c>
      <x:c r="B488" s="14" t="str">
        <x:v>colony-ephesus</x:v>
      </x:c>
      <x:c r="C488" s="14" t="str">
        <x:v>src-pleiades-599612</x:v>
      </x:c>
      <x:c r="D488" s="14" t="str">
        <x:v>chronology</x:v>
      </x:c>
      <x:c r="E488" s="20" t="b">
        <x:v>1</x:v>
      </x:c>
    </x:row>
    <x:row r="489" ht="24" customHeight="1">
      <x:c r="A489" s="14" t="str">
        <x:v>es-colony-ephesus-pleiades-599612-classification</x:v>
      </x:c>
      <x:c r="B489" s="14" t="str">
        <x:v>colony-ephesus</x:v>
      </x:c>
      <x:c r="C489" s="14" t="str">
        <x:v>src-pleiades-599612</x:v>
      </x:c>
      <x:c r="D489" s="14" t="str">
        <x:v>classification</x:v>
      </x:c>
      <x:c r="E489" s="20" t="b">
        <x:v>1</x:v>
      </x:c>
    </x:row>
    <x:row r="490" ht="24" customHeight="1">
      <x:c r="A490" s="14" t="str">
        <x:v>es-colony-ephesus-pleiades-599612-description</x:v>
      </x:c>
      <x:c r="B490" s="14" t="str">
        <x:v>colony-ephesus</x:v>
      </x:c>
      <x:c r="C490" s="14" t="str">
        <x:v>src-pleiades-599612</x:v>
      </x:c>
      <x:c r="D490" s="14" t="str">
        <x:v>description</x:v>
      </x:c>
      <x:c r="E490" s="20" t="b">
        <x:v>1</x:v>
      </x:c>
    </x:row>
    <x:row r="491" ht="24" customHeight="1">
      <x:c r="A491" s="14" t="str">
        <x:v>es-colony-ephesus-pleiades-599612-geometry</x:v>
      </x:c>
      <x:c r="B491" s="14" t="str">
        <x:v>colony-ephesus</x:v>
      </x:c>
      <x:c r="C491" s="14" t="str">
        <x:v>src-pleiades-599612</x:v>
      </x:c>
      <x:c r="D491" s="14" t="str">
        <x:v>geometry</x:v>
      </x:c>
      <x:c r="E491" s="20" t="b">
        <x:v>1</x:v>
      </x:c>
    </x:row>
    <x:row r="492" ht="24" customHeight="1">
      <x:c r="A492" s="14" t="str">
        <x:v>es-colony-ephesus-pleiades-599612-identity</x:v>
      </x:c>
      <x:c r="B492" s="14" t="str">
        <x:v>colony-ephesus</x:v>
      </x:c>
      <x:c r="C492" s="14" t="str">
        <x:v>src-pleiades-599612</x:v>
      </x:c>
      <x:c r="D492" s="14" t="str">
        <x:v>identity</x:v>
      </x:c>
      <x:c r="E492" s="20" t="b">
        <x:v>1</x:v>
      </x:c>
    </x:row>
    <x:row r="493" ht="24" customHeight="1">
      <x:c r="A493" s="14" t="str">
        <x:v>es-colony-ephesus-pleiades-599612-names</x:v>
      </x:c>
      <x:c r="B493" s="14" t="str">
        <x:v>colony-ephesus</x:v>
      </x:c>
      <x:c r="C493" s="14" t="str">
        <x:v>src-pleiades-599612</x:v>
      </x:c>
      <x:c r="D493" s="14" t="str">
        <x:v>names</x:v>
      </x:c>
      <x:c r="E493" s="20" t="b">
        <x:v>1</x:v>
      </x:c>
    </x:row>
    <x:row r="494" ht="24" customHeight="1">
      <x:c r="A494" s="14" t="str">
        <x:v>es-colony-ephesus-pleiades-599612-relationships</x:v>
      </x:c>
      <x:c r="B494" s="14" t="str">
        <x:v>colony-ephesus</x:v>
      </x:c>
      <x:c r="C494" s="14" t="str">
        <x:v>src-pleiades-599612</x:v>
      </x:c>
      <x:c r="D494" s="14" t="str">
        <x:v>relationships</x:v>
      </x:c>
      <x:c r="E494" s="20" t="b">
        <x:v>1</x:v>
      </x:c>
    </x:row>
    <x:row r="495" ht="24" customHeight="1">
      <x:c r="A495" s="14" t="str">
        <x:v>es-colony-epidamnos-pleiades-481818-chronology</x:v>
      </x:c>
      <x:c r="B495" s="14" t="str">
        <x:v>colony-epidamnos</x:v>
      </x:c>
      <x:c r="C495" s="14" t="str">
        <x:v>src-pleiades-481818</x:v>
      </x:c>
      <x:c r="D495" s="14" t="str">
        <x:v>chronology</x:v>
      </x:c>
      <x:c r="E495" s="20" t="b">
        <x:v>1</x:v>
      </x:c>
    </x:row>
    <x:row r="496" ht="24" customHeight="1">
      <x:c r="A496" s="14" t="str">
        <x:v>es-colony-epidamnos-pleiades-481818-classification</x:v>
      </x:c>
      <x:c r="B496" s="14" t="str">
        <x:v>colony-epidamnos</x:v>
      </x:c>
      <x:c r="C496" s="14" t="str">
        <x:v>src-pleiades-481818</x:v>
      </x:c>
      <x:c r="D496" s="14" t="str">
        <x:v>classification</x:v>
      </x:c>
      <x:c r="E496" s="20" t="b">
        <x:v>1</x:v>
      </x:c>
    </x:row>
    <x:row r="497" ht="24" customHeight="1">
      <x:c r="A497" s="14" t="str">
        <x:v>es-colony-epidamnos-pleiades-481818-description</x:v>
      </x:c>
      <x:c r="B497" s="14" t="str">
        <x:v>colony-epidamnos</x:v>
      </x:c>
      <x:c r="C497" s="14" t="str">
        <x:v>src-pleiades-481818</x:v>
      </x:c>
      <x:c r="D497" s="14" t="str">
        <x:v>description</x:v>
      </x:c>
      <x:c r="E497" s="20" t="b">
        <x:v>1</x:v>
      </x:c>
    </x:row>
    <x:row r="498" ht="24" customHeight="1">
      <x:c r="A498" s="14" t="str">
        <x:v>es-colony-epidamnos-pleiades-481818-geometry</x:v>
      </x:c>
      <x:c r="B498" s="14" t="str">
        <x:v>colony-epidamnos</x:v>
      </x:c>
      <x:c r="C498" s="14" t="str">
        <x:v>src-pleiades-481818</x:v>
      </x:c>
      <x:c r="D498" s="14" t="str">
        <x:v>geometry</x:v>
      </x:c>
      <x:c r="E498" s="20" t="b">
        <x:v>1</x:v>
      </x:c>
    </x:row>
    <x:row r="499" ht="24" customHeight="1">
      <x:c r="A499" s="14" t="str">
        <x:v>es-colony-epidamnos-pleiades-481818-identity</x:v>
      </x:c>
      <x:c r="B499" s="14" t="str">
        <x:v>colony-epidamnos</x:v>
      </x:c>
      <x:c r="C499" s="14" t="str">
        <x:v>src-pleiades-481818</x:v>
      </x:c>
      <x:c r="D499" s="14" t="str">
        <x:v>identity</x:v>
      </x:c>
      <x:c r="E499" s="20" t="b">
        <x:v>1</x:v>
      </x:c>
    </x:row>
    <x:row r="500" ht="24" customHeight="1">
      <x:c r="A500" s="14" t="str">
        <x:v>es-colony-epidamnos-pleiades-481818-names</x:v>
      </x:c>
      <x:c r="B500" s="14" t="str">
        <x:v>colony-epidamnos</x:v>
      </x:c>
      <x:c r="C500" s="14" t="str">
        <x:v>src-pleiades-481818</x:v>
      </x:c>
      <x:c r="D500" s="14" t="str">
        <x:v>names</x:v>
      </x:c>
      <x:c r="E500" s="20" t="b">
        <x:v>1</x:v>
      </x:c>
    </x:row>
    <x:row r="501" ht="24" customHeight="1">
      <x:c r="A501" s="14" t="str">
        <x:v>es-colony-epidamnos-pleiades-481818-relationships</x:v>
      </x:c>
      <x:c r="B501" s="14" t="str">
        <x:v>colony-epidamnos</x:v>
      </x:c>
      <x:c r="C501" s="14" t="str">
        <x:v>src-pleiades-481818</x:v>
      </x:c>
      <x:c r="D501" s="14" t="str">
        <x:v>relationships</x:v>
      </x:c>
      <x:c r="E501" s="20" t="b">
        <x:v>1</x:v>
      </x:c>
    </x:row>
    <x:row r="502" ht="24" customHeight="1">
      <x:c r="A502" s="14" t="str">
        <x:v>es-colony-erythrae-ionia-pleiades-550535-chronology</x:v>
      </x:c>
      <x:c r="B502" s="14" t="str">
        <x:v>colony-erythrae-ionia</x:v>
      </x:c>
      <x:c r="C502" s="14" t="str">
        <x:v>src-pleiades-550535</x:v>
      </x:c>
      <x:c r="D502" s="14" t="str">
        <x:v>chronology</x:v>
      </x:c>
      <x:c r="E502" s="20" t="b">
        <x:v>1</x:v>
      </x:c>
    </x:row>
    <x:row r="503" ht="24" customHeight="1">
      <x:c r="A503" s="14" t="str">
        <x:v>es-colony-erythrae-ionia-pleiades-550535-classification</x:v>
      </x:c>
      <x:c r="B503" s="14" t="str">
        <x:v>colony-erythrae-ionia</x:v>
      </x:c>
      <x:c r="C503" s="14" t="str">
        <x:v>src-pleiades-550535</x:v>
      </x:c>
      <x:c r="D503" s="14" t="str">
        <x:v>classification</x:v>
      </x:c>
      <x:c r="E503" s="20" t="b">
        <x:v>1</x:v>
      </x:c>
    </x:row>
    <x:row r="504" ht="24" customHeight="1">
      <x:c r="A504" s="14" t="str">
        <x:v>es-colony-erythrae-ionia-pleiades-550535-description</x:v>
      </x:c>
      <x:c r="B504" s="14" t="str">
        <x:v>colony-erythrae-ionia</x:v>
      </x:c>
      <x:c r="C504" s="14" t="str">
        <x:v>src-pleiades-550535</x:v>
      </x:c>
      <x:c r="D504" s="14" t="str">
        <x:v>description</x:v>
      </x:c>
      <x:c r="E504" s="20" t="b">
        <x:v>1</x:v>
      </x:c>
    </x:row>
    <x:row r="505" ht="24" customHeight="1">
      <x:c r="A505" s="14" t="str">
        <x:v>es-colony-erythrae-ionia-pleiades-550535-geometry</x:v>
      </x:c>
      <x:c r="B505" s="14" t="str">
        <x:v>colony-erythrae-ionia</x:v>
      </x:c>
      <x:c r="C505" s="14" t="str">
        <x:v>src-pleiades-550535</x:v>
      </x:c>
      <x:c r="D505" s="14" t="str">
        <x:v>geometry</x:v>
      </x:c>
      <x:c r="E505" s="20" t="b">
        <x:v>1</x:v>
      </x:c>
    </x:row>
    <x:row r="506" ht="24" customHeight="1">
      <x:c r="A506" s="14" t="str">
        <x:v>es-colony-erythrae-ionia-pleiades-550535-identity</x:v>
      </x:c>
      <x:c r="B506" s="14" t="str">
        <x:v>colony-erythrae-ionia</x:v>
      </x:c>
      <x:c r="C506" s="14" t="str">
        <x:v>src-pleiades-550535</x:v>
      </x:c>
      <x:c r="D506" s="14" t="str">
        <x:v>identity</x:v>
      </x:c>
      <x:c r="E506" s="20" t="b">
        <x:v>1</x:v>
      </x:c>
    </x:row>
    <x:row r="507" ht="24" customHeight="1">
      <x:c r="A507" s="14" t="str">
        <x:v>es-colony-erythrae-ionia-pleiades-550535-names</x:v>
      </x:c>
      <x:c r="B507" s="14" t="str">
        <x:v>colony-erythrae-ionia</x:v>
      </x:c>
      <x:c r="C507" s="14" t="str">
        <x:v>src-pleiades-550535</x:v>
      </x:c>
      <x:c r="D507" s="14" t="str">
        <x:v>names</x:v>
      </x:c>
      <x:c r="E507" s="20" t="b">
        <x:v>1</x:v>
      </x:c>
    </x:row>
    <x:row r="508" ht="24" customHeight="1">
      <x:c r="A508" s="14" t="str">
        <x:v>es-colony-erythrae-ionia-pleiades-550535-relationships</x:v>
      </x:c>
      <x:c r="B508" s="14" t="str">
        <x:v>colony-erythrae-ionia</x:v>
      </x:c>
      <x:c r="C508" s="14" t="str">
        <x:v>src-pleiades-550535</x:v>
      </x:c>
      <x:c r="D508" s="14" t="str">
        <x:v>relationships</x:v>
      </x:c>
      <x:c r="E508" s="20" t="b">
        <x:v>1</x:v>
      </x:c>
    </x:row>
    <x:row r="509" ht="24" customHeight="1">
      <x:c r="A509" s="14" t="str">
        <x:v>es-colony-euesperides-pleiades-373786-chronology</x:v>
      </x:c>
      <x:c r="B509" s="14" t="str">
        <x:v>colony-euesperides</x:v>
      </x:c>
      <x:c r="C509" s="14" t="str">
        <x:v>src-pleiades-373786</x:v>
      </x:c>
      <x:c r="D509" s="14" t="str">
        <x:v>chronology</x:v>
      </x:c>
      <x:c r="E509" s="20" t="b">
        <x:v>1</x:v>
      </x:c>
    </x:row>
    <x:row r="510" ht="24" customHeight="1">
      <x:c r="A510" s="14" t="str">
        <x:v>es-colony-euesperides-pleiades-373786-classification</x:v>
      </x:c>
      <x:c r="B510" s="14" t="str">
        <x:v>colony-euesperides</x:v>
      </x:c>
      <x:c r="C510" s="14" t="str">
        <x:v>src-pleiades-373786</x:v>
      </x:c>
      <x:c r="D510" s="14" t="str">
        <x:v>classification</x:v>
      </x:c>
      <x:c r="E510" s="20" t="b">
        <x:v>1</x:v>
      </x:c>
    </x:row>
    <x:row r="511" ht="24" customHeight="1">
      <x:c r="A511" s="14" t="str">
        <x:v>es-colony-euesperides-pleiades-373786-description</x:v>
      </x:c>
      <x:c r="B511" s="14" t="str">
        <x:v>colony-euesperides</x:v>
      </x:c>
      <x:c r="C511" s="14" t="str">
        <x:v>src-pleiades-373786</x:v>
      </x:c>
      <x:c r="D511" s="14" t="str">
        <x:v>description</x:v>
      </x:c>
      <x:c r="E511" s="20" t="b">
        <x:v>1</x:v>
      </x:c>
    </x:row>
    <x:row r="512" ht="24" customHeight="1">
      <x:c r="A512" s="14" t="str">
        <x:v>es-colony-euesperides-pleiades-373786-geometry</x:v>
      </x:c>
      <x:c r="B512" s="14" t="str">
        <x:v>colony-euesperides</x:v>
      </x:c>
      <x:c r="C512" s="14" t="str">
        <x:v>src-pleiades-373786</x:v>
      </x:c>
      <x:c r="D512" s="14" t="str">
        <x:v>geometry</x:v>
      </x:c>
      <x:c r="E512" s="20" t="b">
        <x:v>1</x:v>
      </x:c>
    </x:row>
    <x:row r="513" ht="24" customHeight="1">
      <x:c r="A513" s="14" t="str">
        <x:v>es-colony-euesperides-pleiades-373786-identity</x:v>
      </x:c>
      <x:c r="B513" s="14" t="str">
        <x:v>colony-euesperides</x:v>
      </x:c>
      <x:c r="C513" s="14" t="str">
        <x:v>src-pleiades-373786</x:v>
      </x:c>
      <x:c r="D513" s="14" t="str">
        <x:v>identity</x:v>
      </x:c>
      <x:c r="E513" s="20" t="b">
        <x:v>1</x:v>
      </x:c>
    </x:row>
    <x:row r="514" ht="24" customHeight="1">
      <x:c r="A514" s="14" t="str">
        <x:v>es-colony-euesperides-pleiades-373786-names</x:v>
      </x:c>
      <x:c r="B514" s="14" t="str">
        <x:v>colony-euesperides</x:v>
      </x:c>
      <x:c r="C514" s="14" t="str">
        <x:v>src-pleiades-373786</x:v>
      </x:c>
      <x:c r="D514" s="14" t="str">
        <x:v>names</x:v>
      </x:c>
      <x:c r="E514" s="20" t="b">
        <x:v>1</x:v>
      </x:c>
    </x:row>
    <x:row r="515" ht="24" customHeight="1">
      <x:c r="A515" s="14" t="str">
        <x:v>es-colony-euesperides-pleiades-373786-relationships</x:v>
      </x:c>
      <x:c r="B515" s="14" t="str">
        <x:v>colony-euesperides</x:v>
      </x:c>
      <x:c r="C515" s="14" t="str">
        <x:v>src-pleiades-373786</x:v>
      </x:c>
      <x:c r="D515" s="14" t="str">
        <x:v>relationships</x:v>
      </x:c>
      <x:c r="E515" s="20" t="b">
        <x:v>1</x:v>
      </x:c>
    </x:row>
    <x:row r="516" ht="24" customHeight="1">
      <x:c r="A516" s="14" t="str">
        <x:v>es-colony-gela-pleiades-462214-chronology</x:v>
      </x:c>
      <x:c r="B516" s="14" t="str">
        <x:v>colony-gela</x:v>
      </x:c>
      <x:c r="C516" s="14" t="str">
        <x:v>src-pleiades-462214</x:v>
      </x:c>
      <x:c r="D516" s="14" t="str">
        <x:v>chronology</x:v>
      </x:c>
      <x:c r="E516" s="20" t="b">
        <x:v>1</x:v>
      </x:c>
    </x:row>
    <x:row r="517" ht="24" customHeight="1">
      <x:c r="A517" s="14" t="str">
        <x:v>es-colony-gela-pleiades-462214-classification</x:v>
      </x:c>
      <x:c r="B517" s="14" t="str">
        <x:v>colony-gela</x:v>
      </x:c>
      <x:c r="C517" s="14" t="str">
        <x:v>src-pleiades-462214</x:v>
      </x:c>
      <x:c r="D517" s="14" t="str">
        <x:v>classification</x:v>
      </x:c>
      <x:c r="E517" s="20" t="b">
        <x:v>1</x:v>
      </x:c>
    </x:row>
    <x:row r="518" ht="24" customHeight="1">
      <x:c r="A518" s="14" t="str">
        <x:v>es-colony-gela-pleiades-462214-description</x:v>
      </x:c>
      <x:c r="B518" s="14" t="str">
        <x:v>colony-gela</x:v>
      </x:c>
      <x:c r="C518" s="14" t="str">
        <x:v>src-pleiades-462214</x:v>
      </x:c>
      <x:c r="D518" s="14" t="str">
        <x:v>description</x:v>
      </x:c>
      <x:c r="E518" s="20" t="b">
        <x:v>1</x:v>
      </x:c>
    </x:row>
    <x:row r="519" ht="24" customHeight="1">
      <x:c r="A519" s="14" t="str">
        <x:v>es-colony-gela-pleiades-462214-geometry</x:v>
      </x:c>
      <x:c r="B519" s="14" t="str">
        <x:v>colony-gela</x:v>
      </x:c>
      <x:c r="C519" s="14" t="str">
        <x:v>src-pleiades-462214</x:v>
      </x:c>
      <x:c r="D519" s="14" t="str">
        <x:v>geometry</x:v>
      </x:c>
      <x:c r="E519" s="20" t="b">
        <x:v>1</x:v>
      </x:c>
    </x:row>
    <x:row r="520" ht="24" customHeight="1">
      <x:c r="A520" s="14" t="str">
        <x:v>es-colony-gela-pleiades-462214-identity</x:v>
      </x:c>
      <x:c r="B520" s="14" t="str">
        <x:v>colony-gela</x:v>
      </x:c>
      <x:c r="C520" s="14" t="str">
        <x:v>src-pleiades-462214</x:v>
      </x:c>
      <x:c r="D520" s="14" t="str">
        <x:v>identity</x:v>
      </x:c>
      <x:c r="E520" s="20" t="b">
        <x:v>1</x:v>
      </x:c>
    </x:row>
    <x:row r="521" ht="24" customHeight="1">
      <x:c r="A521" s="14" t="str">
        <x:v>es-colony-gela-pleiades-462214-names</x:v>
      </x:c>
      <x:c r="B521" s="14" t="str">
        <x:v>colony-gela</x:v>
      </x:c>
      <x:c r="C521" s="14" t="str">
        <x:v>src-pleiades-462214</x:v>
      </x:c>
      <x:c r="D521" s="14" t="str">
        <x:v>names</x:v>
      </x:c>
      <x:c r="E521" s="20" t="b">
        <x:v>1</x:v>
      </x:c>
    </x:row>
    <x:row r="522" ht="24" customHeight="1">
      <x:c r="A522" s="14" t="str">
        <x:v>es-colony-gela-pleiades-462214-relationships</x:v>
      </x:c>
      <x:c r="B522" s="14" t="str">
        <x:v>colony-gela</x:v>
      </x:c>
      <x:c r="C522" s="14" t="str">
        <x:v>src-pleiades-462214</x:v>
      </x:c>
      <x:c r="D522" s="14" t="str">
        <x:v>relationships</x:v>
      </x:c>
      <x:c r="E522" s="20" t="b">
        <x:v>1</x:v>
      </x:c>
    </x:row>
    <x:row r="523" ht="24" customHeight="1">
      <x:c r="A523" s="14" t="str">
        <x:v>es-colony-halicarnassus-pleiades-599636-chronology</x:v>
      </x:c>
      <x:c r="B523" s="14" t="str">
        <x:v>colony-halicarnassus</x:v>
      </x:c>
      <x:c r="C523" s="14" t="str">
        <x:v>src-pleiades-599636</x:v>
      </x:c>
      <x:c r="D523" s="14" t="str">
        <x:v>chronology</x:v>
      </x:c>
      <x:c r="E523" s="20" t="b">
        <x:v>1</x:v>
      </x:c>
    </x:row>
    <x:row r="524" ht="24" customHeight="1">
      <x:c r="A524" s="14" t="str">
        <x:v>es-colony-halicarnassus-pleiades-599636-classification</x:v>
      </x:c>
      <x:c r="B524" s="14" t="str">
        <x:v>colony-halicarnassus</x:v>
      </x:c>
      <x:c r="C524" s="14" t="str">
        <x:v>src-pleiades-599636</x:v>
      </x:c>
      <x:c r="D524" s="14" t="str">
        <x:v>classification</x:v>
      </x:c>
      <x:c r="E524" s="20" t="b">
        <x:v>1</x:v>
      </x:c>
    </x:row>
    <x:row r="525" ht="24" customHeight="1">
      <x:c r="A525" s="14" t="str">
        <x:v>es-colony-halicarnassus-pleiades-599636-description</x:v>
      </x:c>
      <x:c r="B525" s="14" t="str">
        <x:v>colony-halicarnassus</x:v>
      </x:c>
      <x:c r="C525" s="14" t="str">
        <x:v>src-pleiades-599636</x:v>
      </x:c>
      <x:c r="D525" s="14" t="str">
        <x:v>description</x:v>
      </x:c>
      <x:c r="E525" s="20" t="b">
        <x:v>1</x:v>
      </x:c>
    </x:row>
    <x:row r="526" ht="24" customHeight="1">
      <x:c r="A526" s="14" t="str">
        <x:v>es-colony-halicarnassus-pleiades-599636-geometry</x:v>
      </x:c>
      <x:c r="B526" s="14" t="str">
        <x:v>colony-halicarnassus</x:v>
      </x:c>
      <x:c r="C526" s="14" t="str">
        <x:v>src-pleiades-599636</x:v>
      </x:c>
      <x:c r="D526" s="14" t="str">
        <x:v>geometry</x:v>
      </x:c>
      <x:c r="E526" s="20" t="b">
        <x:v>1</x:v>
      </x:c>
    </x:row>
    <x:row r="527" ht="24" customHeight="1">
      <x:c r="A527" s="14" t="str">
        <x:v>es-colony-halicarnassus-pleiades-599636-identity</x:v>
      </x:c>
      <x:c r="B527" s="14" t="str">
        <x:v>colony-halicarnassus</x:v>
      </x:c>
      <x:c r="C527" s="14" t="str">
        <x:v>src-pleiades-599636</x:v>
      </x:c>
      <x:c r="D527" s="14" t="str">
        <x:v>identity</x:v>
      </x:c>
      <x:c r="E527" s="20" t="b">
        <x:v>1</x:v>
      </x:c>
    </x:row>
    <x:row r="528" ht="24" customHeight="1">
      <x:c r="A528" s="14" t="str">
        <x:v>es-colony-halicarnassus-pleiades-599636-names</x:v>
      </x:c>
      <x:c r="B528" s="14" t="str">
        <x:v>colony-halicarnassus</x:v>
      </x:c>
      <x:c r="C528" s="14" t="str">
        <x:v>src-pleiades-599636</x:v>
      </x:c>
      <x:c r="D528" s="14" t="str">
        <x:v>names</x:v>
      </x:c>
      <x:c r="E528" s="20" t="b">
        <x:v>1</x:v>
      </x:c>
    </x:row>
    <x:row r="529" ht="24" customHeight="1">
      <x:c r="A529" s="14" t="str">
        <x:v>es-colony-halicarnassus-pleiades-599636-relationships</x:v>
      </x:c>
      <x:c r="B529" s="14" t="str">
        <x:v>colony-halicarnassus</x:v>
      </x:c>
      <x:c r="C529" s="14" t="str">
        <x:v>src-pleiades-599636</x:v>
      </x:c>
      <x:c r="D529" s="14" t="str">
        <x:v>relationships</x:v>
      </x:c>
      <x:c r="E529" s="20" t="b">
        <x:v>1</x:v>
      </x:c>
    </x:row>
    <x:row r="530" ht="24" customHeight="1">
      <x:c r="A530" s="14" t="str">
        <x:v>es-colony-heraclea-pontica-pleiades-844944-chronology</x:v>
      </x:c>
      <x:c r="B530" s="14" t="str">
        <x:v>colony-heraclea-pontica</x:v>
      </x:c>
      <x:c r="C530" s="14" t="str">
        <x:v>src-pleiades-844944</x:v>
      </x:c>
      <x:c r="D530" s="14" t="str">
        <x:v>chronology</x:v>
      </x:c>
      <x:c r="E530" s="20" t="b">
        <x:v>1</x:v>
      </x:c>
    </x:row>
    <x:row r="531" ht="24" customHeight="1">
      <x:c r="A531" s="14" t="str">
        <x:v>es-colony-heraclea-pontica-pleiades-844944-classification</x:v>
      </x:c>
      <x:c r="B531" s="14" t="str">
        <x:v>colony-heraclea-pontica</x:v>
      </x:c>
      <x:c r="C531" s="14" t="str">
        <x:v>src-pleiades-844944</x:v>
      </x:c>
      <x:c r="D531" s="14" t="str">
        <x:v>classification</x:v>
      </x:c>
      <x:c r="E531" s="20" t="b">
        <x:v>1</x:v>
      </x:c>
    </x:row>
    <x:row r="532" ht="24" customHeight="1">
      <x:c r="A532" s="14" t="str">
        <x:v>es-colony-heraclea-pontica-pleiades-844944-description</x:v>
      </x:c>
      <x:c r="B532" s="14" t="str">
        <x:v>colony-heraclea-pontica</x:v>
      </x:c>
      <x:c r="C532" s="14" t="str">
        <x:v>src-pleiades-844944</x:v>
      </x:c>
      <x:c r="D532" s="14" t="str">
        <x:v>description</x:v>
      </x:c>
      <x:c r="E532" s="20" t="b">
        <x:v>1</x:v>
      </x:c>
    </x:row>
    <x:row r="533" ht="24" customHeight="1">
      <x:c r="A533" s="14" t="str">
        <x:v>es-colony-heraclea-pontica-pleiades-844944-geometry</x:v>
      </x:c>
      <x:c r="B533" s="14" t="str">
        <x:v>colony-heraclea-pontica</x:v>
      </x:c>
      <x:c r="C533" s="14" t="str">
        <x:v>src-pleiades-844944</x:v>
      </x:c>
      <x:c r="D533" s="14" t="str">
        <x:v>geometry</x:v>
      </x:c>
      <x:c r="E533" s="20" t="b">
        <x:v>1</x:v>
      </x:c>
    </x:row>
    <x:row r="534" ht="24" customHeight="1">
      <x:c r="A534" s="14" t="str">
        <x:v>es-colony-heraclea-pontica-pleiades-844944-identity</x:v>
      </x:c>
      <x:c r="B534" s="14" t="str">
        <x:v>colony-heraclea-pontica</x:v>
      </x:c>
      <x:c r="C534" s="14" t="str">
        <x:v>src-pleiades-844944</x:v>
      </x:c>
      <x:c r="D534" s="14" t="str">
        <x:v>identity</x:v>
      </x:c>
      <x:c r="E534" s="20" t="b">
        <x:v>1</x:v>
      </x:c>
    </x:row>
    <x:row r="535" ht="24" customHeight="1">
      <x:c r="A535" s="14" t="str">
        <x:v>es-colony-heraclea-pontica-pleiades-844944-names</x:v>
      </x:c>
      <x:c r="B535" s="14" t="str">
        <x:v>colony-heraclea-pontica</x:v>
      </x:c>
      <x:c r="C535" s="14" t="str">
        <x:v>src-pleiades-844944</x:v>
      </x:c>
      <x:c r="D535" s="14" t="str">
        <x:v>names</x:v>
      </x:c>
      <x:c r="E535" s="20" t="b">
        <x:v>1</x:v>
      </x:c>
    </x:row>
    <x:row r="536" ht="24" customHeight="1">
      <x:c r="A536" s="14" t="str">
        <x:v>es-colony-heraclea-pontica-pleiades-844944-relationships</x:v>
      </x:c>
      <x:c r="B536" s="14" t="str">
        <x:v>colony-heraclea-pontica</x:v>
      </x:c>
      <x:c r="C536" s="14" t="str">
        <x:v>src-pleiades-844944</x:v>
      </x:c>
      <x:c r="D536" s="14" t="str">
        <x:v>relationships</x:v>
      </x:c>
      <x:c r="E536" s="20" t="b">
        <x:v>1</x:v>
      </x:c>
    </x:row>
    <x:row r="537" ht="24" customHeight="1">
      <x:c r="A537" s="14" t="str">
        <x:v>es-colony-himera-pleiades-462244-chronology</x:v>
      </x:c>
      <x:c r="B537" s="14" t="str">
        <x:v>colony-himera</x:v>
      </x:c>
      <x:c r="C537" s="14" t="str">
        <x:v>src-pleiades-462244</x:v>
      </x:c>
      <x:c r="D537" s="14" t="str">
        <x:v>chronology</x:v>
      </x:c>
      <x:c r="E537" s="20" t="b">
        <x:v>1</x:v>
      </x:c>
    </x:row>
    <x:row r="538" ht="24" customHeight="1">
      <x:c r="A538" s="14" t="str">
        <x:v>es-colony-himera-pleiades-462244-classification</x:v>
      </x:c>
      <x:c r="B538" s="14" t="str">
        <x:v>colony-himera</x:v>
      </x:c>
      <x:c r="C538" s="14" t="str">
        <x:v>src-pleiades-462244</x:v>
      </x:c>
      <x:c r="D538" s="14" t="str">
        <x:v>classification</x:v>
      </x:c>
      <x:c r="E538" s="20" t="b">
        <x:v>1</x:v>
      </x:c>
    </x:row>
    <x:row r="539" ht="24" customHeight="1">
      <x:c r="A539" s="14" t="str">
        <x:v>es-colony-himera-pleiades-462244-description</x:v>
      </x:c>
      <x:c r="B539" s="14" t="str">
        <x:v>colony-himera</x:v>
      </x:c>
      <x:c r="C539" s="14" t="str">
        <x:v>src-pleiades-462244</x:v>
      </x:c>
      <x:c r="D539" s="14" t="str">
        <x:v>description</x:v>
      </x:c>
      <x:c r="E539" s="20" t="b">
        <x:v>1</x:v>
      </x:c>
    </x:row>
    <x:row r="540" ht="24" customHeight="1">
      <x:c r="A540" s="14" t="str">
        <x:v>es-colony-himera-pleiades-462244-geometry</x:v>
      </x:c>
      <x:c r="B540" s="14" t="str">
        <x:v>colony-himera</x:v>
      </x:c>
      <x:c r="C540" s="14" t="str">
        <x:v>src-pleiades-462244</x:v>
      </x:c>
      <x:c r="D540" s="14" t="str">
        <x:v>geometry</x:v>
      </x:c>
      <x:c r="E540" s="20" t="b">
        <x:v>1</x:v>
      </x:c>
    </x:row>
    <x:row r="541" ht="24" customHeight="1">
      <x:c r="A541" s="14" t="str">
        <x:v>es-colony-himera-pleiades-462244-identity</x:v>
      </x:c>
      <x:c r="B541" s="14" t="str">
        <x:v>colony-himera</x:v>
      </x:c>
      <x:c r="C541" s="14" t="str">
        <x:v>src-pleiades-462244</x:v>
      </x:c>
      <x:c r="D541" s="14" t="str">
        <x:v>identity</x:v>
      </x:c>
      <x:c r="E541" s="20" t="b">
        <x:v>1</x:v>
      </x:c>
    </x:row>
    <x:row r="542" ht="24" customHeight="1">
      <x:c r="A542" s="14" t="str">
        <x:v>es-colony-himera-pleiades-462244-names</x:v>
      </x:c>
      <x:c r="B542" s="14" t="str">
        <x:v>colony-himera</x:v>
      </x:c>
      <x:c r="C542" s="14" t="str">
        <x:v>src-pleiades-462244</x:v>
      </x:c>
      <x:c r="D542" s="14" t="str">
        <x:v>names</x:v>
      </x:c>
      <x:c r="E542" s="20" t="b">
        <x:v>1</x:v>
      </x:c>
    </x:row>
    <x:row r="543" ht="24" customHeight="1">
      <x:c r="A543" s="14" t="str">
        <x:v>es-colony-himera-pleiades-462244-relationships</x:v>
      </x:c>
      <x:c r="B543" s="14" t="str">
        <x:v>colony-himera</x:v>
      </x:c>
      <x:c r="C543" s="14" t="str">
        <x:v>src-pleiades-462244</x:v>
      </x:c>
      <x:c r="D543" s="14" t="str">
        <x:v>relationships</x:v>
      </x:c>
      <x:c r="E543" s="20" t="b">
        <x:v>1</x:v>
      </x:c>
    </x:row>
    <x:row r="544" ht="24" customHeight="1">
      <x:c r="A544" s="14" t="str">
        <x:v>es-colony-histria-pontica-pleiades-216839-chronology</x:v>
      </x:c>
      <x:c r="B544" s="14" t="str">
        <x:v>colony-histria-pontica</x:v>
      </x:c>
      <x:c r="C544" s="14" t="str">
        <x:v>src-pleiades-216839</x:v>
      </x:c>
      <x:c r="D544" s="14" t="str">
        <x:v>chronology</x:v>
      </x:c>
      <x:c r="E544" s="20" t="b">
        <x:v>1</x:v>
      </x:c>
    </x:row>
    <x:row r="545" ht="24" customHeight="1">
      <x:c r="A545" s="14" t="str">
        <x:v>es-colony-histria-pontica-pleiades-216839-classification</x:v>
      </x:c>
      <x:c r="B545" s="14" t="str">
        <x:v>colony-histria-pontica</x:v>
      </x:c>
      <x:c r="C545" s="14" t="str">
        <x:v>src-pleiades-216839</x:v>
      </x:c>
      <x:c r="D545" s="14" t="str">
        <x:v>classification</x:v>
      </x:c>
      <x:c r="E545" s="20" t="b">
        <x:v>1</x:v>
      </x:c>
    </x:row>
    <x:row r="546" ht="24" customHeight="1">
      <x:c r="A546" s="14" t="str">
        <x:v>es-colony-histria-pontica-pleiades-216839-description</x:v>
      </x:c>
      <x:c r="B546" s="14" t="str">
        <x:v>colony-histria-pontica</x:v>
      </x:c>
      <x:c r="C546" s="14" t="str">
        <x:v>src-pleiades-216839</x:v>
      </x:c>
      <x:c r="D546" s="14" t="str">
        <x:v>description</x:v>
      </x:c>
      <x:c r="E546" s="20" t="b">
        <x:v>1</x:v>
      </x:c>
    </x:row>
    <x:row r="547" ht="24" customHeight="1">
      <x:c r="A547" s="14" t="str">
        <x:v>es-colony-histria-pontica-pleiades-216839-geometry</x:v>
      </x:c>
      <x:c r="B547" s="14" t="str">
        <x:v>colony-histria-pontica</x:v>
      </x:c>
      <x:c r="C547" s="14" t="str">
        <x:v>src-pleiades-216839</x:v>
      </x:c>
      <x:c r="D547" s="14" t="str">
        <x:v>geometry</x:v>
      </x:c>
      <x:c r="E547" s="20" t="b">
        <x:v>1</x:v>
      </x:c>
    </x:row>
    <x:row r="548" ht="24" customHeight="1">
      <x:c r="A548" s="14" t="str">
        <x:v>es-colony-histria-pontica-pleiades-216839-identity</x:v>
      </x:c>
      <x:c r="B548" s="14" t="str">
        <x:v>colony-histria-pontica</x:v>
      </x:c>
      <x:c r="C548" s="14" t="str">
        <x:v>src-pleiades-216839</x:v>
      </x:c>
      <x:c r="D548" s="14" t="str">
        <x:v>identity</x:v>
      </x:c>
      <x:c r="E548" s="20" t="b">
        <x:v>1</x:v>
      </x:c>
    </x:row>
    <x:row r="549" ht="24" customHeight="1">
      <x:c r="A549" s="14" t="str">
        <x:v>es-colony-histria-pontica-pleiades-216839-names</x:v>
      </x:c>
      <x:c r="B549" s="14" t="str">
        <x:v>colony-histria-pontica</x:v>
      </x:c>
      <x:c r="C549" s="14" t="str">
        <x:v>src-pleiades-216839</x:v>
      </x:c>
      <x:c r="D549" s="14" t="str">
        <x:v>names</x:v>
      </x:c>
      <x:c r="E549" s="20" t="b">
        <x:v>1</x:v>
      </x:c>
    </x:row>
    <x:row r="550" ht="24" customHeight="1">
      <x:c r="A550" s="14" t="str">
        <x:v>es-colony-histria-pontica-pleiades-216839-relationships</x:v>
      </x:c>
      <x:c r="B550" s="14" t="str">
        <x:v>colony-histria-pontica</x:v>
      </x:c>
      <x:c r="C550" s="14" t="str">
        <x:v>src-pleiades-216839</x:v>
      </x:c>
      <x:c r="D550" s="14" t="str">
        <x:v>relationships</x:v>
      </x:c>
      <x:c r="E550" s="20" t="b">
        <x:v>1</x:v>
      </x:c>
    </x:row>
    <x:row r="551" ht="24" customHeight="1">
      <x:c r="A551" s="14" t="str">
        <x:v>es-colony-iasos-pleiades-599664-chronology</x:v>
      </x:c>
      <x:c r="B551" s="14" t="str">
        <x:v>colony-iasos</x:v>
      </x:c>
      <x:c r="C551" s="14" t="str">
        <x:v>src-pleiades-599664</x:v>
      </x:c>
      <x:c r="D551" s="14" t="str">
        <x:v>chronology</x:v>
      </x:c>
      <x:c r="E551" s="20" t="b">
        <x:v>1</x:v>
      </x:c>
    </x:row>
    <x:row r="552" ht="24" customHeight="1">
      <x:c r="A552" s="14" t="str">
        <x:v>es-colony-iasos-pleiades-599664-classification</x:v>
      </x:c>
      <x:c r="B552" s="14" t="str">
        <x:v>colony-iasos</x:v>
      </x:c>
      <x:c r="C552" s="14" t="str">
        <x:v>src-pleiades-599664</x:v>
      </x:c>
      <x:c r="D552" s="14" t="str">
        <x:v>classification</x:v>
      </x:c>
      <x:c r="E552" s="20" t="b">
        <x:v>1</x:v>
      </x:c>
    </x:row>
    <x:row r="553" ht="24" customHeight="1">
      <x:c r="A553" s="14" t="str">
        <x:v>es-colony-iasos-pleiades-599664-description</x:v>
      </x:c>
      <x:c r="B553" s="14" t="str">
        <x:v>colony-iasos</x:v>
      </x:c>
      <x:c r="C553" s="14" t="str">
        <x:v>src-pleiades-599664</x:v>
      </x:c>
      <x:c r="D553" s="14" t="str">
        <x:v>description</x:v>
      </x:c>
      <x:c r="E553" s="20" t="b">
        <x:v>1</x:v>
      </x:c>
    </x:row>
    <x:row r="554" ht="24" customHeight="1">
      <x:c r="A554" s="14" t="str">
        <x:v>es-colony-iasos-pleiades-599664-geometry</x:v>
      </x:c>
      <x:c r="B554" s="14" t="str">
        <x:v>colony-iasos</x:v>
      </x:c>
      <x:c r="C554" s="14" t="str">
        <x:v>src-pleiades-599664</x:v>
      </x:c>
      <x:c r="D554" s="14" t="str">
        <x:v>geometry</x:v>
      </x:c>
      <x:c r="E554" s="20" t="b">
        <x:v>1</x:v>
      </x:c>
    </x:row>
    <x:row r="555" ht="24" customHeight="1">
      <x:c r="A555" s="14" t="str">
        <x:v>es-colony-iasos-pleiades-599664-identity</x:v>
      </x:c>
      <x:c r="B555" s="14" t="str">
        <x:v>colony-iasos</x:v>
      </x:c>
      <x:c r="C555" s="14" t="str">
        <x:v>src-pleiades-599664</x:v>
      </x:c>
      <x:c r="D555" s="14" t="str">
        <x:v>identity</x:v>
      </x:c>
      <x:c r="E555" s="20" t="b">
        <x:v>1</x:v>
      </x:c>
    </x:row>
    <x:row r="556" ht="24" customHeight="1">
      <x:c r="A556" s="14" t="str">
        <x:v>es-colony-iasos-pleiades-599664-names</x:v>
      </x:c>
      <x:c r="B556" s="14" t="str">
        <x:v>colony-iasos</x:v>
      </x:c>
      <x:c r="C556" s="14" t="str">
        <x:v>src-pleiades-599664</x:v>
      </x:c>
      <x:c r="D556" s="14" t="str">
        <x:v>names</x:v>
      </x:c>
      <x:c r="E556" s="20" t="b">
        <x:v>1</x:v>
      </x:c>
    </x:row>
    <x:row r="557" ht="24" customHeight="1">
      <x:c r="A557" s="14" t="str">
        <x:v>es-colony-iasos-pleiades-599664-relationships</x:v>
      </x:c>
      <x:c r="B557" s="14" t="str">
        <x:v>colony-iasos</x:v>
      </x:c>
      <x:c r="C557" s="14" t="str">
        <x:v>src-pleiades-599664</x:v>
      </x:c>
      <x:c r="D557" s="14" t="str">
        <x:v>relationships</x:v>
      </x:c>
      <x:c r="E557" s="20" t="b">
        <x:v>1</x:v>
      </x:c>
    </x:row>
    <x:row r="558" ht="24" customHeight="1">
      <x:c r="A558" s="14" t="str">
        <x:v>es-colony-issa-vis-armus-4dde844bac8f-chronology</x:v>
      </x:c>
      <x:c r="B558" s="14" t="str">
        <x:v>colony-issa-vis</x:v>
      </x:c>
      <x:c r="C558" s="14" t="str">
        <x:v>src-armus-4dde844bac8f</x:v>
      </x:c>
      <x:c r="D558" s="14" t="str">
        <x:v>chronology</x:v>
      </x:c>
      <x:c r="E558" s="20" t="b">
        <x:v>1</x:v>
      </x:c>
    </x:row>
    <x:row r="559" ht="24" customHeight="1">
      <x:c r="A559" s="14" t="str">
        <x:v>es-colony-issa-vis-armus-4dde844bac8f-classification</x:v>
      </x:c>
      <x:c r="B559" s="14" t="str">
        <x:v>colony-issa-vis</x:v>
      </x:c>
      <x:c r="C559" s="14" t="str">
        <x:v>src-armus-4dde844bac8f</x:v>
      </x:c>
      <x:c r="D559" s="14" t="str">
        <x:v>classification</x:v>
      </x:c>
      <x:c r="E559" s="20" t="b">
        <x:v>1</x:v>
      </x:c>
    </x:row>
    <x:row r="560" ht="24" customHeight="1">
      <x:c r="A560" s="14" t="str">
        <x:v>es-colony-issa-vis-armus-4dde844bac8f-description</x:v>
      </x:c>
      <x:c r="B560" s="14" t="str">
        <x:v>colony-issa-vis</x:v>
      </x:c>
      <x:c r="C560" s="14" t="str">
        <x:v>src-armus-4dde844bac8f</x:v>
      </x:c>
      <x:c r="D560" s="14" t="str">
        <x:v>description</x:v>
      </x:c>
      <x:c r="E560" s="20" t="b">
        <x:v>1</x:v>
      </x:c>
    </x:row>
    <x:row r="561" ht="24" customHeight="1">
      <x:c r="A561" s="14" t="str">
        <x:v>es-colony-issa-vis-armus-4dde844bac8f-geometry</x:v>
      </x:c>
      <x:c r="B561" s="14" t="str">
        <x:v>colony-issa-vis</x:v>
      </x:c>
      <x:c r="C561" s="14" t="str">
        <x:v>src-armus-4dde844bac8f</x:v>
      </x:c>
      <x:c r="D561" s="14" t="str">
        <x:v>geometry</x:v>
      </x:c>
      <x:c r="E561" s="20" t="b">
        <x:v>1</x:v>
      </x:c>
    </x:row>
    <x:row r="562" ht="24" customHeight="1">
      <x:c r="A562" s="14" t="str">
        <x:v>es-colony-issa-vis-armus-4dde844bac8f-identity</x:v>
      </x:c>
      <x:c r="B562" s="14" t="str">
        <x:v>colony-issa-vis</x:v>
      </x:c>
      <x:c r="C562" s="14" t="str">
        <x:v>src-armus-4dde844bac8f</x:v>
      </x:c>
      <x:c r="D562" s="14" t="str">
        <x:v>identity</x:v>
      </x:c>
      <x:c r="E562" s="20" t="b">
        <x:v>1</x:v>
      </x:c>
    </x:row>
    <x:row r="563" ht="24" customHeight="1">
      <x:c r="A563" s="14" t="str">
        <x:v>es-colony-issa-vis-armus-4dde844bac8f-names</x:v>
      </x:c>
      <x:c r="B563" s="14" t="str">
        <x:v>colony-issa-vis</x:v>
      </x:c>
      <x:c r="C563" s="14" t="str">
        <x:v>src-armus-4dde844bac8f</x:v>
      </x:c>
      <x:c r="D563" s="14" t="str">
        <x:v>names</x:v>
      </x:c>
      <x:c r="E563" s="20" t="b">
        <x:v>1</x:v>
      </x:c>
    </x:row>
    <x:row r="564" ht="24" customHeight="1">
      <x:c r="A564" s="14" t="str">
        <x:v>es-colony-issa-vis-armus-4dde844bac8f-relationships</x:v>
      </x:c>
      <x:c r="B564" s="14" t="str">
        <x:v>colony-issa-vis</x:v>
      </x:c>
      <x:c r="C564" s="14" t="str">
        <x:v>src-armus-4dde844bac8f</x:v>
      </x:c>
      <x:c r="D564" s="14" t="str">
        <x:v>relationships</x:v>
      </x:c>
      <x:c r="E564" s="20" t="b">
        <x:v>1</x:v>
      </x:c>
    </x:row>
    <x:row r="565" ht="24" customHeight="1">
      <x:c r="A565" s="14" t="str">
        <x:v>es-colony-lampsacus-pleiades-501570-chronology</x:v>
      </x:c>
      <x:c r="B565" s="14" t="str">
        <x:v>colony-lampsacus</x:v>
      </x:c>
      <x:c r="C565" s="14" t="str">
        <x:v>src-pleiades-501570</x:v>
      </x:c>
      <x:c r="D565" s="14" t="str">
        <x:v>chronology</x:v>
      </x:c>
      <x:c r="E565" s="20" t="b">
        <x:v>1</x:v>
      </x:c>
    </x:row>
    <x:row r="566" ht="24" customHeight="1">
      <x:c r="A566" s="14" t="str">
        <x:v>es-colony-lampsacus-pleiades-501570-classification</x:v>
      </x:c>
      <x:c r="B566" s="14" t="str">
        <x:v>colony-lampsacus</x:v>
      </x:c>
      <x:c r="C566" s="14" t="str">
        <x:v>src-pleiades-501570</x:v>
      </x:c>
      <x:c r="D566" s="14" t="str">
        <x:v>classification</x:v>
      </x:c>
      <x:c r="E566" s="20" t="b">
        <x:v>1</x:v>
      </x:c>
    </x:row>
    <x:row r="567" ht="24" customHeight="1">
      <x:c r="A567" s="14" t="str">
        <x:v>es-colony-lampsacus-pleiades-501570-description</x:v>
      </x:c>
      <x:c r="B567" s="14" t="str">
        <x:v>colony-lampsacus</x:v>
      </x:c>
      <x:c r="C567" s="14" t="str">
        <x:v>src-pleiades-501570</x:v>
      </x:c>
      <x:c r="D567" s="14" t="str">
        <x:v>description</x:v>
      </x:c>
      <x:c r="E567" s="20" t="b">
        <x:v>1</x:v>
      </x:c>
    </x:row>
    <x:row r="568" ht="24" customHeight="1">
      <x:c r="A568" s="14" t="str">
        <x:v>es-colony-lampsacus-pleiades-501570-geometry</x:v>
      </x:c>
      <x:c r="B568" s="14" t="str">
        <x:v>colony-lampsacus</x:v>
      </x:c>
      <x:c r="C568" s="14" t="str">
        <x:v>src-pleiades-501570</x:v>
      </x:c>
      <x:c r="D568" s="14" t="str">
        <x:v>geometry</x:v>
      </x:c>
      <x:c r="E568" s="20" t="b">
        <x:v>1</x:v>
      </x:c>
    </x:row>
    <x:row r="569" ht="24" customHeight="1">
      <x:c r="A569" s="14" t="str">
        <x:v>es-colony-lampsacus-pleiades-501570-identity</x:v>
      </x:c>
      <x:c r="B569" s="14" t="str">
        <x:v>colony-lampsacus</x:v>
      </x:c>
      <x:c r="C569" s="14" t="str">
        <x:v>src-pleiades-501570</x:v>
      </x:c>
      <x:c r="D569" s="14" t="str">
        <x:v>identity</x:v>
      </x:c>
      <x:c r="E569" s="20" t="b">
        <x:v>1</x:v>
      </x:c>
    </x:row>
    <x:row r="570" ht="24" customHeight="1">
      <x:c r="A570" s="14" t="str">
        <x:v>es-colony-lampsacus-pleiades-501570-names</x:v>
      </x:c>
      <x:c r="B570" s="14" t="str">
        <x:v>colony-lampsacus</x:v>
      </x:c>
      <x:c r="C570" s="14" t="str">
        <x:v>src-pleiades-501570</x:v>
      </x:c>
      <x:c r="D570" s="14" t="str">
        <x:v>names</x:v>
      </x:c>
      <x:c r="E570" s="20" t="b">
        <x:v>1</x:v>
      </x:c>
    </x:row>
    <x:row r="571" ht="24" customHeight="1">
      <x:c r="A571" s="14" t="str">
        <x:v>es-colony-lampsacus-pleiades-501570-relationships</x:v>
      </x:c>
      <x:c r="B571" s="14" t="str">
        <x:v>colony-lampsacus</x:v>
      </x:c>
      <x:c r="C571" s="14" t="str">
        <x:v>src-pleiades-501570</x:v>
      </x:c>
      <x:c r="D571" s="14" t="str">
        <x:v>relationships</x:v>
      </x:c>
      <x:c r="E571" s="20" t="b">
        <x:v>1</x:v>
      </x:c>
    </x:row>
    <x:row r="572" ht="24" customHeight="1">
      <x:c r="A572" s="14" t="str">
        <x:v>es-colony-leontinoi-pleiades-462279-chronology</x:v>
      </x:c>
      <x:c r="B572" s="14" t="str">
        <x:v>colony-leontinoi</x:v>
      </x:c>
      <x:c r="C572" s="14" t="str">
        <x:v>src-pleiades-462279</x:v>
      </x:c>
      <x:c r="D572" s="14" t="str">
        <x:v>chronology</x:v>
      </x:c>
      <x:c r="E572" s="20" t="b">
        <x:v>1</x:v>
      </x:c>
    </x:row>
    <x:row r="573" ht="24" customHeight="1">
      <x:c r="A573" s="14" t="str">
        <x:v>es-colony-leontinoi-pleiades-462279-classification</x:v>
      </x:c>
      <x:c r="B573" s="14" t="str">
        <x:v>colony-leontinoi</x:v>
      </x:c>
      <x:c r="C573" s="14" t="str">
        <x:v>src-pleiades-462279</x:v>
      </x:c>
      <x:c r="D573" s="14" t="str">
        <x:v>classification</x:v>
      </x:c>
      <x:c r="E573" s="20" t="b">
        <x:v>1</x:v>
      </x:c>
    </x:row>
    <x:row r="574" ht="24" customHeight="1">
      <x:c r="A574" s="14" t="str">
        <x:v>es-colony-leontinoi-pleiades-462279-description</x:v>
      </x:c>
      <x:c r="B574" s="14" t="str">
        <x:v>colony-leontinoi</x:v>
      </x:c>
      <x:c r="C574" s="14" t="str">
        <x:v>src-pleiades-462279</x:v>
      </x:c>
      <x:c r="D574" s="14" t="str">
        <x:v>description</x:v>
      </x:c>
      <x:c r="E574" s="20" t="b">
        <x:v>1</x:v>
      </x:c>
    </x:row>
    <x:row r="575" ht="24" customHeight="1">
      <x:c r="A575" s="14" t="str">
        <x:v>es-colony-leontinoi-pleiades-462279-geometry</x:v>
      </x:c>
      <x:c r="B575" s="14" t="str">
        <x:v>colony-leontinoi</x:v>
      </x:c>
      <x:c r="C575" s="14" t="str">
        <x:v>src-pleiades-462279</x:v>
      </x:c>
      <x:c r="D575" s="14" t="str">
        <x:v>geometry</x:v>
      </x:c>
      <x:c r="E575" s="20" t="b">
        <x:v>1</x:v>
      </x:c>
    </x:row>
    <x:row r="576" ht="24" customHeight="1">
      <x:c r="A576" s="14" t="str">
        <x:v>es-colony-leontinoi-pleiades-462279-identity</x:v>
      </x:c>
      <x:c r="B576" s="14" t="str">
        <x:v>colony-leontinoi</x:v>
      </x:c>
      <x:c r="C576" s="14" t="str">
        <x:v>src-pleiades-462279</x:v>
      </x:c>
      <x:c r="D576" s="14" t="str">
        <x:v>identity</x:v>
      </x:c>
      <x:c r="E576" s="20" t="b">
        <x:v>1</x:v>
      </x:c>
    </x:row>
    <x:row r="577" ht="24" customHeight="1">
      <x:c r="A577" s="14" t="str">
        <x:v>es-colony-leontinoi-pleiades-462279-names</x:v>
      </x:c>
      <x:c r="B577" s="14" t="str">
        <x:v>colony-leontinoi</x:v>
      </x:c>
      <x:c r="C577" s="14" t="str">
        <x:v>src-pleiades-462279</x:v>
      </x:c>
      <x:c r="D577" s="14" t="str">
        <x:v>names</x:v>
      </x:c>
      <x:c r="E577" s="20" t="b">
        <x:v>1</x:v>
      </x:c>
    </x:row>
    <x:row r="578" ht="24" customHeight="1">
      <x:c r="A578" s="14" t="str">
        <x:v>es-colony-leontinoi-pleiades-462279-relationships</x:v>
      </x:c>
      <x:c r="B578" s="14" t="str">
        <x:v>colony-leontinoi</x:v>
      </x:c>
      <x:c r="C578" s="14" t="str">
        <x:v>src-pleiades-462279</x:v>
      </x:c>
      <x:c r="D578" s="14" t="str">
        <x:v>relationships</x:v>
      </x:c>
      <x:c r="E578" s="20" t="b">
        <x:v>1</x:v>
      </x:c>
    </x:row>
    <x:row r="579" ht="24" customHeight="1">
      <x:c r="A579" s="14" t="str">
        <x:v>es-colony-locri-epizephyrii-pleiades-452369-chronology</x:v>
      </x:c>
      <x:c r="B579" s="14" t="str">
        <x:v>colony-locri-epizephyrii</x:v>
      </x:c>
      <x:c r="C579" s="14" t="str">
        <x:v>src-pleiades-452369</x:v>
      </x:c>
      <x:c r="D579" s="14" t="str">
        <x:v>chronology</x:v>
      </x:c>
      <x:c r="E579" s="20" t="b">
        <x:v>1</x:v>
      </x:c>
    </x:row>
    <x:row r="580" ht="24" customHeight="1">
      <x:c r="A580" s="14" t="str">
        <x:v>es-colony-locri-epizephyrii-pleiades-452369-classification</x:v>
      </x:c>
      <x:c r="B580" s="14" t="str">
        <x:v>colony-locri-epizephyrii</x:v>
      </x:c>
      <x:c r="C580" s="14" t="str">
        <x:v>src-pleiades-452369</x:v>
      </x:c>
      <x:c r="D580" s="14" t="str">
        <x:v>classification</x:v>
      </x:c>
      <x:c r="E580" s="20" t="b">
        <x:v>1</x:v>
      </x:c>
    </x:row>
    <x:row r="581" ht="24" customHeight="1">
      <x:c r="A581" s="14" t="str">
        <x:v>es-colony-locri-epizephyrii-pleiades-452369-description</x:v>
      </x:c>
      <x:c r="B581" s="14" t="str">
        <x:v>colony-locri-epizephyrii</x:v>
      </x:c>
      <x:c r="C581" s="14" t="str">
        <x:v>src-pleiades-452369</x:v>
      </x:c>
      <x:c r="D581" s="14" t="str">
        <x:v>description</x:v>
      </x:c>
      <x:c r="E581" s="20" t="b">
        <x:v>1</x:v>
      </x:c>
    </x:row>
    <x:row r="582" ht="24" customHeight="1">
      <x:c r="A582" s="14" t="str">
        <x:v>es-colony-locri-epizephyrii-pleiades-452369-geometry</x:v>
      </x:c>
      <x:c r="B582" s="14" t="str">
        <x:v>colony-locri-epizephyrii</x:v>
      </x:c>
      <x:c r="C582" s="14" t="str">
        <x:v>src-pleiades-452369</x:v>
      </x:c>
      <x:c r="D582" s="14" t="str">
        <x:v>geometry</x:v>
      </x:c>
      <x:c r="E582" s="20" t="b">
        <x:v>1</x:v>
      </x:c>
    </x:row>
    <x:row r="583" ht="24" customHeight="1">
      <x:c r="A583" s="14" t="str">
        <x:v>es-colony-locri-epizephyrii-pleiades-452369-identity</x:v>
      </x:c>
      <x:c r="B583" s="14" t="str">
        <x:v>colony-locri-epizephyrii</x:v>
      </x:c>
      <x:c r="C583" s="14" t="str">
        <x:v>src-pleiades-452369</x:v>
      </x:c>
      <x:c r="D583" s="14" t="str">
        <x:v>identity</x:v>
      </x:c>
      <x:c r="E583" s="20" t="b">
        <x:v>1</x:v>
      </x:c>
    </x:row>
    <x:row r="584" ht="24" customHeight="1">
      <x:c r="A584" s="14" t="str">
        <x:v>es-colony-locri-epizephyrii-pleiades-452369-names</x:v>
      </x:c>
      <x:c r="B584" s="14" t="str">
        <x:v>colony-locri-epizephyrii</x:v>
      </x:c>
      <x:c r="C584" s="14" t="str">
        <x:v>src-pleiades-452369</x:v>
      </x:c>
      <x:c r="D584" s="14" t="str">
        <x:v>names</x:v>
      </x:c>
      <x:c r="E584" s="20" t="b">
        <x:v>1</x:v>
      </x:c>
    </x:row>
    <x:row r="585" ht="24" customHeight="1">
      <x:c r="A585" s="14" t="str">
        <x:v>es-colony-locri-epizephyrii-pleiades-452369-relationships</x:v>
      </x:c>
      <x:c r="B585" s="14" t="str">
        <x:v>colony-locri-epizephyrii</x:v>
      </x:c>
      <x:c r="C585" s="14" t="str">
        <x:v>src-pleiades-452369</x:v>
      </x:c>
      <x:c r="D585" s="14" t="str">
        <x:v>relationships</x:v>
      </x:c>
      <x:c r="E585" s="20" t="b">
        <x:v>1</x:v>
      </x:c>
    </x:row>
    <x:row r="586" ht="24" customHeight="1">
      <x:c r="A586" s="14" t="str">
        <x:v>es-colony-magnesia-maeander-pleiades-599778-chronology</x:v>
      </x:c>
      <x:c r="B586" s="14" t="str">
        <x:v>colony-magnesia-maeander</x:v>
      </x:c>
      <x:c r="C586" s="14" t="str">
        <x:v>src-pleiades-599778</x:v>
      </x:c>
      <x:c r="D586" s="14" t="str">
        <x:v>chronology</x:v>
      </x:c>
      <x:c r="E586" s="20" t="b">
        <x:v>1</x:v>
      </x:c>
    </x:row>
    <x:row r="587" ht="24" customHeight="1">
      <x:c r="A587" s="14" t="str">
        <x:v>es-colony-magnesia-maeander-pleiades-599778-classification</x:v>
      </x:c>
      <x:c r="B587" s="14" t="str">
        <x:v>colony-magnesia-maeander</x:v>
      </x:c>
      <x:c r="C587" s="14" t="str">
        <x:v>src-pleiades-599778</x:v>
      </x:c>
      <x:c r="D587" s="14" t="str">
        <x:v>classification</x:v>
      </x:c>
      <x:c r="E587" s="20" t="b">
        <x:v>1</x:v>
      </x:c>
    </x:row>
    <x:row r="588" ht="24" customHeight="1">
      <x:c r="A588" s="14" t="str">
        <x:v>es-colony-magnesia-maeander-pleiades-599778-description</x:v>
      </x:c>
      <x:c r="B588" s="14" t="str">
        <x:v>colony-magnesia-maeander</x:v>
      </x:c>
      <x:c r="C588" s="14" t="str">
        <x:v>src-pleiades-599778</x:v>
      </x:c>
      <x:c r="D588" s="14" t="str">
        <x:v>description</x:v>
      </x:c>
      <x:c r="E588" s="20" t="b">
        <x:v>1</x:v>
      </x:c>
    </x:row>
    <x:row r="589" ht="24" customHeight="1">
      <x:c r="A589" s="14" t="str">
        <x:v>es-colony-magnesia-maeander-pleiades-599778-geometry</x:v>
      </x:c>
      <x:c r="B589" s="14" t="str">
        <x:v>colony-magnesia-maeander</x:v>
      </x:c>
      <x:c r="C589" s="14" t="str">
        <x:v>src-pleiades-599778</x:v>
      </x:c>
      <x:c r="D589" s="14" t="str">
        <x:v>geometry</x:v>
      </x:c>
      <x:c r="E589" s="20" t="b">
        <x:v>1</x:v>
      </x:c>
    </x:row>
    <x:row r="590" ht="24" customHeight="1">
      <x:c r="A590" s="14" t="str">
        <x:v>es-colony-magnesia-maeander-pleiades-599778-identity</x:v>
      </x:c>
      <x:c r="B590" s="14" t="str">
        <x:v>colony-magnesia-maeander</x:v>
      </x:c>
      <x:c r="C590" s="14" t="str">
        <x:v>src-pleiades-599778</x:v>
      </x:c>
      <x:c r="D590" s="14" t="str">
        <x:v>identity</x:v>
      </x:c>
      <x:c r="E590" s="20" t="b">
        <x:v>1</x:v>
      </x:c>
    </x:row>
    <x:row r="591" ht="24" customHeight="1">
      <x:c r="A591" s="14" t="str">
        <x:v>es-colony-magnesia-maeander-pleiades-599778-names</x:v>
      </x:c>
      <x:c r="B591" s="14" t="str">
        <x:v>colony-magnesia-maeander</x:v>
      </x:c>
      <x:c r="C591" s="14" t="str">
        <x:v>src-pleiades-599778</x:v>
      </x:c>
      <x:c r="D591" s="14" t="str">
        <x:v>names</x:v>
      </x:c>
      <x:c r="E591" s="20" t="b">
        <x:v>1</x:v>
      </x:c>
    </x:row>
    <x:row r="592" ht="24" customHeight="1">
      <x:c r="A592" s="14" t="str">
        <x:v>es-colony-magnesia-maeander-pleiades-599778-relationships</x:v>
      </x:c>
      <x:c r="B592" s="14" t="str">
        <x:v>colony-magnesia-maeander</x:v>
      </x:c>
      <x:c r="C592" s="14" t="str">
        <x:v>src-pleiades-599778</x:v>
      </x:c>
      <x:c r="D592" s="14" t="str">
        <x:v>relationships</x:v>
      </x:c>
      <x:c r="E592" s="20" t="b">
        <x:v>1</x:v>
      </x:c>
    </x:row>
    <x:row r="593" ht="24" customHeight="1">
      <x:c r="A593" s="14" t="str">
        <x:v>es-colony-massalia-pleiades-148127-chronology</x:v>
      </x:c>
      <x:c r="B593" s="14" t="str">
        <x:v>colony-massalia</x:v>
      </x:c>
      <x:c r="C593" s="14" t="str">
        <x:v>src-pleiades-148127</x:v>
      </x:c>
      <x:c r="D593" s="14" t="str">
        <x:v>chronology</x:v>
      </x:c>
      <x:c r="E593" s="20" t="b">
        <x:v>1</x:v>
      </x:c>
    </x:row>
    <x:row r="594" ht="24" customHeight="1">
      <x:c r="A594" s="14" t="str">
        <x:v>es-colony-massalia-pleiades-148127-classification</x:v>
      </x:c>
      <x:c r="B594" s="14" t="str">
        <x:v>colony-massalia</x:v>
      </x:c>
      <x:c r="C594" s="14" t="str">
        <x:v>src-pleiades-148127</x:v>
      </x:c>
      <x:c r="D594" s="14" t="str">
        <x:v>classification</x:v>
      </x:c>
      <x:c r="E594" s="20" t="b">
        <x:v>1</x:v>
      </x:c>
    </x:row>
    <x:row r="595" ht="24" customHeight="1">
      <x:c r="A595" s="14" t="str">
        <x:v>es-colony-massalia-pleiades-148127-description</x:v>
      </x:c>
      <x:c r="B595" s="14" t="str">
        <x:v>colony-massalia</x:v>
      </x:c>
      <x:c r="C595" s="14" t="str">
        <x:v>src-pleiades-148127</x:v>
      </x:c>
      <x:c r="D595" s="14" t="str">
        <x:v>description</x:v>
      </x:c>
      <x:c r="E595" s="20" t="b">
        <x:v>1</x:v>
      </x:c>
    </x:row>
    <x:row r="596" ht="24" customHeight="1">
      <x:c r="A596" s="14" t="str">
        <x:v>es-colony-massalia-pleiades-148127-geometry</x:v>
      </x:c>
      <x:c r="B596" s="14" t="str">
        <x:v>colony-massalia</x:v>
      </x:c>
      <x:c r="C596" s="14" t="str">
        <x:v>src-pleiades-148127</x:v>
      </x:c>
      <x:c r="D596" s="14" t="str">
        <x:v>geometry</x:v>
      </x:c>
      <x:c r="E596" s="20" t="b">
        <x:v>1</x:v>
      </x:c>
    </x:row>
    <x:row r="597" ht="24" customHeight="1">
      <x:c r="A597" s="14" t="str">
        <x:v>es-colony-massalia-pleiades-148127-identity</x:v>
      </x:c>
      <x:c r="B597" s="14" t="str">
        <x:v>colony-massalia</x:v>
      </x:c>
      <x:c r="C597" s="14" t="str">
        <x:v>src-pleiades-148127</x:v>
      </x:c>
      <x:c r="D597" s="14" t="str">
        <x:v>identity</x:v>
      </x:c>
      <x:c r="E597" s="20" t="b">
        <x:v>1</x:v>
      </x:c>
    </x:row>
    <x:row r="598" ht="24" customHeight="1">
      <x:c r="A598" s="14" t="str">
        <x:v>es-colony-massalia-pleiades-148127-names</x:v>
      </x:c>
      <x:c r="B598" s="14" t="str">
        <x:v>colony-massalia</x:v>
      </x:c>
      <x:c r="C598" s="14" t="str">
        <x:v>src-pleiades-148127</x:v>
      </x:c>
      <x:c r="D598" s="14" t="str">
        <x:v>names</x:v>
      </x:c>
      <x:c r="E598" s="20" t="b">
        <x:v>1</x:v>
      </x:c>
    </x:row>
    <x:row r="599" ht="24" customHeight="1">
      <x:c r="A599" s="14" t="str">
        <x:v>es-colony-massalia-pleiades-148127-relationships</x:v>
      </x:c>
      <x:c r="B599" s="14" t="str">
        <x:v>colony-massalia</x:v>
      </x:c>
      <x:c r="C599" s="14" t="str">
        <x:v>src-pleiades-148127</x:v>
      </x:c>
      <x:c r="D599" s="14" t="str">
        <x:v>relationships</x:v>
      </x:c>
      <x:c r="E599" s="20" t="b">
        <x:v>1</x:v>
      </x:c>
    </x:row>
    <x:row r="600" ht="24" customHeight="1">
      <x:c r="A600" s="14" t="str">
        <x:v>es-colony-megara-hyblaea-pleiades-462307-chronology</x:v>
      </x:c>
      <x:c r="B600" s="14" t="str">
        <x:v>colony-megara-hyblaea</x:v>
      </x:c>
      <x:c r="C600" s="14" t="str">
        <x:v>src-pleiades-462307</x:v>
      </x:c>
      <x:c r="D600" s="14" t="str">
        <x:v>chronology</x:v>
      </x:c>
      <x:c r="E600" s="20" t="b">
        <x:v>1</x:v>
      </x:c>
    </x:row>
    <x:row r="601" ht="24" customHeight="1">
      <x:c r="A601" s="14" t="str">
        <x:v>es-colony-megara-hyblaea-pleiades-462307-classification</x:v>
      </x:c>
      <x:c r="B601" s="14" t="str">
        <x:v>colony-megara-hyblaea</x:v>
      </x:c>
      <x:c r="C601" s="14" t="str">
        <x:v>src-pleiades-462307</x:v>
      </x:c>
      <x:c r="D601" s="14" t="str">
        <x:v>classification</x:v>
      </x:c>
      <x:c r="E601" s="20" t="b">
        <x:v>1</x:v>
      </x:c>
    </x:row>
    <x:row r="602" ht="24" customHeight="1">
      <x:c r="A602" s="14" t="str">
        <x:v>es-colony-megara-hyblaea-pleiades-462307-description</x:v>
      </x:c>
      <x:c r="B602" s="14" t="str">
        <x:v>colony-megara-hyblaea</x:v>
      </x:c>
      <x:c r="C602" s="14" t="str">
        <x:v>src-pleiades-462307</x:v>
      </x:c>
      <x:c r="D602" s="14" t="str">
        <x:v>description</x:v>
      </x:c>
      <x:c r="E602" s="20" t="b">
        <x:v>1</x:v>
      </x:c>
    </x:row>
    <x:row r="603" ht="24" customHeight="1">
      <x:c r="A603" s="14" t="str">
        <x:v>es-colony-megara-hyblaea-pleiades-462307-geometry</x:v>
      </x:c>
      <x:c r="B603" s="14" t="str">
        <x:v>colony-megara-hyblaea</x:v>
      </x:c>
      <x:c r="C603" s="14" t="str">
        <x:v>src-pleiades-462307</x:v>
      </x:c>
      <x:c r="D603" s="14" t="str">
        <x:v>geometry</x:v>
      </x:c>
      <x:c r="E603" s="20" t="b">
        <x:v>1</x:v>
      </x:c>
    </x:row>
    <x:row r="604" ht="24" customHeight="1">
      <x:c r="A604" s="14" t="str">
        <x:v>es-colony-megara-hyblaea-pleiades-462307-identity</x:v>
      </x:c>
      <x:c r="B604" s="14" t="str">
        <x:v>colony-megara-hyblaea</x:v>
      </x:c>
      <x:c r="C604" s="14" t="str">
        <x:v>src-pleiades-462307</x:v>
      </x:c>
      <x:c r="D604" s="14" t="str">
        <x:v>identity</x:v>
      </x:c>
      <x:c r="E604" s="20" t="b">
        <x:v>1</x:v>
      </x:c>
    </x:row>
    <x:row r="605" ht="24" customHeight="1">
      <x:c r="A605" s="14" t="str">
        <x:v>es-colony-megara-hyblaea-pleiades-462307-names</x:v>
      </x:c>
      <x:c r="B605" s="14" t="str">
        <x:v>colony-megara-hyblaea</x:v>
      </x:c>
      <x:c r="C605" s="14" t="str">
        <x:v>src-pleiades-462307</x:v>
      </x:c>
      <x:c r="D605" s="14" t="str">
        <x:v>names</x:v>
      </x:c>
      <x:c r="E605" s="20" t="b">
        <x:v>1</x:v>
      </x:c>
    </x:row>
    <x:row r="606" ht="24" customHeight="1">
      <x:c r="A606" s="14" t="str">
        <x:v>es-colony-megara-hyblaea-pleiades-462307-relationships</x:v>
      </x:c>
      <x:c r="B606" s="14" t="str">
        <x:v>colony-megara-hyblaea</x:v>
      </x:c>
      <x:c r="C606" s="14" t="str">
        <x:v>src-pleiades-462307</x:v>
      </x:c>
      <x:c r="D606" s="14" t="str">
        <x:v>relationships</x:v>
      </x:c>
      <x:c r="E606" s="20" t="b">
        <x:v>1</x:v>
      </x:c>
    </x:row>
    <x:row r="607" ht="24" customHeight="1">
      <x:c r="A607" s="14" t="str">
        <x:v>es-colony-mesembria-pleiades-216882-chronology</x:v>
      </x:c>
      <x:c r="B607" s="14" t="str">
        <x:v>colony-mesembria</x:v>
      </x:c>
      <x:c r="C607" s="14" t="str">
        <x:v>src-pleiades-216882</x:v>
      </x:c>
      <x:c r="D607" s="14" t="str">
        <x:v>chronology</x:v>
      </x:c>
      <x:c r="E607" s="20" t="b">
        <x:v>1</x:v>
      </x:c>
    </x:row>
    <x:row r="608" ht="24" customHeight="1">
      <x:c r="A608" s="14" t="str">
        <x:v>es-colony-mesembria-pleiades-216882-classification</x:v>
      </x:c>
      <x:c r="B608" s="14" t="str">
        <x:v>colony-mesembria</x:v>
      </x:c>
      <x:c r="C608" s="14" t="str">
        <x:v>src-pleiades-216882</x:v>
      </x:c>
      <x:c r="D608" s="14" t="str">
        <x:v>classification</x:v>
      </x:c>
      <x:c r="E608" s="20" t="b">
        <x:v>1</x:v>
      </x:c>
    </x:row>
    <x:row r="609" ht="24" customHeight="1">
      <x:c r="A609" s="14" t="str">
        <x:v>es-colony-mesembria-pleiades-216882-description</x:v>
      </x:c>
      <x:c r="B609" s="14" t="str">
        <x:v>colony-mesembria</x:v>
      </x:c>
      <x:c r="C609" s="14" t="str">
        <x:v>src-pleiades-216882</x:v>
      </x:c>
      <x:c r="D609" s="14" t="str">
        <x:v>description</x:v>
      </x:c>
      <x:c r="E609" s="20" t="b">
        <x:v>1</x:v>
      </x:c>
    </x:row>
    <x:row r="610" ht="24" customHeight="1">
      <x:c r="A610" s="14" t="str">
        <x:v>es-colony-mesembria-pleiades-216882-geometry</x:v>
      </x:c>
      <x:c r="B610" s="14" t="str">
        <x:v>colony-mesembria</x:v>
      </x:c>
      <x:c r="C610" s="14" t="str">
        <x:v>src-pleiades-216882</x:v>
      </x:c>
      <x:c r="D610" s="14" t="str">
        <x:v>geometry</x:v>
      </x:c>
      <x:c r="E610" s="20" t="b">
        <x:v>1</x:v>
      </x:c>
    </x:row>
    <x:row r="611" ht="24" customHeight="1">
      <x:c r="A611" s="14" t="str">
        <x:v>es-colony-mesembria-pleiades-216882-identity</x:v>
      </x:c>
      <x:c r="B611" s="14" t="str">
        <x:v>colony-mesembria</x:v>
      </x:c>
      <x:c r="C611" s="14" t="str">
        <x:v>src-pleiades-216882</x:v>
      </x:c>
      <x:c r="D611" s="14" t="str">
        <x:v>identity</x:v>
      </x:c>
      <x:c r="E611" s="20" t="b">
        <x:v>1</x:v>
      </x:c>
    </x:row>
    <x:row r="612" ht="24" customHeight="1">
      <x:c r="A612" s="14" t="str">
        <x:v>es-colony-mesembria-pleiades-216882-names</x:v>
      </x:c>
      <x:c r="B612" s="14" t="str">
        <x:v>colony-mesembria</x:v>
      </x:c>
      <x:c r="C612" s="14" t="str">
        <x:v>src-pleiades-216882</x:v>
      </x:c>
      <x:c r="D612" s="14" t="str">
        <x:v>names</x:v>
      </x:c>
      <x:c r="E612" s="20" t="b">
        <x:v>1</x:v>
      </x:c>
    </x:row>
    <x:row r="613" ht="24" customHeight="1">
      <x:c r="A613" s="14" t="str">
        <x:v>es-colony-mesembria-pleiades-216882-relationships</x:v>
      </x:c>
      <x:c r="B613" s="14" t="str">
        <x:v>colony-mesembria</x:v>
      </x:c>
      <x:c r="C613" s="14" t="str">
        <x:v>src-pleiades-216882</x:v>
      </x:c>
      <x:c r="D613" s="14" t="str">
        <x:v>relationships</x:v>
      </x:c>
      <x:c r="E613" s="20" t="b">
        <x:v>1</x:v>
      </x:c>
    </x:row>
    <x:row r="614" ht="24" customHeight="1">
      <x:c r="A614" s="14" t="str">
        <x:v>es-colony-metapontum-pleiades-442658-chronology</x:v>
      </x:c>
      <x:c r="B614" s="14" t="str">
        <x:v>colony-metapontum</x:v>
      </x:c>
      <x:c r="C614" s="14" t="str">
        <x:v>src-pleiades-442658</x:v>
      </x:c>
      <x:c r="D614" s="14" t="str">
        <x:v>chronology</x:v>
      </x:c>
      <x:c r="E614" s="20" t="b">
        <x:v>1</x:v>
      </x:c>
    </x:row>
    <x:row r="615" ht="24" customHeight="1">
      <x:c r="A615" s="14" t="str">
        <x:v>es-colony-metapontum-pleiades-442658-classification</x:v>
      </x:c>
      <x:c r="B615" s="14" t="str">
        <x:v>colony-metapontum</x:v>
      </x:c>
      <x:c r="C615" s="14" t="str">
        <x:v>src-pleiades-442658</x:v>
      </x:c>
      <x:c r="D615" s="14" t="str">
        <x:v>classification</x:v>
      </x:c>
      <x:c r="E615" s="20" t="b">
        <x:v>1</x:v>
      </x:c>
    </x:row>
    <x:row r="616" ht="24" customHeight="1">
      <x:c r="A616" s="14" t="str">
        <x:v>es-colony-metapontum-pleiades-442658-description</x:v>
      </x:c>
      <x:c r="B616" s="14" t="str">
        <x:v>colony-metapontum</x:v>
      </x:c>
      <x:c r="C616" s="14" t="str">
        <x:v>src-pleiades-442658</x:v>
      </x:c>
      <x:c r="D616" s="14" t="str">
        <x:v>description</x:v>
      </x:c>
      <x:c r="E616" s="20" t="b">
        <x:v>1</x:v>
      </x:c>
    </x:row>
    <x:row r="617" ht="24" customHeight="1">
      <x:c r="A617" s="14" t="str">
        <x:v>es-colony-metapontum-pleiades-442658-geometry</x:v>
      </x:c>
      <x:c r="B617" s="14" t="str">
        <x:v>colony-metapontum</x:v>
      </x:c>
      <x:c r="C617" s="14" t="str">
        <x:v>src-pleiades-442658</x:v>
      </x:c>
      <x:c r="D617" s="14" t="str">
        <x:v>geometry</x:v>
      </x:c>
      <x:c r="E617" s="20" t="b">
        <x:v>1</x:v>
      </x:c>
    </x:row>
    <x:row r="618" ht="24" customHeight="1">
      <x:c r="A618" s="14" t="str">
        <x:v>es-colony-metapontum-pleiades-442658-identity</x:v>
      </x:c>
      <x:c r="B618" s="14" t="str">
        <x:v>colony-metapontum</x:v>
      </x:c>
      <x:c r="C618" s="14" t="str">
        <x:v>src-pleiades-442658</x:v>
      </x:c>
      <x:c r="D618" s="14" t="str">
        <x:v>identity</x:v>
      </x:c>
      <x:c r="E618" s="20" t="b">
        <x:v>1</x:v>
      </x:c>
    </x:row>
    <x:row r="619" ht="24" customHeight="1">
      <x:c r="A619" s="14" t="str">
        <x:v>es-colony-metapontum-pleiades-442658-names</x:v>
      </x:c>
      <x:c r="B619" s="14" t="str">
        <x:v>colony-metapontum</x:v>
      </x:c>
      <x:c r="C619" s="14" t="str">
        <x:v>src-pleiades-442658</x:v>
      </x:c>
      <x:c r="D619" s="14" t="str">
        <x:v>names</x:v>
      </x:c>
      <x:c r="E619" s="20" t="b">
        <x:v>1</x:v>
      </x:c>
    </x:row>
    <x:row r="620" ht="24" customHeight="1">
      <x:c r="A620" s="14" t="str">
        <x:v>es-colony-metapontum-pleiades-442658-relationships</x:v>
      </x:c>
      <x:c r="B620" s="14" t="str">
        <x:v>colony-metapontum</x:v>
      </x:c>
      <x:c r="C620" s="14" t="str">
        <x:v>src-pleiades-442658</x:v>
      </x:c>
      <x:c r="D620" s="14" t="str">
        <x:v>relationships</x:v>
      </x:c>
      <x:c r="E620" s="20" t="b">
        <x:v>1</x:v>
      </x:c>
    </x:row>
    <x:row r="621" ht="24" customHeight="1">
      <x:c r="A621" s="14" t="str">
        <x:v>es-colony-miletus-pleiades-599799-chronology</x:v>
      </x:c>
      <x:c r="B621" s="14" t="str">
        <x:v>colony-miletus</x:v>
      </x:c>
      <x:c r="C621" s="14" t="str">
        <x:v>src-pleiades-599799</x:v>
      </x:c>
      <x:c r="D621" s="14" t="str">
        <x:v>chronology</x:v>
      </x:c>
      <x:c r="E621" s="20" t="b">
        <x:v>1</x:v>
      </x:c>
    </x:row>
    <x:row r="622" ht="24" customHeight="1">
      <x:c r="A622" s="14" t="str">
        <x:v>es-colony-miletus-pleiades-599799-classification</x:v>
      </x:c>
      <x:c r="B622" s="14" t="str">
        <x:v>colony-miletus</x:v>
      </x:c>
      <x:c r="C622" s="14" t="str">
        <x:v>src-pleiades-599799</x:v>
      </x:c>
      <x:c r="D622" s="14" t="str">
        <x:v>classification</x:v>
      </x:c>
      <x:c r="E622" s="20" t="b">
        <x:v>1</x:v>
      </x:c>
    </x:row>
    <x:row r="623" ht="24" customHeight="1">
      <x:c r="A623" s="14" t="str">
        <x:v>es-colony-miletus-pleiades-599799-description</x:v>
      </x:c>
      <x:c r="B623" s="14" t="str">
        <x:v>colony-miletus</x:v>
      </x:c>
      <x:c r="C623" s="14" t="str">
        <x:v>src-pleiades-599799</x:v>
      </x:c>
      <x:c r="D623" s="14" t="str">
        <x:v>description</x:v>
      </x:c>
      <x:c r="E623" s="20" t="b">
        <x:v>1</x:v>
      </x:c>
    </x:row>
    <x:row r="624" ht="24" customHeight="1">
      <x:c r="A624" s="14" t="str">
        <x:v>es-colony-miletus-pleiades-599799-geometry</x:v>
      </x:c>
      <x:c r="B624" s="14" t="str">
        <x:v>colony-miletus</x:v>
      </x:c>
      <x:c r="C624" s="14" t="str">
        <x:v>src-pleiades-599799</x:v>
      </x:c>
      <x:c r="D624" s="14" t="str">
        <x:v>geometry</x:v>
      </x:c>
      <x:c r="E624" s="20" t="b">
        <x:v>1</x:v>
      </x:c>
    </x:row>
    <x:row r="625" ht="24" customHeight="1">
      <x:c r="A625" s="14" t="str">
        <x:v>es-colony-miletus-pleiades-599799-identity</x:v>
      </x:c>
      <x:c r="B625" s="14" t="str">
        <x:v>colony-miletus</x:v>
      </x:c>
      <x:c r="C625" s="14" t="str">
        <x:v>src-pleiades-599799</x:v>
      </x:c>
      <x:c r="D625" s="14" t="str">
        <x:v>identity</x:v>
      </x:c>
      <x:c r="E625" s="20" t="b">
        <x:v>1</x:v>
      </x:c>
    </x:row>
    <x:row r="626" ht="24" customHeight="1">
      <x:c r="A626" s="14" t="str">
        <x:v>es-colony-miletus-pleiades-599799-names</x:v>
      </x:c>
      <x:c r="B626" s="14" t="str">
        <x:v>colony-miletus</x:v>
      </x:c>
      <x:c r="C626" s="14" t="str">
        <x:v>src-pleiades-599799</x:v>
      </x:c>
      <x:c r="D626" s="14" t="str">
        <x:v>names</x:v>
      </x:c>
      <x:c r="E626" s="20" t="b">
        <x:v>1</x:v>
      </x:c>
    </x:row>
    <x:row r="627" ht="24" customHeight="1">
      <x:c r="A627" s="14" t="str">
        <x:v>es-colony-miletus-pleiades-599799-relationships</x:v>
      </x:c>
      <x:c r="B627" s="14" t="str">
        <x:v>colony-miletus</x:v>
      </x:c>
      <x:c r="C627" s="14" t="str">
        <x:v>src-pleiades-599799</x:v>
      </x:c>
      <x:c r="D627" s="14" t="str">
        <x:v>relationships</x:v>
      </x:c>
      <x:c r="E627" s="20" t="b">
        <x:v>1</x:v>
      </x:c>
    </x:row>
    <x:row r="628" ht="24" customHeight="1">
      <x:c r="A628" s="14" t="str">
        <x:v>es-colony-myrina-aeolis-pleiades-550756-chronology</x:v>
      </x:c>
      <x:c r="B628" s="14" t="str">
        <x:v>colony-myrina-aeolis</x:v>
      </x:c>
      <x:c r="C628" s="14" t="str">
        <x:v>src-pleiades-550756</x:v>
      </x:c>
      <x:c r="D628" s="14" t="str">
        <x:v>chronology</x:v>
      </x:c>
      <x:c r="E628" s="20" t="b">
        <x:v>1</x:v>
      </x:c>
    </x:row>
    <x:row r="629" ht="24" customHeight="1">
      <x:c r="A629" s="14" t="str">
        <x:v>es-colony-myrina-aeolis-pleiades-550756-classification</x:v>
      </x:c>
      <x:c r="B629" s="14" t="str">
        <x:v>colony-myrina-aeolis</x:v>
      </x:c>
      <x:c r="C629" s="14" t="str">
        <x:v>src-pleiades-550756</x:v>
      </x:c>
      <x:c r="D629" s="14" t="str">
        <x:v>classification</x:v>
      </x:c>
      <x:c r="E629" s="20" t="b">
        <x:v>1</x:v>
      </x:c>
    </x:row>
    <x:row r="630" ht="24" customHeight="1">
      <x:c r="A630" s="14" t="str">
        <x:v>es-colony-myrina-aeolis-pleiades-550756-description</x:v>
      </x:c>
      <x:c r="B630" s="14" t="str">
        <x:v>colony-myrina-aeolis</x:v>
      </x:c>
      <x:c r="C630" s="14" t="str">
        <x:v>src-pleiades-550756</x:v>
      </x:c>
      <x:c r="D630" s="14" t="str">
        <x:v>description</x:v>
      </x:c>
      <x:c r="E630" s="20" t="b">
        <x:v>1</x:v>
      </x:c>
    </x:row>
    <x:row r="631" ht="24" customHeight="1">
      <x:c r="A631" s="14" t="str">
        <x:v>es-colony-myrina-aeolis-pleiades-550756-geometry</x:v>
      </x:c>
      <x:c r="B631" s="14" t="str">
        <x:v>colony-myrina-aeolis</x:v>
      </x:c>
      <x:c r="C631" s="14" t="str">
        <x:v>src-pleiades-550756</x:v>
      </x:c>
      <x:c r="D631" s="14" t="str">
        <x:v>geometry</x:v>
      </x:c>
      <x:c r="E631" s="20" t="b">
        <x:v>1</x:v>
      </x:c>
    </x:row>
    <x:row r="632" ht="24" customHeight="1">
      <x:c r="A632" s="14" t="str">
        <x:v>es-colony-myrina-aeolis-pleiades-550756-identity</x:v>
      </x:c>
      <x:c r="B632" s="14" t="str">
        <x:v>colony-myrina-aeolis</x:v>
      </x:c>
      <x:c r="C632" s="14" t="str">
        <x:v>src-pleiades-550756</x:v>
      </x:c>
      <x:c r="D632" s="14" t="str">
        <x:v>identity</x:v>
      </x:c>
      <x:c r="E632" s="20" t="b">
        <x:v>1</x:v>
      </x:c>
    </x:row>
    <x:row r="633" ht="24" customHeight="1">
      <x:c r="A633" s="14" t="str">
        <x:v>es-colony-myrina-aeolis-pleiades-550756-names</x:v>
      </x:c>
      <x:c r="B633" s="14" t="str">
        <x:v>colony-myrina-aeolis</x:v>
      </x:c>
      <x:c r="C633" s="14" t="str">
        <x:v>src-pleiades-550756</x:v>
      </x:c>
      <x:c r="D633" s="14" t="str">
        <x:v>names</x:v>
      </x:c>
      <x:c r="E633" s="20" t="b">
        <x:v>1</x:v>
      </x:c>
    </x:row>
    <x:row r="634" ht="24" customHeight="1">
      <x:c r="A634" s="14" t="str">
        <x:v>es-colony-myrina-aeolis-pleiades-550756-relationships</x:v>
      </x:c>
      <x:c r="B634" s="14" t="str">
        <x:v>colony-myrina-aeolis</x:v>
      </x:c>
      <x:c r="C634" s="14" t="str">
        <x:v>src-pleiades-550756</x:v>
      </x:c>
      <x:c r="D634" s="14" t="str">
        <x:v>relationships</x:v>
      </x:c>
      <x:c r="E634" s="20" t="b">
        <x:v>1</x:v>
      </x:c>
    </x:row>
    <x:row r="635" ht="24" customHeight="1">
      <x:c r="A635" s="14" t="str">
        <x:v>es-colony-naucratis-pleiades-727169-chronology</x:v>
      </x:c>
      <x:c r="B635" s="14" t="str">
        <x:v>colony-naucratis</x:v>
      </x:c>
      <x:c r="C635" s="14" t="str">
        <x:v>src-pleiades-727169</x:v>
      </x:c>
      <x:c r="D635" s="14" t="str">
        <x:v>chronology</x:v>
      </x:c>
      <x:c r="E635" s="20" t="b">
        <x:v>1</x:v>
      </x:c>
    </x:row>
    <x:row r="636" ht="24" customHeight="1">
      <x:c r="A636" s="14" t="str">
        <x:v>es-colony-naucratis-pleiades-727169-classification</x:v>
      </x:c>
      <x:c r="B636" s="14" t="str">
        <x:v>colony-naucratis</x:v>
      </x:c>
      <x:c r="C636" s="14" t="str">
        <x:v>src-pleiades-727169</x:v>
      </x:c>
      <x:c r="D636" s="14" t="str">
        <x:v>classification</x:v>
      </x:c>
      <x:c r="E636" s="20" t="b">
        <x:v>1</x:v>
      </x:c>
    </x:row>
    <x:row r="637" ht="24" customHeight="1">
      <x:c r="A637" s="14" t="str">
        <x:v>es-colony-naucratis-pleiades-727169-description</x:v>
      </x:c>
      <x:c r="B637" s="14" t="str">
        <x:v>colony-naucratis</x:v>
      </x:c>
      <x:c r="C637" s="14" t="str">
        <x:v>src-pleiades-727169</x:v>
      </x:c>
      <x:c r="D637" s="14" t="str">
        <x:v>description</x:v>
      </x:c>
      <x:c r="E637" s="20" t="b">
        <x:v>1</x:v>
      </x:c>
    </x:row>
    <x:row r="638" ht="24" customHeight="1">
      <x:c r="A638" s="14" t="str">
        <x:v>es-colony-naucratis-pleiades-727169-geometry</x:v>
      </x:c>
      <x:c r="B638" s="14" t="str">
        <x:v>colony-naucratis</x:v>
      </x:c>
      <x:c r="C638" s="14" t="str">
        <x:v>src-pleiades-727169</x:v>
      </x:c>
      <x:c r="D638" s="14" t="str">
        <x:v>geometry</x:v>
      </x:c>
      <x:c r="E638" s="20" t="b">
        <x:v>1</x:v>
      </x:c>
    </x:row>
    <x:row r="639" ht="24" customHeight="1">
      <x:c r="A639" s="14" t="str">
        <x:v>es-colony-naucratis-pleiades-727169-identity</x:v>
      </x:c>
      <x:c r="B639" s="14" t="str">
        <x:v>colony-naucratis</x:v>
      </x:c>
      <x:c r="C639" s="14" t="str">
        <x:v>src-pleiades-727169</x:v>
      </x:c>
      <x:c r="D639" s="14" t="str">
        <x:v>identity</x:v>
      </x:c>
      <x:c r="E639" s="20" t="b">
        <x:v>1</x:v>
      </x:c>
    </x:row>
    <x:row r="640" ht="24" customHeight="1">
      <x:c r="A640" s="14" t="str">
        <x:v>es-colony-naucratis-pleiades-727169-names</x:v>
      </x:c>
      <x:c r="B640" s="14" t="str">
        <x:v>colony-naucratis</x:v>
      </x:c>
      <x:c r="C640" s="14" t="str">
        <x:v>src-pleiades-727169</x:v>
      </x:c>
      <x:c r="D640" s="14" t="str">
        <x:v>names</x:v>
      </x:c>
      <x:c r="E640" s="20" t="b">
        <x:v>1</x:v>
      </x:c>
    </x:row>
    <x:row r="641" ht="24" customHeight="1">
      <x:c r="A641" s="14" t="str">
        <x:v>es-colony-naucratis-pleiades-727169-relationships</x:v>
      </x:c>
      <x:c r="B641" s="14" t="str">
        <x:v>colony-naucratis</x:v>
      </x:c>
      <x:c r="C641" s="14" t="str">
        <x:v>src-pleiades-727169</x:v>
      </x:c>
      <x:c r="D641" s="14" t="str">
        <x:v>relationships</x:v>
      </x:c>
      <x:c r="E641" s="20" t="b">
        <x:v>1</x:v>
      </x:c>
    </x:row>
    <x:row r="642" ht="24" customHeight="1">
      <x:c r="A642" s="14" t="str">
        <x:v>es-colony-naxos-sicily-pleiades-462386-chronology</x:v>
      </x:c>
      <x:c r="B642" s="14" t="str">
        <x:v>colony-naxos-sicily</x:v>
      </x:c>
      <x:c r="C642" s="14" t="str">
        <x:v>src-pleiades-462386</x:v>
      </x:c>
      <x:c r="D642" s="14" t="str">
        <x:v>chronology</x:v>
      </x:c>
      <x:c r="E642" s="20" t="b">
        <x:v>1</x:v>
      </x:c>
    </x:row>
    <x:row r="643" ht="24" customHeight="1">
      <x:c r="A643" s="14" t="str">
        <x:v>es-colony-naxos-sicily-pleiades-462386-classification</x:v>
      </x:c>
      <x:c r="B643" s="14" t="str">
        <x:v>colony-naxos-sicily</x:v>
      </x:c>
      <x:c r="C643" s="14" t="str">
        <x:v>src-pleiades-462386</x:v>
      </x:c>
      <x:c r="D643" s="14" t="str">
        <x:v>classification</x:v>
      </x:c>
      <x:c r="E643" s="20" t="b">
        <x:v>1</x:v>
      </x:c>
    </x:row>
    <x:row r="644" ht="24" customHeight="1">
      <x:c r="A644" s="14" t="str">
        <x:v>es-colony-naxos-sicily-pleiades-462386-description</x:v>
      </x:c>
      <x:c r="B644" s="14" t="str">
        <x:v>colony-naxos-sicily</x:v>
      </x:c>
      <x:c r="C644" s="14" t="str">
        <x:v>src-pleiades-462386</x:v>
      </x:c>
      <x:c r="D644" s="14" t="str">
        <x:v>description</x:v>
      </x:c>
      <x:c r="E644" s="20" t="b">
        <x:v>1</x:v>
      </x:c>
    </x:row>
    <x:row r="645" ht="24" customHeight="1">
      <x:c r="A645" s="14" t="str">
        <x:v>es-colony-naxos-sicily-pleiades-462386-geometry</x:v>
      </x:c>
      <x:c r="B645" s="14" t="str">
        <x:v>colony-naxos-sicily</x:v>
      </x:c>
      <x:c r="C645" s="14" t="str">
        <x:v>src-pleiades-462386</x:v>
      </x:c>
      <x:c r="D645" s="14" t="str">
        <x:v>geometry</x:v>
      </x:c>
      <x:c r="E645" s="20" t="b">
        <x:v>1</x:v>
      </x:c>
    </x:row>
    <x:row r="646" ht="24" customHeight="1">
      <x:c r="A646" s="14" t="str">
        <x:v>es-colony-naxos-sicily-pleiades-462386-identity</x:v>
      </x:c>
      <x:c r="B646" s="14" t="str">
        <x:v>colony-naxos-sicily</x:v>
      </x:c>
      <x:c r="C646" s="14" t="str">
        <x:v>src-pleiades-462386</x:v>
      </x:c>
      <x:c r="D646" s="14" t="str">
        <x:v>identity</x:v>
      </x:c>
      <x:c r="E646" s="20" t="b">
        <x:v>1</x:v>
      </x:c>
    </x:row>
    <x:row r="647" ht="24" customHeight="1">
      <x:c r="A647" s="14" t="str">
        <x:v>es-colony-naxos-sicily-pleiades-462386-names</x:v>
      </x:c>
      <x:c r="B647" s="14" t="str">
        <x:v>colony-naxos-sicily</x:v>
      </x:c>
      <x:c r="C647" s="14" t="str">
        <x:v>src-pleiades-462386</x:v>
      </x:c>
      <x:c r="D647" s="14" t="str">
        <x:v>names</x:v>
      </x:c>
      <x:c r="E647" s="20" t="b">
        <x:v>1</x:v>
      </x:c>
    </x:row>
    <x:row r="648" ht="24" customHeight="1">
      <x:c r="A648" s="14" t="str">
        <x:v>es-colony-naxos-sicily-pleiades-462386-relationships</x:v>
      </x:c>
      <x:c r="B648" s="14" t="str">
        <x:v>colony-naxos-sicily</x:v>
      </x:c>
      <x:c r="C648" s="14" t="str">
        <x:v>src-pleiades-462386</x:v>
      </x:c>
      <x:c r="D648" s="14" t="str">
        <x:v>relationships</x:v>
      </x:c>
      <x:c r="E648" s="20" t="b">
        <x:v>1</x:v>
      </x:c>
    </x:row>
    <x:row r="649" ht="24" customHeight="1">
      <x:c r="A649" s="14" t="str">
        <x:v>es-colony-neapolis-campania-pleiades-433014-chronology</x:v>
      </x:c>
      <x:c r="B649" s="14" t="str">
        <x:v>colony-neapolis-campania</x:v>
      </x:c>
      <x:c r="C649" s="14" t="str">
        <x:v>src-pleiades-433014</x:v>
      </x:c>
      <x:c r="D649" s="14" t="str">
        <x:v>chronology</x:v>
      </x:c>
      <x:c r="E649" s="20" t="b">
        <x:v>1</x:v>
      </x:c>
    </x:row>
    <x:row r="650" ht="24" customHeight="1">
      <x:c r="A650" s="14" t="str">
        <x:v>es-colony-neapolis-campania-pleiades-433014-classification</x:v>
      </x:c>
      <x:c r="B650" s="14" t="str">
        <x:v>colony-neapolis-campania</x:v>
      </x:c>
      <x:c r="C650" s="14" t="str">
        <x:v>src-pleiades-433014</x:v>
      </x:c>
      <x:c r="D650" s="14" t="str">
        <x:v>classification</x:v>
      </x:c>
      <x:c r="E650" s="20" t="b">
        <x:v>1</x:v>
      </x:c>
    </x:row>
    <x:row r="651" ht="24" customHeight="1">
      <x:c r="A651" s="14" t="str">
        <x:v>es-colony-neapolis-campania-pleiades-433014-description</x:v>
      </x:c>
      <x:c r="B651" s="14" t="str">
        <x:v>colony-neapolis-campania</x:v>
      </x:c>
      <x:c r="C651" s="14" t="str">
        <x:v>src-pleiades-433014</x:v>
      </x:c>
      <x:c r="D651" s="14" t="str">
        <x:v>description</x:v>
      </x:c>
      <x:c r="E651" s="20" t="b">
        <x:v>1</x:v>
      </x:c>
    </x:row>
    <x:row r="652" ht="24" customHeight="1">
      <x:c r="A652" s="14" t="str">
        <x:v>es-colony-neapolis-campania-pleiades-433014-geometry</x:v>
      </x:c>
      <x:c r="B652" s="14" t="str">
        <x:v>colony-neapolis-campania</x:v>
      </x:c>
      <x:c r="C652" s="14" t="str">
        <x:v>src-pleiades-433014</x:v>
      </x:c>
      <x:c r="D652" s="14" t="str">
        <x:v>geometry</x:v>
      </x:c>
      <x:c r="E652" s="20" t="b">
        <x:v>1</x:v>
      </x:c>
    </x:row>
    <x:row r="653" ht="24" customHeight="1">
      <x:c r="A653" s="14" t="str">
        <x:v>es-colony-neapolis-campania-pleiades-433014-identity</x:v>
      </x:c>
      <x:c r="B653" s="14" t="str">
        <x:v>colony-neapolis-campania</x:v>
      </x:c>
      <x:c r="C653" s="14" t="str">
        <x:v>src-pleiades-433014</x:v>
      </x:c>
      <x:c r="D653" s="14" t="str">
        <x:v>identity</x:v>
      </x:c>
      <x:c r="E653" s="20" t="b">
        <x:v>1</x:v>
      </x:c>
    </x:row>
    <x:row r="654" ht="24" customHeight="1">
      <x:c r="A654" s="14" t="str">
        <x:v>es-colony-neapolis-campania-pleiades-433014-names</x:v>
      </x:c>
      <x:c r="B654" s="14" t="str">
        <x:v>colony-neapolis-campania</x:v>
      </x:c>
      <x:c r="C654" s="14" t="str">
        <x:v>src-pleiades-433014</x:v>
      </x:c>
      <x:c r="D654" s="14" t="str">
        <x:v>names</x:v>
      </x:c>
      <x:c r="E654" s="20" t="b">
        <x:v>1</x:v>
      </x:c>
    </x:row>
    <x:row r="655" ht="24" customHeight="1">
      <x:c r="A655" s="14" t="str">
        <x:v>es-colony-neapolis-campania-pleiades-433014-relationships</x:v>
      </x:c>
      <x:c r="B655" s="14" t="str">
        <x:v>colony-neapolis-campania</x:v>
      </x:c>
      <x:c r="C655" s="14" t="str">
        <x:v>src-pleiades-433014</x:v>
      </x:c>
      <x:c r="D655" s="14" t="str">
        <x:v>relationships</x:v>
      </x:c>
      <x:c r="E655" s="20" t="b">
        <x:v>1</x:v>
      </x:c>
    </x:row>
    <x:row r="656" ht="24" customHeight="1">
      <x:c r="A656" s="14" t="str">
        <x:v>es-colony-odessos-pleiades-216904-chronology</x:v>
      </x:c>
      <x:c r="B656" s="14" t="str">
        <x:v>colony-odessos</x:v>
      </x:c>
      <x:c r="C656" s="14" t="str">
        <x:v>src-pleiades-216904</x:v>
      </x:c>
      <x:c r="D656" s="14" t="str">
        <x:v>chronology</x:v>
      </x:c>
      <x:c r="E656" s="20" t="b">
        <x:v>1</x:v>
      </x:c>
    </x:row>
    <x:row r="657" ht="24" customHeight="1">
      <x:c r="A657" s="14" t="str">
        <x:v>es-colony-odessos-pleiades-216904-classification</x:v>
      </x:c>
      <x:c r="B657" s="14" t="str">
        <x:v>colony-odessos</x:v>
      </x:c>
      <x:c r="C657" s="14" t="str">
        <x:v>src-pleiades-216904</x:v>
      </x:c>
      <x:c r="D657" s="14" t="str">
        <x:v>classification</x:v>
      </x:c>
      <x:c r="E657" s="20" t="b">
        <x:v>1</x:v>
      </x:c>
    </x:row>
    <x:row r="658" ht="24" customHeight="1">
      <x:c r="A658" s="14" t="str">
        <x:v>es-colony-odessos-pleiades-216904-description</x:v>
      </x:c>
      <x:c r="B658" s="14" t="str">
        <x:v>colony-odessos</x:v>
      </x:c>
      <x:c r="C658" s="14" t="str">
        <x:v>src-pleiades-216904</x:v>
      </x:c>
      <x:c r="D658" s="14" t="str">
        <x:v>description</x:v>
      </x:c>
      <x:c r="E658" s="20" t="b">
        <x:v>1</x:v>
      </x:c>
    </x:row>
    <x:row r="659" ht="24" customHeight="1">
      <x:c r="A659" s="14" t="str">
        <x:v>es-colony-odessos-pleiades-216904-geometry</x:v>
      </x:c>
      <x:c r="B659" s="14" t="str">
        <x:v>colony-odessos</x:v>
      </x:c>
      <x:c r="C659" s="14" t="str">
        <x:v>src-pleiades-216904</x:v>
      </x:c>
      <x:c r="D659" s="14" t="str">
        <x:v>geometry</x:v>
      </x:c>
      <x:c r="E659" s="20" t="b">
        <x:v>1</x:v>
      </x:c>
    </x:row>
    <x:row r="660" ht="24" customHeight="1">
      <x:c r="A660" s="14" t="str">
        <x:v>es-colony-odessos-pleiades-216904-identity</x:v>
      </x:c>
      <x:c r="B660" s="14" t="str">
        <x:v>colony-odessos</x:v>
      </x:c>
      <x:c r="C660" s="14" t="str">
        <x:v>src-pleiades-216904</x:v>
      </x:c>
      <x:c r="D660" s="14" t="str">
        <x:v>identity</x:v>
      </x:c>
      <x:c r="E660" s="20" t="b">
        <x:v>1</x:v>
      </x:c>
    </x:row>
    <x:row r="661" ht="24" customHeight="1">
      <x:c r="A661" s="14" t="str">
        <x:v>es-colony-odessos-pleiades-216904-names</x:v>
      </x:c>
      <x:c r="B661" s="14" t="str">
        <x:v>colony-odessos</x:v>
      </x:c>
      <x:c r="C661" s="14" t="str">
        <x:v>src-pleiades-216904</x:v>
      </x:c>
      <x:c r="D661" s="14" t="str">
        <x:v>names</x:v>
      </x:c>
      <x:c r="E661" s="20" t="b">
        <x:v>1</x:v>
      </x:c>
    </x:row>
    <x:row r="662" ht="24" customHeight="1">
      <x:c r="A662" s="14" t="str">
        <x:v>es-colony-odessos-pleiades-216904-relationships</x:v>
      </x:c>
      <x:c r="B662" s="14" t="str">
        <x:v>colony-odessos</x:v>
      </x:c>
      <x:c r="C662" s="14" t="str">
        <x:v>src-pleiades-216904</x:v>
      </x:c>
      <x:c r="D662" s="14" t="str">
        <x:v>relationships</x:v>
      </x:c>
      <x:c r="E662" s="20" t="b">
        <x:v>1</x:v>
      </x:c>
    </x:row>
    <x:row r="663" ht="24" customHeight="1">
      <x:c r="A663" s="14" t="str">
        <x:v>es-colony-olbia-pontica-pleiades-226546-chronology</x:v>
      </x:c>
      <x:c r="B663" s="14" t="str">
        <x:v>colony-olbia-pontica</x:v>
      </x:c>
      <x:c r="C663" s="14" t="str">
        <x:v>src-pleiades-226546</x:v>
      </x:c>
      <x:c r="D663" s="14" t="str">
        <x:v>chronology</x:v>
      </x:c>
      <x:c r="E663" s="20" t="b">
        <x:v>1</x:v>
      </x:c>
    </x:row>
    <x:row r="664" ht="24" customHeight="1">
      <x:c r="A664" s="14" t="str">
        <x:v>es-colony-olbia-pontica-pleiades-226546-classification</x:v>
      </x:c>
      <x:c r="B664" s="14" t="str">
        <x:v>colony-olbia-pontica</x:v>
      </x:c>
      <x:c r="C664" s="14" t="str">
        <x:v>src-pleiades-226546</x:v>
      </x:c>
      <x:c r="D664" s="14" t="str">
        <x:v>classification</x:v>
      </x:c>
      <x:c r="E664" s="20" t="b">
        <x:v>1</x:v>
      </x:c>
    </x:row>
    <x:row r="665" ht="24" customHeight="1">
      <x:c r="A665" s="14" t="str">
        <x:v>es-colony-olbia-pontica-pleiades-226546-description</x:v>
      </x:c>
      <x:c r="B665" s="14" t="str">
        <x:v>colony-olbia-pontica</x:v>
      </x:c>
      <x:c r="C665" s="14" t="str">
        <x:v>src-pleiades-226546</x:v>
      </x:c>
      <x:c r="D665" s="14" t="str">
        <x:v>description</x:v>
      </x:c>
      <x:c r="E665" s="20" t="b">
        <x:v>1</x:v>
      </x:c>
    </x:row>
    <x:row r="666" ht="24" customHeight="1">
      <x:c r="A666" s="14" t="str">
        <x:v>es-colony-olbia-pontica-pleiades-226546-geometry</x:v>
      </x:c>
      <x:c r="B666" s="14" t="str">
        <x:v>colony-olbia-pontica</x:v>
      </x:c>
      <x:c r="C666" s="14" t="str">
        <x:v>src-pleiades-226546</x:v>
      </x:c>
      <x:c r="D666" s="14" t="str">
        <x:v>geometry</x:v>
      </x:c>
      <x:c r="E666" s="20" t="b">
        <x:v>1</x:v>
      </x:c>
    </x:row>
    <x:row r="667" ht="24" customHeight="1">
      <x:c r="A667" s="14" t="str">
        <x:v>es-colony-olbia-pontica-pleiades-226546-identity</x:v>
      </x:c>
      <x:c r="B667" s="14" t="str">
        <x:v>colony-olbia-pontica</x:v>
      </x:c>
      <x:c r="C667" s="14" t="str">
        <x:v>src-pleiades-226546</x:v>
      </x:c>
      <x:c r="D667" s="14" t="str">
        <x:v>identity</x:v>
      </x:c>
      <x:c r="E667" s="20" t="b">
        <x:v>1</x:v>
      </x:c>
    </x:row>
    <x:row r="668" ht="24" customHeight="1">
      <x:c r="A668" s="14" t="str">
        <x:v>es-colony-olbia-pontica-pleiades-226546-names</x:v>
      </x:c>
      <x:c r="B668" s="14" t="str">
        <x:v>colony-olbia-pontica</x:v>
      </x:c>
      <x:c r="C668" s="14" t="str">
        <x:v>src-pleiades-226546</x:v>
      </x:c>
      <x:c r="D668" s="14" t="str">
        <x:v>names</x:v>
      </x:c>
      <x:c r="E668" s="20" t="b">
        <x:v>1</x:v>
      </x:c>
    </x:row>
    <x:row r="669" ht="24" customHeight="1">
      <x:c r="A669" s="14" t="str">
        <x:v>es-colony-olbia-pontica-pleiades-226546-relationships</x:v>
      </x:c>
      <x:c r="B669" s="14" t="str">
        <x:v>colony-olbia-pontica</x:v>
      </x:c>
      <x:c r="C669" s="14" t="str">
        <x:v>src-pleiades-226546</x:v>
      </x:c>
      <x:c r="D669" s="14" t="str">
        <x:v>relationships</x:v>
      </x:c>
      <x:c r="E669" s="20" t="b">
        <x:v>1</x:v>
      </x:c>
    </x:row>
    <x:row r="670" ht="24" customHeight="1">
      <x:c r="A670" s="14" t="str">
        <x:v>es-colony-panticapaeum-pleiades-854719-chronology</x:v>
      </x:c>
      <x:c r="B670" s="14" t="str">
        <x:v>colony-panticapaeum</x:v>
      </x:c>
      <x:c r="C670" s="14" t="str">
        <x:v>src-pleiades-854719</x:v>
      </x:c>
      <x:c r="D670" s="14" t="str">
        <x:v>chronology</x:v>
      </x:c>
      <x:c r="E670" s="20" t="b">
        <x:v>1</x:v>
      </x:c>
    </x:row>
    <x:row r="671" ht="24" customHeight="1">
      <x:c r="A671" s="14" t="str">
        <x:v>es-colony-panticapaeum-pleiades-854719-classification</x:v>
      </x:c>
      <x:c r="B671" s="14" t="str">
        <x:v>colony-panticapaeum</x:v>
      </x:c>
      <x:c r="C671" s="14" t="str">
        <x:v>src-pleiades-854719</x:v>
      </x:c>
      <x:c r="D671" s="14" t="str">
        <x:v>classification</x:v>
      </x:c>
      <x:c r="E671" s="20" t="b">
        <x:v>1</x:v>
      </x:c>
    </x:row>
    <x:row r="672" ht="24" customHeight="1">
      <x:c r="A672" s="14" t="str">
        <x:v>es-colony-panticapaeum-pleiades-854719-description</x:v>
      </x:c>
      <x:c r="B672" s="14" t="str">
        <x:v>colony-panticapaeum</x:v>
      </x:c>
      <x:c r="C672" s="14" t="str">
        <x:v>src-pleiades-854719</x:v>
      </x:c>
      <x:c r="D672" s="14" t="str">
        <x:v>description</x:v>
      </x:c>
      <x:c r="E672" s="20" t="b">
        <x:v>1</x:v>
      </x:c>
    </x:row>
    <x:row r="673" ht="24" customHeight="1">
      <x:c r="A673" s="14" t="str">
        <x:v>es-colony-panticapaeum-pleiades-854719-geometry</x:v>
      </x:c>
      <x:c r="B673" s="14" t="str">
        <x:v>colony-panticapaeum</x:v>
      </x:c>
      <x:c r="C673" s="14" t="str">
        <x:v>src-pleiades-854719</x:v>
      </x:c>
      <x:c r="D673" s="14" t="str">
        <x:v>geometry</x:v>
      </x:c>
      <x:c r="E673" s="20" t="b">
        <x:v>1</x:v>
      </x:c>
    </x:row>
    <x:row r="674" ht="24" customHeight="1">
      <x:c r="A674" s="14" t="str">
        <x:v>es-colony-panticapaeum-pleiades-854719-identity</x:v>
      </x:c>
      <x:c r="B674" s="14" t="str">
        <x:v>colony-panticapaeum</x:v>
      </x:c>
      <x:c r="C674" s="14" t="str">
        <x:v>src-pleiades-854719</x:v>
      </x:c>
      <x:c r="D674" s="14" t="str">
        <x:v>identity</x:v>
      </x:c>
      <x:c r="E674" s="20" t="b">
        <x:v>1</x:v>
      </x:c>
    </x:row>
    <x:row r="675" ht="24" customHeight="1">
      <x:c r="A675" s="14" t="str">
        <x:v>es-colony-panticapaeum-pleiades-854719-names</x:v>
      </x:c>
      <x:c r="B675" s="14" t="str">
        <x:v>colony-panticapaeum</x:v>
      </x:c>
      <x:c r="C675" s="14" t="str">
        <x:v>src-pleiades-854719</x:v>
      </x:c>
      <x:c r="D675" s="14" t="str">
        <x:v>names</x:v>
      </x:c>
      <x:c r="E675" s="20" t="b">
        <x:v>1</x:v>
      </x:c>
    </x:row>
    <x:row r="676" ht="24" customHeight="1">
      <x:c r="A676" s="14" t="str">
        <x:v>es-colony-panticapaeum-pleiades-854719-relationships</x:v>
      </x:c>
      <x:c r="B676" s="14" t="str">
        <x:v>colony-panticapaeum</x:v>
      </x:c>
      <x:c r="C676" s="14" t="str">
        <x:v>src-pleiades-854719</x:v>
      </x:c>
      <x:c r="D676" s="14" t="str">
        <x:v>relationships</x:v>
      </x:c>
      <x:c r="E676" s="20" t="b">
        <x:v>1</x:v>
      </x:c>
    </x:row>
    <x:row r="677" ht="24" customHeight="1">
      <x:c r="A677" s="14" t="str">
        <x:v>es-colony-phanagoria-pleiades-854724-chronology</x:v>
      </x:c>
      <x:c r="B677" s="14" t="str">
        <x:v>colony-phanagoria</x:v>
      </x:c>
      <x:c r="C677" s="14" t="str">
        <x:v>src-pleiades-854724</x:v>
      </x:c>
      <x:c r="D677" s="14" t="str">
        <x:v>chronology</x:v>
      </x:c>
      <x:c r="E677" s="20" t="b">
        <x:v>1</x:v>
      </x:c>
    </x:row>
    <x:row r="678" ht="24" customHeight="1">
      <x:c r="A678" s="14" t="str">
        <x:v>es-colony-phanagoria-pleiades-854724-classification</x:v>
      </x:c>
      <x:c r="B678" s="14" t="str">
        <x:v>colony-phanagoria</x:v>
      </x:c>
      <x:c r="C678" s="14" t="str">
        <x:v>src-pleiades-854724</x:v>
      </x:c>
      <x:c r="D678" s="14" t="str">
        <x:v>classification</x:v>
      </x:c>
      <x:c r="E678" s="20" t="b">
        <x:v>1</x:v>
      </x:c>
    </x:row>
    <x:row r="679" ht="24" customHeight="1">
      <x:c r="A679" s="14" t="str">
        <x:v>es-colony-phanagoria-pleiades-854724-description</x:v>
      </x:c>
      <x:c r="B679" s="14" t="str">
        <x:v>colony-phanagoria</x:v>
      </x:c>
      <x:c r="C679" s="14" t="str">
        <x:v>src-pleiades-854724</x:v>
      </x:c>
      <x:c r="D679" s="14" t="str">
        <x:v>description</x:v>
      </x:c>
      <x:c r="E679" s="20" t="b">
        <x:v>1</x:v>
      </x:c>
    </x:row>
    <x:row r="680" ht="24" customHeight="1">
      <x:c r="A680" s="14" t="str">
        <x:v>es-colony-phanagoria-pleiades-854724-geometry</x:v>
      </x:c>
      <x:c r="B680" s="14" t="str">
        <x:v>colony-phanagoria</x:v>
      </x:c>
      <x:c r="C680" s="14" t="str">
        <x:v>src-pleiades-854724</x:v>
      </x:c>
      <x:c r="D680" s="14" t="str">
        <x:v>geometry</x:v>
      </x:c>
      <x:c r="E680" s="20" t="b">
        <x:v>1</x:v>
      </x:c>
    </x:row>
    <x:row r="681" ht="24" customHeight="1">
      <x:c r="A681" s="14" t="str">
        <x:v>es-colony-phanagoria-pleiades-854724-identity</x:v>
      </x:c>
      <x:c r="B681" s="14" t="str">
        <x:v>colony-phanagoria</x:v>
      </x:c>
      <x:c r="C681" s="14" t="str">
        <x:v>src-pleiades-854724</x:v>
      </x:c>
      <x:c r="D681" s="14" t="str">
        <x:v>identity</x:v>
      </x:c>
      <x:c r="E681" s="20" t="b">
        <x:v>1</x:v>
      </x:c>
    </x:row>
    <x:row r="682" ht="24" customHeight="1">
      <x:c r="A682" s="14" t="str">
        <x:v>es-colony-phanagoria-pleiades-854724-names</x:v>
      </x:c>
      <x:c r="B682" s="14" t="str">
        <x:v>colony-phanagoria</x:v>
      </x:c>
      <x:c r="C682" s="14" t="str">
        <x:v>src-pleiades-854724</x:v>
      </x:c>
      <x:c r="D682" s="14" t="str">
        <x:v>names</x:v>
      </x:c>
      <x:c r="E682" s="20" t="b">
        <x:v>1</x:v>
      </x:c>
    </x:row>
    <x:row r="683" ht="24" customHeight="1">
      <x:c r="A683" s="14" t="str">
        <x:v>es-colony-phanagoria-pleiades-854724-relationships</x:v>
      </x:c>
      <x:c r="B683" s="14" t="str">
        <x:v>colony-phanagoria</x:v>
      </x:c>
      <x:c r="C683" s="14" t="str">
        <x:v>src-pleiades-854724</x:v>
      </x:c>
      <x:c r="D683" s="14" t="str">
        <x:v>relationships</x:v>
      </x:c>
      <x:c r="E683" s="20" t="b">
        <x:v>1</x:v>
      </x:c>
    </x:row>
    <x:row r="684" ht="24" customHeight="1">
      <x:c r="A684" s="14" t="str">
        <x:v>es-colony-pharos-hvar-pleiades-197433-chronology</x:v>
      </x:c>
      <x:c r="B684" s="14" t="str">
        <x:v>colony-pharos-hvar</x:v>
      </x:c>
      <x:c r="C684" s="14" t="str">
        <x:v>src-pleiades-197433</x:v>
      </x:c>
      <x:c r="D684" s="14" t="str">
        <x:v>chronology</x:v>
      </x:c>
      <x:c r="E684" s="20" t="b">
        <x:v>1</x:v>
      </x:c>
    </x:row>
    <x:row r="685" ht="24" customHeight="1">
      <x:c r="A685" s="14" t="str">
        <x:v>es-colony-pharos-hvar-pleiades-197433-classification</x:v>
      </x:c>
      <x:c r="B685" s="14" t="str">
        <x:v>colony-pharos-hvar</x:v>
      </x:c>
      <x:c r="C685" s="14" t="str">
        <x:v>src-pleiades-197433</x:v>
      </x:c>
      <x:c r="D685" s="14" t="str">
        <x:v>classification</x:v>
      </x:c>
      <x:c r="E685" s="20" t="b">
        <x:v>1</x:v>
      </x:c>
    </x:row>
    <x:row r="686" ht="24" customHeight="1">
      <x:c r="A686" s="14" t="str">
        <x:v>es-colony-pharos-hvar-pleiades-197433-description</x:v>
      </x:c>
      <x:c r="B686" s="14" t="str">
        <x:v>colony-pharos-hvar</x:v>
      </x:c>
      <x:c r="C686" s="14" t="str">
        <x:v>src-pleiades-197433</x:v>
      </x:c>
      <x:c r="D686" s="14" t="str">
        <x:v>description</x:v>
      </x:c>
      <x:c r="E686" s="20" t="b">
        <x:v>1</x:v>
      </x:c>
    </x:row>
    <x:row r="687" ht="24" customHeight="1">
      <x:c r="A687" s="14" t="str">
        <x:v>es-colony-pharos-hvar-pleiades-197433-geometry</x:v>
      </x:c>
      <x:c r="B687" s="14" t="str">
        <x:v>colony-pharos-hvar</x:v>
      </x:c>
      <x:c r="C687" s="14" t="str">
        <x:v>src-pleiades-197433</x:v>
      </x:c>
      <x:c r="D687" s="14" t="str">
        <x:v>geometry</x:v>
      </x:c>
      <x:c r="E687" s="20" t="b">
        <x:v>1</x:v>
      </x:c>
    </x:row>
    <x:row r="688" ht="24" customHeight="1">
      <x:c r="A688" s="14" t="str">
        <x:v>es-colony-pharos-hvar-pleiades-197433-identity</x:v>
      </x:c>
      <x:c r="B688" s="14" t="str">
        <x:v>colony-pharos-hvar</x:v>
      </x:c>
      <x:c r="C688" s="14" t="str">
        <x:v>src-pleiades-197433</x:v>
      </x:c>
      <x:c r="D688" s="14" t="str">
        <x:v>identity</x:v>
      </x:c>
      <x:c r="E688" s="20" t="b">
        <x:v>1</x:v>
      </x:c>
    </x:row>
    <x:row r="689" ht="24" customHeight="1">
      <x:c r="A689" s="14" t="str">
        <x:v>es-colony-pharos-hvar-pleiades-197433-names</x:v>
      </x:c>
      <x:c r="B689" s="14" t="str">
        <x:v>colony-pharos-hvar</x:v>
      </x:c>
      <x:c r="C689" s="14" t="str">
        <x:v>src-pleiades-197433</x:v>
      </x:c>
      <x:c r="D689" s="14" t="str">
        <x:v>names</x:v>
      </x:c>
      <x:c r="E689" s="20" t="b">
        <x:v>1</x:v>
      </x:c>
    </x:row>
    <x:row r="690" ht="24" customHeight="1">
      <x:c r="A690" s="14" t="str">
        <x:v>es-colony-pharos-hvar-pleiades-197433-relationships</x:v>
      </x:c>
      <x:c r="B690" s="14" t="str">
        <x:v>colony-pharos-hvar</x:v>
      </x:c>
      <x:c r="C690" s="14" t="str">
        <x:v>src-pleiades-197433</x:v>
      </x:c>
      <x:c r="D690" s="14" t="str">
        <x:v>relationships</x:v>
      </x:c>
      <x:c r="E690" s="20" t="b">
        <x:v>1</x:v>
      </x:c>
    </x:row>
    <x:row r="691" ht="24" customHeight="1">
      <x:c r="A691" s="14" t="str">
        <x:v>es-colony-phaselis-pleiades-639051-chronology</x:v>
      </x:c>
      <x:c r="B691" s="14" t="str">
        <x:v>colony-phaselis</x:v>
      </x:c>
      <x:c r="C691" s="14" t="str">
        <x:v>src-pleiades-639051</x:v>
      </x:c>
      <x:c r="D691" s="14" t="str">
        <x:v>chronology</x:v>
      </x:c>
      <x:c r="E691" s="20" t="b">
        <x:v>1</x:v>
      </x:c>
    </x:row>
    <x:row r="692" ht="24" customHeight="1">
      <x:c r="A692" s="14" t="str">
        <x:v>es-colony-phaselis-pleiades-639051-classification</x:v>
      </x:c>
      <x:c r="B692" s="14" t="str">
        <x:v>colony-phaselis</x:v>
      </x:c>
      <x:c r="C692" s="14" t="str">
        <x:v>src-pleiades-639051</x:v>
      </x:c>
      <x:c r="D692" s="14" t="str">
        <x:v>classification</x:v>
      </x:c>
      <x:c r="E692" s="20" t="b">
        <x:v>1</x:v>
      </x:c>
    </x:row>
    <x:row r="693" ht="24" customHeight="1">
      <x:c r="A693" s="14" t="str">
        <x:v>es-colony-phaselis-pleiades-639051-description</x:v>
      </x:c>
      <x:c r="B693" s="14" t="str">
        <x:v>colony-phaselis</x:v>
      </x:c>
      <x:c r="C693" s="14" t="str">
        <x:v>src-pleiades-639051</x:v>
      </x:c>
      <x:c r="D693" s="14" t="str">
        <x:v>description</x:v>
      </x:c>
      <x:c r="E693" s="20" t="b">
        <x:v>1</x:v>
      </x:c>
    </x:row>
    <x:row r="694" ht="24" customHeight="1">
      <x:c r="A694" s="14" t="str">
        <x:v>es-colony-phaselis-pleiades-639051-geometry</x:v>
      </x:c>
      <x:c r="B694" s="14" t="str">
        <x:v>colony-phaselis</x:v>
      </x:c>
      <x:c r="C694" s="14" t="str">
        <x:v>src-pleiades-639051</x:v>
      </x:c>
      <x:c r="D694" s="14" t="str">
        <x:v>geometry</x:v>
      </x:c>
      <x:c r="E694" s="20" t="b">
        <x:v>1</x:v>
      </x:c>
    </x:row>
    <x:row r="695" ht="24" customHeight="1">
      <x:c r="A695" s="14" t="str">
        <x:v>es-colony-phaselis-pleiades-639051-identity</x:v>
      </x:c>
      <x:c r="B695" s="14" t="str">
        <x:v>colony-phaselis</x:v>
      </x:c>
      <x:c r="C695" s="14" t="str">
        <x:v>src-pleiades-639051</x:v>
      </x:c>
      <x:c r="D695" s="14" t="str">
        <x:v>identity</x:v>
      </x:c>
      <x:c r="E695" s="20" t="b">
        <x:v>1</x:v>
      </x:c>
    </x:row>
    <x:row r="696" ht="24" customHeight="1">
      <x:c r="A696" s="14" t="str">
        <x:v>es-colony-phaselis-pleiades-639051-names</x:v>
      </x:c>
      <x:c r="B696" s="14" t="str">
        <x:v>colony-phaselis</x:v>
      </x:c>
      <x:c r="C696" s="14" t="str">
        <x:v>src-pleiades-639051</x:v>
      </x:c>
      <x:c r="D696" s="14" t="str">
        <x:v>names</x:v>
      </x:c>
      <x:c r="E696" s="20" t="b">
        <x:v>1</x:v>
      </x:c>
    </x:row>
    <x:row r="697" ht="24" customHeight="1">
      <x:c r="A697" s="14" t="str">
        <x:v>es-colony-phaselis-pleiades-639051-relationships</x:v>
      </x:c>
      <x:c r="B697" s="14" t="str">
        <x:v>colony-phaselis</x:v>
      </x:c>
      <x:c r="C697" s="14" t="str">
        <x:v>src-pleiades-639051</x:v>
      </x:c>
      <x:c r="D697" s="14" t="str">
        <x:v>relationships</x:v>
      </x:c>
      <x:c r="E697" s="20" t="b">
        <x:v>1</x:v>
      </x:c>
    </x:row>
    <x:row r="698" ht="24" customHeight="1">
      <x:c r="A698" s="14" t="str">
        <x:v>es-colony-phasis-city-pleiades-857275-chronology</x:v>
      </x:c>
      <x:c r="B698" s="14" t="str">
        <x:v>colony-phasis-city</x:v>
      </x:c>
      <x:c r="C698" s="14" t="str">
        <x:v>src-pleiades-857275</x:v>
      </x:c>
      <x:c r="D698" s="14" t="str">
        <x:v>chronology</x:v>
      </x:c>
      <x:c r="E698" s="20" t="b">
        <x:v>1</x:v>
      </x:c>
    </x:row>
    <x:row r="699" ht="24" customHeight="1">
      <x:c r="A699" s="14" t="str">
        <x:v>es-colony-phasis-city-pleiades-857275-classification</x:v>
      </x:c>
      <x:c r="B699" s="14" t="str">
        <x:v>colony-phasis-city</x:v>
      </x:c>
      <x:c r="C699" s="14" t="str">
        <x:v>src-pleiades-857275</x:v>
      </x:c>
      <x:c r="D699" s="14" t="str">
        <x:v>classification</x:v>
      </x:c>
      <x:c r="E699" s="20" t="b">
        <x:v>1</x:v>
      </x:c>
    </x:row>
    <x:row r="700" ht="24" customHeight="1">
      <x:c r="A700" s="14" t="str">
        <x:v>es-colony-phasis-city-pleiades-857275-description</x:v>
      </x:c>
      <x:c r="B700" s="14" t="str">
        <x:v>colony-phasis-city</x:v>
      </x:c>
      <x:c r="C700" s="14" t="str">
        <x:v>src-pleiades-857275</x:v>
      </x:c>
      <x:c r="D700" s="14" t="str">
        <x:v>description</x:v>
      </x:c>
      <x:c r="E700" s="20" t="b">
        <x:v>1</x:v>
      </x:c>
    </x:row>
    <x:row r="701" ht="24" customHeight="1">
      <x:c r="A701" s="14" t="str">
        <x:v>es-colony-phasis-city-pleiades-857275-geometry</x:v>
      </x:c>
      <x:c r="B701" s="14" t="str">
        <x:v>colony-phasis-city</x:v>
      </x:c>
      <x:c r="C701" s="14" t="str">
        <x:v>src-pleiades-857275</x:v>
      </x:c>
      <x:c r="D701" s="14" t="str">
        <x:v>geometry</x:v>
      </x:c>
      <x:c r="E701" s="20" t="b">
        <x:v>1</x:v>
      </x:c>
    </x:row>
    <x:row r="702" ht="24" customHeight="1">
      <x:c r="A702" s="14" t="str">
        <x:v>es-colony-phasis-city-pleiades-857275-identity</x:v>
      </x:c>
      <x:c r="B702" s="14" t="str">
        <x:v>colony-phasis-city</x:v>
      </x:c>
      <x:c r="C702" s="14" t="str">
        <x:v>src-pleiades-857275</x:v>
      </x:c>
      <x:c r="D702" s="14" t="str">
        <x:v>identity</x:v>
      </x:c>
      <x:c r="E702" s="20" t="b">
        <x:v>1</x:v>
      </x:c>
    </x:row>
    <x:row r="703" ht="24" customHeight="1">
      <x:c r="A703" s="14" t="str">
        <x:v>es-colony-phasis-city-pleiades-857275-names</x:v>
      </x:c>
      <x:c r="B703" s="14" t="str">
        <x:v>colony-phasis-city</x:v>
      </x:c>
      <x:c r="C703" s="14" t="str">
        <x:v>src-pleiades-857275</x:v>
      </x:c>
      <x:c r="D703" s="14" t="str">
        <x:v>names</x:v>
      </x:c>
      <x:c r="E703" s="20" t="b">
        <x:v>1</x:v>
      </x:c>
    </x:row>
    <x:row r="704" ht="24" customHeight="1">
      <x:c r="A704" s="14" t="str">
        <x:v>es-colony-phasis-city-pleiades-857275-relationships</x:v>
      </x:c>
      <x:c r="B704" s="14" t="str">
        <x:v>colony-phasis-city</x:v>
      </x:c>
      <x:c r="C704" s="14" t="str">
        <x:v>src-pleiades-857275</x:v>
      </x:c>
      <x:c r="D704" s="14" t="str">
        <x:v>relationships</x:v>
      </x:c>
      <x:c r="E704" s="20" t="b">
        <x:v>1</x:v>
      </x:c>
    </x:row>
    <x:row r="705" ht="24" customHeight="1">
      <x:c r="A705" s="14" t="str">
        <x:v>es-colony-philippi-pleiades-501482-chronology</x:v>
      </x:c>
      <x:c r="B705" s="14" t="str">
        <x:v>colony-philippi</x:v>
      </x:c>
      <x:c r="C705" s="14" t="str">
        <x:v>src-pleiades-501482</x:v>
      </x:c>
      <x:c r="D705" s="14" t="str">
        <x:v>chronology</x:v>
      </x:c>
      <x:c r="E705" s="20" t="b">
        <x:v>1</x:v>
      </x:c>
    </x:row>
    <x:row r="706" ht="24" customHeight="1">
      <x:c r="A706" s="14" t="str">
        <x:v>es-colony-philippi-pleiades-501482-classification</x:v>
      </x:c>
      <x:c r="B706" s="14" t="str">
        <x:v>colony-philippi</x:v>
      </x:c>
      <x:c r="C706" s="14" t="str">
        <x:v>src-pleiades-501482</x:v>
      </x:c>
      <x:c r="D706" s="14" t="str">
        <x:v>classification</x:v>
      </x:c>
      <x:c r="E706" s="20" t="b">
        <x:v>1</x:v>
      </x:c>
    </x:row>
    <x:row r="707" ht="24" customHeight="1">
      <x:c r="A707" s="14" t="str">
        <x:v>es-colony-philippi-pleiades-501482-description</x:v>
      </x:c>
      <x:c r="B707" s="14" t="str">
        <x:v>colony-philippi</x:v>
      </x:c>
      <x:c r="C707" s="14" t="str">
        <x:v>src-pleiades-501482</x:v>
      </x:c>
      <x:c r="D707" s="14" t="str">
        <x:v>description</x:v>
      </x:c>
      <x:c r="E707" s="20" t="b">
        <x:v>1</x:v>
      </x:c>
    </x:row>
    <x:row r="708" ht="24" customHeight="1">
      <x:c r="A708" s="14" t="str">
        <x:v>es-colony-philippi-pleiades-501482-geometry</x:v>
      </x:c>
      <x:c r="B708" s="14" t="str">
        <x:v>colony-philippi</x:v>
      </x:c>
      <x:c r="C708" s="14" t="str">
        <x:v>src-pleiades-501482</x:v>
      </x:c>
      <x:c r="D708" s="14" t="str">
        <x:v>geometry</x:v>
      </x:c>
      <x:c r="E708" s="20" t="b">
        <x:v>1</x:v>
      </x:c>
    </x:row>
    <x:row r="709" ht="24" customHeight="1">
      <x:c r="A709" s="14" t="str">
        <x:v>es-colony-philippi-pleiades-501482-identity</x:v>
      </x:c>
      <x:c r="B709" s="14" t="str">
        <x:v>colony-philippi</x:v>
      </x:c>
      <x:c r="C709" s="14" t="str">
        <x:v>src-pleiades-501482</x:v>
      </x:c>
      <x:c r="D709" s="14" t="str">
        <x:v>identity</x:v>
      </x:c>
      <x:c r="E709" s="20" t="b">
        <x:v>1</x:v>
      </x:c>
    </x:row>
    <x:row r="710" ht="24" customHeight="1">
      <x:c r="A710" s="14" t="str">
        <x:v>es-colony-philippi-pleiades-501482-names</x:v>
      </x:c>
      <x:c r="B710" s="14" t="str">
        <x:v>colony-philippi</x:v>
      </x:c>
      <x:c r="C710" s="14" t="str">
        <x:v>src-pleiades-501482</x:v>
      </x:c>
      <x:c r="D710" s="14" t="str">
        <x:v>names</x:v>
      </x:c>
      <x:c r="E710" s="20" t="b">
        <x:v>1</x:v>
      </x:c>
    </x:row>
    <x:row r="711" ht="24" customHeight="1">
      <x:c r="A711" s="14" t="str">
        <x:v>es-colony-philippi-pleiades-501482-relationships</x:v>
      </x:c>
      <x:c r="B711" s="14" t="str">
        <x:v>colony-philippi</x:v>
      </x:c>
      <x:c r="C711" s="14" t="str">
        <x:v>src-pleiades-501482</x:v>
      </x:c>
      <x:c r="D711" s="14" t="str">
        <x:v>relationships</x:v>
      </x:c>
      <x:c r="E711" s="20" t="b">
        <x:v>1</x:v>
      </x:c>
    </x:row>
    <x:row r="712" ht="24" customHeight="1">
      <x:c r="A712" s="14" t="str">
        <x:v>es-colony-phocaea-pleiades-550823-chronology</x:v>
      </x:c>
      <x:c r="B712" s="14" t="str">
        <x:v>colony-phocaea</x:v>
      </x:c>
      <x:c r="C712" s="14" t="str">
        <x:v>src-pleiades-550823</x:v>
      </x:c>
      <x:c r="D712" s="14" t="str">
        <x:v>chronology</x:v>
      </x:c>
      <x:c r="E712" s="20" t="b">
        <x:v>1</x:v>
      </x:c>
    </x:row>
    <x:row r="713" ht="24" customHeight="1">
      <x:c r="A713" s="14" t="str">
        <x:v>es-colony-phocaea-pleiades-550823-classification</x:v>
      </x:c>
      <x:c r="B713" s="14" t="str">
        <x:v>colony-phocaea</x:v>
      </x:c>
      <x:c r="C713" s="14" t="str">
        <x:v>src-pleiades-550823</x:v>
      </x:c>
      <x:c r="D713" s="14" t="str">
        <x:v>classification</x:v>
      </x:c>
      <x:c r="E713" s="20" t="b">
        <x:v>1</x:v>
      </x:c>
    </x:row>
    <x:row r="714" ht="24" customHeight="1">
      <x:c r="A714" s="14" t="str">
        <x:v>es-colony-phocaea-pleiades-550823-description</x:v>
      </x:c>
      <x:c r="B714" s="14" t="str">
        <x:v>colony-phocaea</x:v>
      </x:c>
      <x:c r="C714" s="14" t="str">
        <x:v>src-pleiades-550823</x:v>
      </x:c>
      <x:c r="D714" s="14" t="str">
        <x:v>description</x:v>
      </x:c>
      <x:c r="E714" s="20" t="b">
        <x:v>1</x:v>
      </x:c>
    </x:row>
    <x:row r="715" ht="24" customHeight="1">
      <x:c r="A715" s="14" t="str">
        <x:v>es-colony-phocaea-pleiades-550823-geometry</x:v>
      </x:c>
      <x:c r="B715" s="14" t="str">
        <x:v>colony-phocaea</x:v>
      </x:c>
      <x:c r="C715" s="14" t="str">
        <x:v>src-pleiades-550823</x:v>
      </x:c>
      <x:c r="D715" s="14" t="str">
        <x:v>geometry</x:v>
      </x:c>
      <x:c r="E715" s="20" t="b">
        <x:v>1</x:v>
      </x:c>
    </x:row>
    <x:row r="716" ht="24" customHeight="1">
      <x:c r="A716" s="14" t="str">
        <x:v>es-colony-phocaea-pleiades-550823-identity</x:v>
      </x:c>
      <x:c r="B716" s="14" t="str">
        <x:v>colony-phocaea</x:v>
      </x:c>
      <x:c r="C716" s="14" t="str">
        <x:v>src-pleiades-550823</x:v>
      </x:c>
      <x:c r="D716" s="14" t="str">
        <x:v>identity</x:v>
      </x:c>
      <x:c r="E716" s="20" t="b">
        <x:v>1</x:v>
      </x:c>
    </x:row>
    <x:row r="717" ht="24" customHeight="1">
      <x:c r="A717" s="14" t="str">
        <x:v>es-colony-phocaea-pleiades-550823-names</x:v>
      </x:c>
      <x:c r="B717" s="14" t="str">
        <x:v>colony-phocaea</x:v>
      </x:c>
      <x:c r="C717" s="14" t="str">
        <x:v>src-pleiades-550823</x:v>
      </x:c>
      <x:c r="D717" s="14" t="str">
        <x:v>names</x:v>
      </x:c>
      <x:c r="E717" s="20" t="b">
        <x:v>1</x:v>
      </x:c>
    </x:row>
    <x:row r="718" ht="24" customHeight="1">
      <x:c r="A718" s="14" t="str">
        <x:v>es-colony-phocaea-pleiades-550823-relationships</x:v>
      </x:c>
      <x:c r="B718" s="14" t="str">
        <x:v>colony-phocaea</x:v>
      </x:c>
      <x:c r="C718" s="14" t="str">
        <x:v>src-pleiades-550823</x:v>
      </x:c>
      <x:c r="D718" s="14" t="str">
        <x:v>relationships</x:v>
      </x:c>
      <x:c r="E718" s="20" t="b">
        <x:v>1</x:v>
      </x:c>
    </x:row>
    <x:row r="719" ht="24" customHeight="1">
      <x:c r="A719" s="14" t="str">
        <x:v>es-colony-poseidonia-pleiades-442733-chronology</x:v>
      </x:c>
      <x:c r="B719" s="14" t="str">
        <x:v>colony-poseidonia</x:v>
      </x:c>
      <x:c r="C719" s="14" t="str">
        <x:v>src-pleiades-442733</x:v>
      </x:c>
      <x:c r="D719" s="14" t="str">
        <x:v>chronology</x:v>
      </x:c>
      <x:c r="E719" s="20" t="b">
        <x:v>1</x:v>
      </x:c>
    </x:row>
    <x:row r="720" ht="24" customHeight="1">
      <x:c r="A720" s="14" t="str">
        <x:v>es-colony-poseidonia-pleiades-442733-classification</x:v>
      </x:c>
      <x:c r="B720" s="14" t="str">
        <x:v>colony-poseidonia</x:v>
      </x:c>
      <x:c r="C720" s="14" t="str">
        <x:v>src-pleiades-442733</x:v>
      </x:c>
      <x:c r="D720" s="14" t="str">
        <x:v>classification</x:v>
      </x:c>
      <x:c r="E720" s="20" t="b">
        <x:v>1</x:v>
      </x:c>
    </x:row>
    <x:row r="721" ht="24" customHeight="1">
      <x:c r="A721" s="14" t="str">
        <x:v>es-colony-poseidonia-pleiades-442733-description</x:v>
      </x:c>
      <x:c r="B721" s="14" t="str">
        <x:v>colony-poseidonia</x:v>
      </x:c>
      <x:c r="C721" s="14" t="str">
        <x:v>src-pleiades-442733</x:v>
      </x:c>
      <x:c r="D721" s="14" t="str">
        <x:v>description</x:v>
      </x:c>
      <x:c r="E721" s="20" t="b">
        <x:v>1</x:v>
      </x:c>
    </x:row>
    <x:row r="722" ht="24" customHeight="1">
      <x:c r="A722" s="14" t="str">
        <x:v>es-colony-poseidonia-pleiades-442733-geometry</x:v>
      </x:c>
      <x:c r="B722" s="14" t="str">
        <x:v>colony-poseidonia</x:v>
      </x:c>
      <x:c r="C722" s="14" t="str">
        <x:v>src-pleiades-442733</x:v>
      </x:c>
      <x:c r="D722" s="14" t="str">
        <x:v>geometry</x:v>
      </x:c>
      <x:c r="E722" s="20" t="b">
        <x:v>1</x:v>
      </x:c>
    </x:row>
    <x:row r="723" ht="24" customHeight="1">
      <x:c r="A723" s="14" t="str">
        <x:v>es-colony-poseidonia-pleiades-442733-identity</x:v>
      </x:c>
      <x:c r="B723" s="14" t="str">
        <x:v>colony-poseidonia</x:v>
      </x:c>
      <x:c r="C723" s="14" t="str">
        <x:v>src-pleiades-442733</x:v>
      </x:c>
      <x:c r="D723" s="14" t="str">
        <x:v>identity</x:v>
      </x:c>
      <x:c r="E723" s="20" t="b">
        <x:v>1</x:v>
      </x:c>
    </x:row>
    <x:row r="724" ht="24" customHeight="1">
      <x:c r="A724" s="14" t="str">
        <x:v>es-colony-poseidonia-pleiades-442733-names</x:v>
      </x:c>
      <x:c r="B724" s="14" t="str">
        <x:v>colony-poseidonia</x:v>
      </x:c>
      <x:c r="C724" s="14" t="str">
        <x:v>src-pleiades-442733</x:v>
      </x:c>
      <x:c r="D724" s="14" t="str">
        <x:v>names</x:v>
      </x:c>
      <x:c r="E724" s="20" t="b">
        <x:v>1</x:v>
      </x:c>
    </x:row>
    <x:row r="725" ht="24" customHeight="1">
      <x:c r="A725" s="14" t="str">
        <x:v>es-colony-poseidonia-pleiades-442733-relationships</x:v>
      </x:c>
      <x:c r="B725" s="14" t="str">
        <x:v>colony-poseidonia</x:v>
      </x:c>
      <x:c r="C725" s="14" t="str">
        <x:v>src-pleiades-442733</x:v>
      </x:c>
      <x:c r="D725" s="14" t="str">
        <x:v>relationships</x:v>
      </x:c>
      <x:c r="E725" s="20" t="b">
        <x:v>1</x:v>
      </x:c>
    </x:row>
    <x:row r="726" ht="24" customHeight="1">
      <x:c r="A726" s="14" t="str">
        <x:v>es-colony-priene-pleiades-599905-chronology</x:v>
      </x:c>
      <x:c r="B726" s="14" t="str">
        <x:v>colony-priene</x:v>
      </x:c>
      <x:c r="C726" s="14" t="str">
        <x:v>src-pleiades-599905</x:v>
      </x:c>
      <x:c r="D726" s="14" t="str">
        <x:v>chronology</x:v>
      </x:c>
      <x:c r="E726" s="20" t="b">
        <x:v>1</x:v>
      </x:c>
    </x:row>
    <x:row r="727" ht="24" customHeight="1">
      <x:c r="A727" s="14" t="str">
        <x:v>es-colony-priene-pleiades-599905-classification</x:v>
      </x:c>
      <x:c r="B727" s="14" t="str">
        <x:v>colony-priene</x:v>
      </x:c>
      <x:c r="C727" s="14" t="str">
        <x:v>src-pleiades-599905</x:v>
      </x:c>
      <x:c r="D727" s="14" t="str">
        <x:v>classification</x:v>
      </x:c>
      <x:c r="E727" s="20" t="b">
        <x:v>1</x:v>
      </x:c>
    </x:row>
    <x:row r="728" ht="24" customHeight="1">
      <x:c r="A728" s="14" t="str">
        <x:v>es-colony-priene-pleiades-599905-description</x:v>
      </x:c>
      <x:c r="B728" s="14" t="str">
        <x:v>colony-priene</x:v>
      </x:c>
      <x:c r="C728" s="14" t="str">
        <x:v>src-pleiades-599905</x:v>
      </x:c>
      <x:c r="D728" s="14" t="str">
        <x:v>description</x:v>
      </x:c>
      <x:c r="E728" s="20" t="b">
        <x:v>1</x:v>
      </x:c>
    </x:row>
    <x:row r="729" ht="24" customHeight="1">
      <x:c r="A729" s="14" t="str">
        <x:v>es-colony-priene-pleiades-599905-geometry</x:v>
      </x:c>
      <x:c r="B729" s="14" t="str">
        <x:v>colony-priene</x:v>
      </x:c>
      <x:c r="C729" s="14" t="str">
        <x:v>src-pleiades-599905</x:v>
      </x:c>
      <x:c r="D729" s="14" t="str">
        <x:v>geometry</x:v>
      </x:c>
      <x:c r="E729" s="20" t="b">
        <x:v>1</x:v>
      </x:c>
    </x:row>
    <x:row r="730" ht="24" customHeight="1">
      <x:c r="A730" s="14" t="str">
        <x:v>es-colony-priene-pleiades-599905-identity</x:v>
      </x:c>
      <x:c r="B730" s="14" t="str">
        <x:v>colony-priene</x:v>
      </x:c>
      <x:c r="C730" s="14" t="str">
        <x:v>src-pleiades-599905</x:v>
      </x:c>
      <x:c r="D730" s="14" t="str">
        <x:v>identity</x:v>
      </x:c>
      <x:c r="E730" s="20" t="b">
        <x:v>1</x:v>
      </x:c>
    </x:row>
    <x:row r="731" ht="24" customHeight="1">
      <x:c r="A731" s="14" t="str">
        <x:v>es-colony-priene-pleiades-599905-names</x:v>
      </x:c>
      <x:c r="B731" s="14" t="str">
        <x:v>colony-priene</x:v>
      </x:c>
      <x:c r="C731" s="14" t="str">
        <x:v>src-pleiades-599905</x:v>
      </x:c>
      <x:c r="D731" s="14" t="str">
        <x:v>names</x:v>
      </x:c>
      <x:c r="E731" s="20" t="b">
        <x:v>1</x:v>
      </x:c>
    </x:row>
    <x:row r="732" ht="24" customHeight="1">
      <x:c r="A732" s="14" t="str">
        <x:v>es-colony-priene-pleiades-599905-relationships</x:v>
      </x:c>
      <x:c r="B732" s="14" t="str">
        <x:v>colony-priene</x:v>
      </x:c>
      <x:c r="C732" s="14" t="str">
        <x:v>src-pleiades-599905</x:v>
      </x:c>
      <x:c r="D732" s="14" t="str">
        <x:v>relationships</x:v>
      </x:c>
      <x:c r="E732" s="20" t="b">
        <x:v>1</x:v>
      </x:c>
    </x:row>
    <x:row r="733" ht="24" customHeight="1">
      <x:c r="A733" s="14" t="str">
        <x:v>es-colony-rhegion-pleiades-452416-chronology</x:v>
      </x:c>
      <x:c r="B733" s="14" t="str">
        <x:v>colony-rhegion</x:v>
      </x:c>
      <x:c r="C733" s="14" t="str">
        <x:v>src-pleiades-452416</x:v>
      </x:c>
      <x:c r="D733" s="14" t="str">
        <x:v>chronology</x:v>
      </x:c>
      <x:c r="E733" s="20" t="b">
        <x:v>1</x:v>
      </x:c>
    </x:row>
    <x:row r="734" ht="24" customHeight="1">
      <x:c r="A734" s="14" t="str">
        <x:v>es-colony-rhegion-pleiades-452416-classification</x:v>
      </x:c>
      <x:c r="B734" s="14" t="str">
        <x:v>colony-rhegion</x:v>
      </x:c>
      <x:c r="C734" s="14" t="str">
        <x:v>src-pleiades-452416</x:v>
      </x:c>
      <x:c r="D734" s="14" t="str">
        <x:v>classification</x:v>
      </x:c>
      <x:c r="E734" s="20" t="b">
        <x:v>1</x:v>
      </x:c>
    </x:row>
    <x:row r="735" ht="24" customHeight="1">
      <x:c r="A735" s="14" t="str">
        <x:v>es-colony-rhegion-pleiades-452416-description</x:v>
      </x:c>
      <x:c r="B735" s="14" t="str">
        <x:v>colony-rhegion</x:v>
      </x:c>
      <x:c r="C735" s="14" t="str">
        <x:v>src-pleiades-452416</x:v>
      </x:c>
      <x:c r="D735" s="14" t="str">
        <x:v>description</x:v>
      </x:c>
      <x:c r="E735" s="20" t="b">
        <x:v>1</x:v>
      </x:c>
    </x:row>
    <x:row r="736" ht="24" customHeight="1">
      <x:c r="A736" s="14" t="str">
        <x:v>es-colony-rhegion-pleiades-452416-geometry</x:v>
      </x:c>
      <x:c r="B736" s="14" t="str">
        <x:v>colony-rhegion</x:v>
      </x:c>
      <x:c r="C736" s="14" t="str">
        <x:v>src-pleiades-452416</x:v>
      </x:c>
      <x:c r="D736" s="14" t="str">
        <x:v>geometry</x:v>
      </x:c>
      <x:c r="E736" s="20" t="b">
        <x:v>1</x:v>
      </x:c>
    </x:row>
    <x:row r="737" ht="24" customHeight="1">
      <x:c r="A737" s="14" t="str">
        <x:v>es-colony-rhegion-pleiades-452416-identity</x:v>
      </x:c>
      <x:c r="B737" s="14" t="str">
        <x:v>colony-rhegion</x:v>
      </x:c>
      <x:c r="C737" s="14" t="str">
        <x:v>src-pleiades-452416</x:v>
      </x:c>
      <x:c r="D737" s="14" t="str">
        <x:v>identity</x:v>
      </x:c>
      <x:c r="E737" s="20" t="b">
        <x:v>1</x:v>
      </x:c>
    </x:row>
    <x:row r="738" ht="24" customHeight="1">
      <x:c r="A738" s="14" t="str">
        <x:v>es-colony-rhegion-pleiades-452416-names</x:v>
      </x:c>
      <x:c r="B738" s="14" t="str">
        <x:v>colony-rhegion</x:v>
      </x:c>
      <x:c r="C738" s="14" t="str">
        <x:v>src-pleiades-452416</x:v>
      </x:c>
      <x:c r="D738" s="14" t="str">
        <x:v>names</x:v>
      </x:c>
      <x:c r="E738" s="20" t="b">
        <x:v>1</x:v>
      </x:c>
    </x:row>
    <x:row r="739" ht="24" customHeight="1">
      <x:c r="A739" s="14" t="str">
        <x:v>es-colony-rhegion-pleiades-452416-relationships</x:v>
      </x:c>
      <x:c r="B739" s="14" t="str">
        <x:v>colony-rhegion</x:v>
      </x:c>
      <x:c r="C739" s="14" t="str">
        <x:v>src-pleiades-452416</x:v>
      </x:c>
      <x:c r="D739" s="14" t="str">
        <x:v>relationships</x:v>
      </x:c>
      <x:c r="E739" s="20" t="b">
        <x:v>1</x:v>
      </x:c>
    </x:row>
    <x:row r="740" ht="24" customHeight="1">
      <x:c r="A740" s="14" t="str">
        <x:v>es-colony-selinus-pleiades-462489-chronology</x:v>
      </x:c>
      <x:c r="B740" s="14" t="str">
        <x:v>colony-selinus</x:v>
      </x:c>
      <x:c r="C740" s="14" t="str">
        <x:v>src-pleiades-462489</x:v>
      </x:c>
      <x:c r="D740" s="14" t="str">
        <x:v>chronology</x:v>
      </x:c>
      <x:c r="E740" s="20" t="b">
        <x:v>1</x:v>
      </x:c>
    </x:row>
    <x:row r="741" ht="24" customHeight="1">
      <x:c r="A741" s="14" t="str">
        <x:v>es-colony-selinus-pleiades-462489-classification</x:v>
      </x:c>
      <x:c r="B741" s="14" t="str">
        <x:v>colony-selinus</x:v>
      </x:c>
      <x:c r="C741" s="14" t="str">
        <x:v>src-pleiades-462489</x:v>
      </x:c>
      <x:c r="D741" s="14" t="str">
        <x:v>classification</x:v>
      </x:c>
      <x:c r="E741" s="20" t="b">
        <x:v>1</x:v>
      </x:c>
    </x:row>
    <x:row r="742" ht="24" customHeight="1">
      <x:c r="A742" s="14" t="str">
        <x:v>es-colony-selinus-pleiades-462489-description</x:v>
      </x:c>
      <x:c r="B742" s="14" t="str">
        <x:v>colony-selinus</x:v>
      </x:c>
      <x:c r="C742" s="14" t="str">
        <x:v>src-pleiades-462489</x:v>
      </x:c>
      <x:c r="D742" s="14" t="str">
        <x:v>description</x:v>
      </x:c>
      <x:c r="E742" s="20" t="b">
        <x:v>1</x:v>
      </x:c>
    </x:row>
    <x:row r="743" ht="24" customHeight="1">
      <x:c r="A743" s="14" t="str">
        <x:v>es-colony-selinus-pleiades-462489-geometry</x:v>
      </x:c>
      <x:c r="B743" s="14" t="str">
        <x:v>colony-selinus</x:v>
      </x:c>
      <x:c r="C743" s="14" t="str">
        <x:v>src-pleiades-462489</x:v>
      </x:c>
      <x:c r="D743" s="14" t="str">
        <x:v>geometry</x:v>
      </x:c>
      <x:c r="E743" s="20" t="b">
        <x:v>1</x:v>
      </x:c>
    </x:row>
    <x:row r="744" ht="24" customHeight="1">
      <x:c r="A744" s="14" t="str">
        <x:v>es-colony-selinus-pleiades-462489-identity</x:v>
      </x:c>
      <x:c r="B744" s="14" t="str">
        <x:v>colony-selinus</x:v>
      </x:c>
      <x:c r="C744" s="14" t="str">
        <x:v>src-pleiades-462489</x:v>
      </x:c>
      <x:c r="D744" s="14" t="str">
        <x:v>identity</x:v>
      </x:c>
      <x:c r="E744" s="20" t="b">
        <x:v>1</x:v>
      </x:c>
    </x:row>
    <x:row r="745" ht="24" customHeight="1">
      <x:c r="A745" s="14" t="str">
        <x:v>es-colony-selinus-pleiades-462489-names</x:v>
      </x:c>
      <x:c r="B745" s="14" t="str">
        <x:v>colony-selinus</x:v>
      </x:c>
      <x:c r="C745" s="14" t="str">
        <x:v>src-pleiades-462489</x:v>
      </x:c>
      <x:c r="D745" s="14" t="str">
        <x:v>names</x:v>
      </x:c>
      <x:c r="E745" s="20" t="b">
        <x:v>1</x:v>
      </x:c>
    </x:row>
    <x:row r="746" ht="24" customHeight="1">
      <x:c r="A746" s="14" t="str">
        <x:v>es-colony-selinus-pleiades-462489-relationships</x:v>
      </x:c>
      <x:c r="B746" s="14" t="str">
        <x:v>colony-selinus</x:v>
      </x:c>
      <x:c r="C746" s="14" t="str">
        <x:v>src-pleiades-462489</x:v>
      </x:c>
      <x:c r="D746" s="14" t="str">
        <x:v>relationships</x:v>
      </x:c>
      <x:c r="E746" s="20" t="b">
        <x:v>1</x:v>
      </x:c>
    </x:row>
    <x:row r="747" ht="24" customHeight="1">
      <x:c r="A747" s="14" t="str">
        <x:v>es-colony-sinope-pleiades-857321-chronology</x:v>
      </x:c>
      <x:c r="B747" s="14" t="str">
        <x:v>colony-sinope</x:v>
      </x:c>
      <x:c r="C747" s="14" t="str">
        <x:v>src-pleiades-857321</x:v>
      </x:c>
      <x:c r="D747" s="14" t="str">
        <x:v>chronology</x:v>
      </x:c>
      <x:c r="E747" s="20" t="b">
        <x:v>1</x:v>
      </x:c>
    </x:row>
    <x:row r="748" ht="24" customHeight="1">
      <x:c r="A748" s="14" t="str">
        <x:v>es-colony-sinope-pleiades-857321-classification</x:v>
      </x:c>
      <x:c r="B748" s="14" t="str">
        <x:v>colony-sinope</x:v>
      </x:c>
      <x:c r="C748" s="14" t="str">
        <x:v>src-pleiades-857321</x:v>
      </x:c>
      <x:c r="D748" s="14" t="str">
        <x:v>classification</x:v>
      </x:c>
      <x:c r="E748" s="20" t="b">
        <x:v>1</x:v>
      </x:c>
    </x:row>
    <x:row r="749" ht="24" customHeight="1">
      <x:c r="A749" s="14" t="str">
        <x:v>es-colony-sinope-pleiades-857321-description</x:v>
      </x:c>
      <x:c r="B749" s="14" t="str">
        <x:v>colony-sinope</x:v>
      </x:c>
      <x:c r="C749" s="14" t="str">
        <x:v>src-pleiades-857321</x:v>
      </x:c>
      <x:c r="D749" s="14" t="str">
        <x:v>description</x:v>
      </x:c>
      <x:c r="E749" s="20" t="b">
        <x:v>1</x:v>
      </x:c>
    </x:row>
    <x:row r="750" ht="24" customHeight="1">
      <x:c r="A750" s="14" t="str">
        <x:v>es-colony-sinope-pleiades-857321-geometry</x:v>
      </x:c>
      <x:c r="B750" s="14" t="str">
        <x:v>colony-sinope</x:v>
      </x:c>
      <x:c r="C750" s="14" t="str">
        <x:v>src-pleiades-857321</x:v>
      </x:c>
      <x:c r="D750" s="14" t="str">
        <x:v>geometry</x:v>
      </x:c>
      <x:c r="E750" s="20" t="b">
        <x:v>1</x:v>
      </x:c>
    </x:row>
    <x:row r="751" ht="24" customHeight="1">
      <x:c r="A751" s="14" t="str">
        <x:v>es-colony-sinope-pleiades-857321-identity</x:v>
      </x:c>
      <x:c r="B751" s="14" t="str">
        <x:v>colony-sinope</x:v>
      </x:c>
      <x:c r="C751" s="14" t="str">
        <x:v>src-pleiades-857321</x:v>
      </x:c>
      <x:c r="D751" s="14" t="str">
        <x:v>identity</x:v>
      </x:c>
      <x:c r="E751" s="20" t="b">
        <x:v>1</x:v>
      </x:c>
    </x:row>
    <x:row r="752" ht="24" customHeight="1">
      <x:c r="A752" s="14" t="str">
        <x:v>es-colony-sinope-pleiades-857321-names</x:v>
      </x:c>
      <x:c r="B752" s="14" t="str">
        <x:v>colony-sinope</x:v>
      </x:c>
      <x:c r="C752" s="14" t="str">
        <x:v>src-pleiades-857321</x:v>
      </x:c>
      <x:c r="D752" s="14" t="str">
        <x:v>names</x:v>
      </x:c>
      <x:c r="E752" s="20" t="b">
        <x:v>1</x:v>
      </x:c>
    </x:row>
    <x:row r="753" ht="24" customHeight="1">
      <x:c r="A753" s="14" t="str">
        <x:v>es-colony-sinope-pleiades-857321-relationships</x:v>
      </x:c>
      <x:c r="B753" s="14" t="str">
        <x:v>colony-sinope</x:v>
      </x:c>
      <x:c r="C753" s="14" t="str">
        <x:v>src-pleiades-857321</x:v>
      </x:c>
      <x:c r="D753" s="14" t="str">
        <x:v>relationships</x:v>
      </x:c>
      <x:c r="E753" s="20" t="b">
        <x:v>1</x:v>
      </x:c>
    </x:row>
    <x:row r="754" ht="24" customHeight="1">
      <x:c r="A754" s="14" t="str">
        <x:v>es-colony-sybaris-pleiades-452457-chronology</x:v>
      </x:c>
      <x:c r="B754" s="14" t="str">
        <x:v>colony-sybaris</x:v>
      </x:c>
      <x:c r="C754" s="14" t="str">
        <x:v>src-pleiades-452457</x:v>
      </x:c>
      <x:c r="D754" s="14" t="str">
        <x:v>chronology</x:v>
      </x:c>
      <x:c r="E754" s="20" t="b">
        <x:v>1</x:v>
      </x:c>
    </x:row>
    <x:row r="755" ht="24" customHeight="1">
      <x:c r="A755" s="14" t="str">
        <x:v>es-colony-sybaris-pleiades-452457-classification</x:v>
      </x:c>
      <x:c r="B755" s="14" t="str">
        <x:v>colony-sybaris</x:v>
      </x:c>
      <x:c r="C755" s="14" t="str">
        <x:v>src-pleiades-452457</x:v>
      </x:c>
      <x:c r="D755" s="14" t="str">
        <x:v>classification</x:v>
      </x:c>
      <x:c r="E755" s="20" t="b">
        <x:v>1</x:v>
      </x:c>
    </x:row>
    <x:row r="756" ht="24" customHeight="1">
      <x:c r="A756" s="14" t="str">
        <x:v>es-colony-sybaris-pleiades-452457-description</x:v>
      </x:c>
      <x:c r="B756" s="14" t="str">
        <x:v>colony-sybaris</x:v>
      </x:c>
      <x:c r="C756" s="14" t="str">
        <x:v>src-pleiades-452457</x:v>
      </x:c>
      <x:c r="D756" s="14" t="str">
        <x:v>description</x:v>
      </x:c>
      <x:c r="E756" s="20" t="b">
        <x:v>1</x:v>
      </x:c>
    </x:row>
    <x:row r="757" ht="24" customHeight="1">
      <x:c r="A757" s="14" t="str">
        <x:v>es-colony-sybaris-pleiades-452457-geometry</x:v>
      </x:c>
      <x:c r="B757" s="14" t="str">
        <x:v>colony-sybaris</x:v>
      </x:c>
      <x:c r="C757" s="14" t="str">
        <x:v>src-pleiades-452457</x:v>
      </x:c>
      <x:c r="D757" s="14" t="str">
        <x:v>geometry</x:v>
      </x:c>
      <x:c r="E757" s="20" t="b">
        <x:v>1</x:v>
      </x:c>
    </x:row>
    <x:row r="758" ht="24" customHeight="1">
      <x:c r="A758" s="14" t="str">
        <x:v>es-colony-sybaris-pleiades-452457-identity</x:v>
      </x:c>
      <x:c r="B758" s="14" t="str">
        <x:v>colony-sybaris</x:v>
      </x:c>
      <x:c r="C758" s="14" t="str">
        <x:v>src-pleiades-452457</x:v>
      </x:c>
      <x:c r="D758" s="14" t="str">
        <x:v>identity</x:v>
      </x:c>
      <x:c r="E758" s="20" t="b">
        <x:v>1</x:v>
      </x:c>
    </x:row>
    <x:row r="759" ht="24" customHeight="1">
      <x:c r="A759" s="14" t="str">
        <x:v>es-colony-sybaris-pleiades-452457-names</x:v>
      </x:c>
      <x:c r="B759" s="14" t="str">
        <x:v>colony-sybaris</x:v>
      </x:c>
      <x:c r="C759" s="14" t="str">
        <x:v>src-pleiades-452457</x:v>
      </x:c>
      <x:c r="D759" s="14" t="str">
        <x:v>names</x:v>
      </x:c>
      <x:c r="E759" s="20" t="b">
        <x:v>1</x:v>
      </x:c>
    </x:row>
    <x:row r="760" ht="24" customHeight="1">
      <x:c r="A760" s="14" t="str">
        <x:v>es-colony-sybaris-pleiades-452457-relationships</x:v>
      </x:c>
      <x:c r="B760" s="14" t="str">
        <x:v>colony-sybaris</x:v>
      </x:c>
      <x:c r="C760" s="14" t="str">
        <x:v>src-pleiades-452457</x:v>
      </x:c>
      <x:c r="D760" s="14" t="str">
        <x:v>relationships</x:v>
      </x:c>
      <x:c r="E760" s="20" t="b">
        <x:v>1</x:v>
      </x:c>
    </x:row>
    <x:row r="761" ht="24" customHeight="1">
      <x:c r="A761" s="14" t="str">
        <x:v>es-colony-syracuse-pleiades-462503-chronology</x:v>
      </x:c>
      <x:c r="B761" s="14" t="str">
        <x:v>colony-syracuse</x:v>
      </x:c>
      <x:c r="C761" s="14" t="str">
        <x:v>src-pleiades-462503</x:v>
      </x:c>
      <x:c r="D761" s="14" t="str">
        <x:v>chronology</x:v>
      </x:c>
      <x:c r="E761" s="20" t="b">
        <x:v>1</x:v>
      </x:c>
    </x:row>
    <x:row r="762" ht="24" customHeight="1">
      <x:c r="A762" s="14" t="str">
        <x:v>es-colony-syracuse-pleiades-462503-classification</x:v>
      </x:c>
      <x:c r="B762" s="14" t="str">
        <x:v>colony-syracuse</x:v>
      </x:c>
      <x:c r="C762" s="14" t="str">
        <x:v>src-pleiades-462503</x:v>
      </x:c>
      <x:c r="D762" s="14" t="str">
        <x:v>classification</x:v>
      </x:c>
      <x:c r="E762" s="20" t="b">
        <x:v>1</x:v>
      </x:c>
    </x:row>
    <x:row r="763" ht="24" customHeight="1">
      <x:c r="A763" s="14" t="str">
        <x:v>es-colony-syracuse-pleiades-462503-description</x:v>
      </x:c>
      <x:c r="B763" s="14" t="str">
        <x:v>colony-syracuse</x:v>
      </x:c>
      <x:c r="C763" s="14" t="str">
        <x:v>src-pleiades-462503</x:v>
      </x:c>
      <x:c r="D763" s="14" t="str">
        <x:v>description</x:v>
      </x:c>
      <x:c r="E763" s="20" t="b">
        <x:v>1</x:v>
      </x:c>
    </x:row>
    <x:row r="764" ht="24" customHeight="1">
      <x:c r="A764" s="14" t="str">
        <x:v>es-colony-syracuse-pleiades-462503-geometry</x:v>
      </x:c>
      <x:c r="B764" s="14" t="str">
        <x:v>colony-syracuse</x:v>
      </x:c>
      <x:c r="C764" s="14" t="str">
        <x:v>src-pleiades-462503</x:v>
      </x:c>
      <x:c r="D764" s="14" t="str">
        <x:v>geometry</x:v>
      </x:c>
      <x:c r="E764" s="20" t="b">
        <x:v>1</x:v>
      </x:c>
    </x:row>
    <x:row r="765" ht="24" customHeight="1">
      <x:c r="A765" s="14" t="str">
        <x:v>es-colony-syracuse-pleiades-462503-identity</x:v>
      </x:c>
      <x:c r="B765" s="14" t="str">
        <x:v>colony-syracuse</x:v>
      </x:c>
      <x:c r="C765" s="14" t="str">
        <x:v>src-pleiades-462503</x:v>
      </x:c>
      <x:c r="D765" s="14" t="str">
        <x:v>identity</x:v>
      </x:c>
      <x:c r="E765" s="20" t="b">
        <x:v>1</x:v>
      </x:c>
    </x:row>
    <x:row r="766" ht="24" customHeight="1">
      <x:c r="A766" s="14" t="str">
        <x:v>es-colony-syracuse-pleiades-462503-names</x:v>
      </x:c>
      <x:c r="B766" s="14" t="str">
        <x:v>colony-syracuse</x:v>
      </x:c>
      <x:c r="C766" s="14" t="str">
        <x:v>src-pleiades-462503</x:v>
      </x:c>
      <x:c r="D766" s="14" t="str">
        <x:v>names</x:v>
      </x:c>
      <x:c r="E766" s="20" t="b">
        <x:v>1</x:v>
      </x:c>
    </x:row>
    <x:row r="767" ht="24" customHeight="1">
      <x:c r="A767" s="14" t="str">
        <x:v>es-colony-syracuse-pleiades-462503-relationships</x:v>
      </x:c>
      <x:c r="B767" s="14" t="str">
        <x:v>colony-syracuse</x:v>
      </x:c>
      <x:c r="C767" s="14" t="str">
        <x:v>src-pleiades-462503</x:v>
      </x:c>
      <x:c r="D767" s="14" t="str">
        <x:v>relationships</x:v>
      </x:c>
      <x:c r="E767" s="20" t="b">
        <x:v>1</x:v>
      </x:c>
    </x:row>
    <x:row r="768" ht="24" customHeight="1">
      <x:c r="A768" s="14" t="str">
        <x:v>es-colony-tanais-pleiades-825397-chronology</x:v>
      </x:c>
      <x:c r="B768" s="14" t="str">
        <x:v>colony-tanais</x:v>
      </x:c>
      <x:c r="C768" s="14" t="str">
        <x:v>src-pleiades-825397</x:v>
      </x:c>
      <x:c r="D768" s="14" t="str">
        <x:v>chronology</x:v>
      </x:c>
      <x:c r="E768" s="20" t="b">
        <x:v>1</x:v>
      </x:c>
    </x:row>
    <x:row r="769" ht="24" customHeight="1">
      <x:c r="A769" s="14" t="str">
        <x:v>es-colony-tanais-pleiades-825397-classification</x:v>
      </x:c>
      <x:c r="B769" s="14" t="str">
        <x:v>colony-tanais</x:v>
      </x:c>
      <x:c r="C769" s="14" t="str">
        <x:v>src-pleiades-825397</x:v>
      </x:c>
      <x:c r="D769" s="14" t="str">
        <x:v>classification</x:v>
      </x:c>
      <x:c r="E769" s="20" t="b">
        <x:v>1</x:v>
      </x:c>
    </x:row>
    <x:row r="770" ht="24" customHeight="1">
      <x:c r="A770" s="14" t="str">
        <x:v>es-colony-tanais-pleiades-825397-description</x:v>
      </x:c>
      <x:c r="B770" s="14" t="str">
        <x:v>colony-tanais</x:v>
      </x:c>
      <x:c r="C770" s="14" t="str">
        <x:v>src-pleiades-825397</x:v>
      </x:c>
      <x:c r="D770" s="14" t="str">
        <x:v>description</x:v>
      </x:c>
      <x:c r="E770" s="20" t="b">
        <x:v>1</x:v>
      </x:c>
    </x:row>
    <x:row r="771" ht="24" customHeight="1">
      <x:c r="A771" s="14" t="str">
        <x:v>es-colony-tanais-pleiades-825397-geometry</x:v>
      </x:c>
      <x:c r="B771" s="14" t="str">
        <x:v>colony-tanais</x:v>
      </x:c>
      <x:c r="C771" s="14" t="str">
        <x:v>src-pleiades-825397</x:v>
      </x:c>
      <x:c r="D771" s="14" t="str">
        <x:v>geometry</x:v>
      </x:c>
      <x:c r="E771" s="20" t="b">
        <x:v>1</x:v>
      </x:c>
    </x:row>
    <x:row r="772" ht="24" customHeight="1">
      <x:c r="A772" s="14" t="str">
        <x:v>es-colony-tanais-pleiades-825397-identity</x:v>
      </x:c>
      <x:c r="B772" s="14" t="str">
        <x:v>colony-tanais</x:v>
      </x:c>
      <x:c r="C772" s="14" t="str">
        <x:v>src-pleiades-825397</x:v>
      </x:c>
      <x:c r="D772" s="14" t="str">
        <x:v>identity</x:v>
      </x:c>
      <x:c r="E772" s="20" t="b">
        <x:v>1</x:v>
      </x:c>
    </x:row>
    <x:row r="773" ht="24" customHeight="1">
      <x:c r="A773" s="14" t="str">
        <x:v>es-colony-tanais-pleiades-825397-names</x:v>
      </x:c>
      <x:c r="B773" s="14" t="str">
        <x:v>colony-tanais</x:v>
      </x:c>
      <x:c r="C773" s="14" t="str">
        <x:v>src-pleiades-825397</x:v>
      </x:c>
      <x:c r="D773" s="14" t="str">
        <x:v>names</x:v>
      </x:c>
      <x:c r="E773" s="20" t="b">
        <x:v>1</x:v>
      </x:c>
    </x:row>
    <x:row r="774" ht="24" customHeight="1">
      <x:c r="A774" s="14" t="str">
        <x:v>es-colony-tanais-pleiades-825397-relationships</x:v>
      </x:c>
      <x:c r="B774" s="14" t="str">
        <x:v>colony-tanais</x:v>
      </x:c>
      <x:c r="C774" s="14" t="str">
        <x:v>src-pleiades-825397</x:v>
      </x:c>
      <x:c r="D774" s="14" t="str">
        <x:v>relationships</x:v>
      </x:c>
      <x:c r="E774" s="20" t="b">
        <x:v>1</x:v>
      </x:c>
    </x:row>
    <x:row r="775" ht="24" customHeight="1">
      <x:c r="A775" s="14" t="str">
        <x:v>es-colony-taras-pleiades-442810-chronology</x:v>
      </x:c>
      <x:c r="B775" s="14" t="str">
        <x:v>colony-taras</x:v>
      </x:c>
      <x:c r="C775" s="14" t="str">
        <x:v>src-pleiades-442810</x:v>
      </x:c>
      <x:c r="D775" s="14" t="str">
        <x:v>chronology</x:v>
      </x:c>
      <x:c r="E775" s="20" t="b">
        <x:v>1</x:v>
      </x:c>
    </x:row>
    <x:row r="776" ht="24" customHeight="1">
      <x:c r="A776" s="14" t="str">
        <x:v>es-colony-taras-pleiades-442810-classification</x:v>
      </x:c>
      <x:c r="B776" s="14" t="str">
        <x:v>colony-taras</x:v>
      </x:c>
      <x:c r="C776" s="14" t="str">
        <x:v>src-pleiades-442810</x:v>
      </x:c>
      <x:c r="D776" s="14" t="str">
        <x:v>classification</x:v>
      </x:c>
      <x:c r="E776" s="20" t="b">
        <x:v>1</x:v>
      </x:c>
    </x:row>
    <x:row r="777" ht="24" customHeight="1">
      <x:c r="A777" s="14" t="str">
        <x:v>es-colony-taras-pleiades-442810-description</x:v>
      </x:c>
      <x:c r="B777" s="14" t="str">
        <x:v>colony-taras</x:v>
      </x:c>
      <x:c r="C777" s="14" t="str">
        <x:v>src-pleiades-442810</x:v>
      </x:c>
      <x:c r="D777" s="14" t="str">
        <x:v>description</x:v>
      </x:c>
      <x:c r="E777" s="20" t="b">
        <x:v>1</x:v>
      </x:c>
    </x:row>
    <x:row r="778" ht="24" customHeight="1">
      <x:c r="A778" s="14" t="str">
        <x:v>es-colony-taras-pleiades-442810-geometry</x:v>
      </x:c>
      <x:c r="B778" s="14" t="str">
        <x:v>colony-taras</x:v>
      </x:c>
      <x:c r="C778" s="14" t="str">
        <x:v>src-pleiades-442810</x:v>
      </x:c>
      <x:c r="D778" s="14" t="str">
        <x:v>geometry</x:v>
      </x:c>
      <x:c r="E778" s="20" t="b">
        <x:v>1</x:v>
      </x:c>
    </x:row>
    <x:row r="779" ht="24" customHeight="1">
      <x:c r="A779" s="14" t="str">
        <x:v>es-colony-taras-pleiades-442810-identity</x:v>
      </x:c>
      <x:c r="B779" s="14" t="str">
        <x:v>colony-taras</x:v>
      </x:c>
      <x:c r="C779" s="14" t="str">
        <x:v>src-pleiades-442810</x:v>
      </x:c>
      <x:c r="D779" s="14" t="str">
        <x:v>identity</x:v>
      </x:c>
      <x:c r="E779" s="20" t="b">
        <x:v>1</x:v>
      </x:c>
    </x:row>
    <x:row r="780" ht="24" customHeight="1">
      <x:c r="A780" s="14" t="str">
        <x:v>es-colony-taras-pleiades-442810-names</x:v>
      </x:c>
      <x:c r="B780" s="14" t="str">
        <x:v>colony-taras</x:v>
      </x:c>
      <x:c r="C780" s="14" t="str">
        <x:v>src-pleiades-442810</x:v>
      </x:c>
      <x:c r="D780" s="14" t="str">
        <x:v>names</x:v>
      </x:c>
      <x:c r="E780" s="20" t="b">
        <x:v>1</x:v>
      </x:c>
    </x:row>
    <x:row r="781" ht="24" customHeight="1">
      <x:c r="A781" s="14" t="str">
        <x:v>es-colony-taras-pleiades-442810-relationships</x:v>
      </x:c>
      <x:c r="B781" s="14" t="str">
        <x:v>colony-taras</x:v>
      </x:c>
      <x:c r="C781" s="14" t="str">
        <x:v>src-pleiades-442810</x:v>
      </x:c>
      <x:c r="D781" s="14" t="str">
        <x:v>relationships</x:v>
      </x:c>
      <x:c r="E781" s="20" t="b">
        <x:v>1</x:v>
      </x:c>
    </x:row>
    <x:row r="782" ht="24" customHeight="1">
      <x:c r="A782" s="14" t="str">
        <x:v>es-colony-taucheira-pleiades-373736-chronology</x:v>
      </x:c>
      <x:c r="B782" s="14" t="str">
        <x:v>colony-taucheira</x:v>
      </x:c>
      <x:c r="C782" s="14" t="str">
        <x:v>src-pleiades-373736</x:v>
      </x:c>
      <x:c r="D782" s="14" t="str">
        <x:v>chronology</x:v>
      </x:c>
      <x:c r="E782" s="20" t="b">
        <x:v>1</x:v>
      </x:c>
    </x:row>
    <x:row r="783" ht="24" customHeight="1">
      <x:c r="A783" s="14" t="str">
        <x:v>es-colony-taucheira-pleiades-373736-classification</x:v>
      </x:c>
      <x:c r="B783" s="14" t="str">
        <x:v>colony-taucheira</x:v>
      </x:c>
      <x:c r="C783" s="14" t="str">
        <x:v>src-pleiades-373736</x:v>
      </x:c>
      <x:c r="D783" s="14" t="str">
        <x:v>classification</x:v>
      </x:c>
      <x:c r="E783" s="20" t="b">
        <x:v>1</x:v>
      </x:c>
    </x:row>
    <x:row r="784" ht="24" customHeight="1">
      <x:c r="A784" s="14" t="str">
        <x:v>es-colony-taucheira-pleiades-373736-description</x:v>
      </x:c>
      <x:c r="B784" s="14" t="str">
        <x:v>colony-taucheira</x:v>
      </x:c>
      <x:c r="C784" s="14" t="str">
        <x:v>src-pleiades-373736</x:v>
      </x:c>
      <x:c r="D784" s="14" t="str">
        <x:v>description</x:v>
      </x:c>
      <x:c r="E784" s="20" t="b">
        <x:v>1</x:v>
      </x:c>
    </x:row>
    <x:row r="785" ht="24" customHeight="1">
      <x:c r="A785" s="14" t="str">
        <x:v>es-colony-taucheira-pleiades-373736-geometry</x:v>
      </x:c>
      <x:c r="B785" s="14" t="str">
        <x:v>colony-taucheira</x:v>
      </x:c>
      <x:c r="C785" s="14" t="str">
        <x:v>src-pleiades-373736</x:v>
      </x:c>
      <x:c r="D785" s="14" t="str">
        <x:v>geometry</x:v>
      </x:c>
      <x:c r="E785" s="20" t="b">
        <x:v>1</x:v>
      </x:c>
    </x:row>
    <x:row r="786" ht="24" customHeight="1">
      <x:c r="A786" s="14" t="str">
        <x:v>es-colony-taucheira-pleiades-373736-identity</x:v>
      </x:c>
      <x:c r="B786" s="14" t="str">
        <x:v>colony-taucheira</x:v>
      </x:c>
      <x:c r="C786" s="14" t="str">
        <x:v>src-pleiades-373736</x:v>
      </x:c>
      <x:c r="D786" s="14" t="str">
        <x:v>identity</x:v>
      </x:c>
      <x:c r="E786" s="20" t="b">
        <x:v>1</x:v>
      </x:c>
    </x:row>
    <x:row r="787" ht="24" customHeight="1">
      <x:c r="A787" s="14" t="str">
        <x:v>es-colony-taucheira-pleiades-373736-names</x:v>
      </x:c>
      <x:c r="B787" s="14" t="str">
        <x:v>colony-taucheira</x:v>
      </x:c>
      <x:c r="C787" s="14" t="str">
        <x:v>src-pleiades-373736</x:v>
      </x:c>
      <x:c r="D787" s="14" t="str">
        <x:v>names</x:v>
      </x:c>
      <x:c r="E787" s="20" t="b">
        <x:v>1</x:v>
      </x:c>
    </x:row>
    <x:row r="788" ht="24" customHeight="1">
      <x:c r="A788" s="14" t="str">
        <x:v>es-colony-taucheira-pleiades-373736-relationships</x:v>
      </x:c>
      <x:c r="B788" s="14" t="str">
        <x:v>colony-taucheira</x:v>
      </x:c>
      <x:c r="C788" s="14" t="str">
        <x:v>src-pleiades-373736</x:v>
      </x:c>
      <x:c r="D788" s="14" t="str">
        <x:v>relationships</x:v>
      </x:c>
      <x:c r="E788" s="20" t="b">
        <x:v>1</x:v>
      </x:c>
    </x:row>
    <x:row r="789" ht="24" customHeight="1">
      <x:c r="A789" s="14" t="str">
        <x:v>es-colony-teos-pleiades-550913-chronology</x:v>
      </x:c>
      <x:c r="B789" s="14" t="str">
        <x:v>colony-teos</x:v>
      </x:c>
      <x:c r="C789" s="14" t="str">
        <x:v>src-pleiades-550913</x:v>
      </x:c>
      <x:c r="D789" s="14" t="str">
        <x:v>chronology</x:v>
      </x:c>
      <x:c r="E789" s="20" t="b">
        <x:v>1</x:v>
      </x:c>
    </x:row>
    <x:row r="790" ht="24" customHeight="1">
      <x:c r="A790" s="14" t="str">
        <x:v>es-colony-teos-pleiades-550913-classification</x:v>
      </x:c>
      <x:c r="B790" s="14" t="str">
        <x:v>colony-teos</x:v>
      </x:c>
      <x:c r="C790" s="14" t="str">
        <x:v>src-pleiades-550913</x:v>
      </x:c>
      <x:c r="D790" s="14" t="str">
        <x:v>classification</x:v>
      </x:c>
      <x:c r="E790" s="20" t="b">
        <x:v>1</x:v>
      </x:c>
    </x:row>
    <x:row r="791" ht="24" customHeight="1">
      <x:c r="A791" s="14" t="str">
        <x:v>es-colony-teos-pleiades-550913-description</x:v>
      </x:c>
      <x:c r="B791" s="14" t="str">
        <x:v>colony-teos</x:v>
      </x:c>
      <x:c r="C791" s="14" t="str">
        <x:v>src-pleiades-550913</x:v>
      </x:c>
      <x:c r="D791" s="14" t="str">
        <x:v>description</x:v>
      </x:c>
      <x:c r="E791" s="20" t="b">
        <x:v>1</x:v>
      </x:c>
    </x:row>
    <x:row r="792" ht="24" customHeight="1">
      <x:c r="A792" s="14" t="str">
        <x:v>es-colony-teos-pleiades-550913-geometry</x:v>
      </x:c>
      <x:c r="B792" s="14" t="str">
        <x:v>colony-teos</x:v>
      </x:c>
      <x:c r="C792" s="14" t="str">
        <x:v>src-pleiades-550913</x:v>
      </x:c>
      <x:c r="D792" s="14" t="str">
        <x:v>geometry</x:v>
      </x:c>
      <x:c r="E792" s="20" t="b">
        <x:v>1</x:v>
      </x:c>
    </x:row>
    <x:row r="793" ht="24" customHeight="1">
      <x:c r="A793" s="14" t="str">
        <x:v>es-colony-teos-pleiades-550913-identity</x:v>
      </x:c>
      <x:c r="B793" s="14" t="str">
        <x:v>colony-teos</x:v>
      </x:c>
      <x:c r="C793" s="14" t="str">
        <x:v>src-pleiades-550913</x:v>
      </x:c>
      <x:c r="D793" s="14" t="str">
        <x:v>identity</x:v>
      </x:c>
      <x:c r="E793" s="20" t="b">
        <x:v>1</x:v>
      </x:c>
    </x:row>
    <x:row r="794" ht="24" customHeight="1">
      <x:c r="A794" s="14" t="str">
        <x:v>es-colony-teos-pleiades-550913-names</x:v>
      </x:c>
      <x:c r="B794" s="14" t="str">
        <x:v>colony-teos</x:v>
      </x:c>
      <x:c r="C794" s="14" t="str">
        <x:v>src-pleiades-550913</x:v>
      </x:c>
      <x:c r="D794" s="14" t="str">
        <x:v>names</x:v>
      </x:c>
      <x:c r="E794" s="20" t="b">
        <x:v>1</x:v>
      </x:c>
    </x:row>
    <x:row r="795" ht="24" customHeight="1">
      <x:c r="A795" s="14" t="str">
        <x:v>es-colony-teos-pleiades-550913-relationships</x:v>
      </x:c>
      <x:c r="B795" s="14" t="str">
        <x:v>colony-teos</x:v>
      </x:c>
      <x:c r="C795" s="14" t="str">
        <x:v>src-pleiades-550913</x:v>
      </x:c>
      <x:c r="D795" s="14" t="str">
        <x:v>relationships</x:v>
      </x:c>
      <x:c r="E795" s="20" t="b">
        <x:v>1</x:v>
      </x:c>
    </x:row>
    <x:row r="796" ht="24" customHeight="1">
      <x:c r="A796" s="14" t="str">
        <x:v>es-colony-theodosia-crimea-pleiades-854743-chronology</x:v>
      </x:c>
      <x:c r="B796" s="14" t="str">
        <x:v>colony-theodosia-crimea</x:v>
      </x:c>
      <x:c r="C796" s="14" t="str">
        <x:v>src-pleiades-854743</x:v>
      </x:c>
      <x:c r="D796" s="14" t="str">
        <x:v>chronology</x:v>
      </x:c>
      <x:c r="E796" s="20" t="b">
        <x:v>1</x:v>
      </x:c>
    </x:row>
    <x:row r="797" ht="24" customHeight="1">
      <x:c r="A797" s="14" t="str">
        <x:v>es-colony-theodosia-crimea-pleiades-854743-classification</x:v>
      </x:c>
      <x:c r="B797" s="14" t="str">
        <x:v>colony-theodosia-crimea</x:v>
      </x:c>
      <x:c r="C797" s="14" t="str">
        <x:v>src-pleiades-854743</x:v>
      </x:c>
      <x:c r="D797" s="14" t="str">
        <x:v>classification</x:v>
      </x:c>
      <x:c r="E797" s="20" t="b">
        <x:v>1</x:v>
      </x:c>
    </x:row>
    <x:row r="798" ht="24" customHeight="1">
      <x:c r="A798" s="14" t="str">
        <x:v>es-colony-theodosia-crimea-pleiades-854743-description</x:v>
      </x:c>
      <x:c r="B798" s="14" t="str">
        <x:v>colony-theodosia-crimea</x:v>
      </x:c>
      <x:c r="C798" s="14" t="str">
        <x:v>src-pleiades-854743</x:v>
      </x:c>
      <x:c r="D798" s="14" t="str">
        <x:v>description</x:v>
      </x:c>
      <x:c r="E798" s="20" t="b">
        <x:v>1</x:v>
      </x:c>
    </x:row>
    <x:row r="799" ht="24" customHeight="1">
      <x:c r="A799" s="14" t="str">
        <x:v>es-colony-theodosia-crimea-pleiades-854743-geometry</x:v>
      </x:c>
      <x:c r="B799" s="14" t="str">
        <x:v>colony-theodosia-crimea</x:v>
      </x:c>
      <x:c r="C799" s="14" t="str">
        <x:v>src-pleiades-854743</x:v>
      </x:c>
      <x:c r="D799" s="14" t="str">
        <x:v>geometry</x:v>
      </x:c>
      <x:c r="E799" s="20" t="b">
        <x:v>1</x:v>
      </x:c>
    </x:row>
    <x:row r="800" ht="24" customHeight="1">
      <x:c r="A800" s="14" t="str">
        <x:v>es-colony-theodosia-crimea-pleiades-854743-identity</x:v>
      </x:c>
      <x:c r="B800" s="14" t="str">
        <x:v>colony-theodosia-crimea</x:v>
      </x:c>
      <x:c r="C800" s="14" t="str">
        <x:v>src-pleiades-854743</x:v>
      </x:c>
      <x:c r="D800" s="14" t="str">
        <x:v>identity</x:v>
      </x:c>
      <x:c r="E800" s="20" t="b">
        <x:v>1</x:v>
      </x:c>
    </x:row>
    <x:row r="801" ht="24" customHeight="1">
      <x:c r="A801" s="14" t="str">
        <x:v>es-colony-theodosia-crimea-pleiades-854743-names</x:v>
      </x:c>
      <x:c r="B801" s="14" t="str">
        <x:v>colony-theodosia-crimea</x:v>
      </x:c>
      <x:c r="C801" s="14" t="str">
        <x:v>src-pleiades-854743</x:v>
      </x:c>
      <x:c r="D801" s="14" t="str">
        <x:v>names</x:v>
      </x:c>
      <x:c r="E801" s="20" t="b">
        <x:v>1</x:v>
      </x:c>
    </x:row>
    <x:row r="802" ht="24" customHeight="1">
      <x:c r="A802" s="14" t="str">
        <x:v>es-colony-theodosia-crimea-pleiades-854743-relationships</x:v>
      </x:c>
      <x:c r="B802" s="14" t="str">
        <x:v>colony-theodosia-crimea</x:v>
      </x:c>
      <x:c r="C802" s="14" t="str">
        <x:v>src-pleiades-854743</x:v>
      </x:c>
      <x:c r="D802" s="14" t="str">
        <x:v>relationships</x:v>
      </x:c>
      <x:c r="E802" s="20" t="b">
        <x:v>1</x:v>
      </x:c>
    </x:row>
    <x:row r="803" ht="24" customHeight="1">
      <x:c r="A803" s="14" t="str">
        <x:v>es-colony-tomis-pleiades-217016-chronology</x:v>
      </x:c>
      <x:c r="B803" s="14" t="str">
        <x:v>colony-tomis</x:v>
      </x:c>
      <x:c r="C803" s="14" t="str">
        <x:v>src-pleiades-217016</x:v>
      </x:c>
      <x:c r="D803" s="14" t="str">
        <x:v>chronology</x:v>
      </x:c>
      <x:c r="E803" s="20" t="b">
        <x:v>1</x:v>
      </x:c>
    </x:row>
    <x:row r="804" ht="24" customHeight="1">
      <x:c r="A804" s="14" t="str">
        <x:v>es-colony-tomis-pleiades-217016-classification</x:v>
      </x:c>
      <x:c r="B804" s="14" t="str">
        <x:v>colony-tomis</x:v>
      </x:c>
      <x:c r="C804" s="14" t="str">
        <x:v>src-pleiades-217016</x:v>
      </x:c>
      <x:c r="D804" s="14" t="str">
        <x:v>classification</x:v>
      </x:c>
      <x:c r="E804" s="20" t="b">
        <x:v>1</x:v>
      </x:c>
    </x:row>
    <x:row r="805" ht="24" customHeight="1">
      <x:c r="A805" s="14" t="str">
        <x:v>es-colony-tomis-pleiades-217016-description</x:v>
      </x:c>
      <x:c r="B805" s="14" t="str">
        <x:v>colony-tomis</x:v>
      </x:c>
      <x:c r="C805" s="14" t="str">
        <x:v>src-pleiades-217016</x:v>
      </x:c>
      <x:c r="D805" s="14" t="str">
        <x:v>description</x:v>
      </x:c>
      <x:c r="E805" s="20" t="b">
        <x:v>1</x:v>
      </x:c>
    </x:row>
    <x:row r="806" ht="24" customHeight="1">
      <x:c r="A806" s="14" t="str">
        <x:v>es-colony-tomis-pleiades-217016-geometry</x:v>
      </x:c>
      <x:c r="B806" s="14" t="str">
        <x:v>colony-tomis</x:v>
      </x:c>
      <x:c r="C806" s="14" t="str">
        <x:v>src-pleiades-217016</x:v>
      </x:c>
      <x:c r="D806" s="14" t="str">
        <x:v>geometry</x:v>
      </x:c>
      <x:c r="E806" s="20" t="b">
        <x:v>1</x:v>
      </x:c>
    </x:row>
    <x:row r="807" ht="24" customHeight="1">
      <x:c r="A807" s="14" t="str">
        <x:v>es-colony-tomis-pleiades-217016-identity</x:v>
      </x:c>
      <x:c r="B807" s="14" t="str">
        <x:v>colony-tomis</x:v>
      </x:c>
      <x:c r="C807" s="14" t="str">
        <x:v>src-pleiades-217016</x:v>
      </x:c>
      <x:c r="D807" s="14" t="str">
        <x:v>identity</x:v>
      </x:c>
      <x:c r="E807" s="20" t="b">
        <x:v>1</x:v>
      </x:c>
    </x:row>
    <x:row r="808" ht="24" customHeight="1">
      <x:c r="A808" s="14" t="str">
        <x:v>es-colony-tomis-pleiades-217016-names</x:v>
      </x:c>
      <x:c r="B808" s="14" t="str">
        <x:v>colony-tomis</x:v>
      </x:c>
      <x:c r="C808" s="14" t="str">
        <x:v>src-pleiades-217016</x:v>
      </x:c>
      <x:c r="D808" s="14" t="str">
        <x:v>names</x:v>
      </x:c>
      <x:c r="E808" s="20" t="b">
        <x:v>1</x:v>
      </x:c>
    </x:row>
    <x:row r="809" ht="24" customHeight="1">
      <x:c r="A809" s="14" t="str">
        <x:v>es-colony-tomis-pleiades-217016-relationships</x:v>
      </x:c>
      <x:c r="B809" s="14" t="str">
        <x:v>colony-tomis</x:v>
      </x:c>
      <x:c r="C809" s="14" t="str">
        <x:v>src-pleiades-217016</x:v>
      </x:c>
      <x:c r="D809" s="14" t="str">
        <x:v>relationships</x:v>
      </x:c>
      <x:c r="E809" s="20" t="b">
        <x:v>1</x:v>
      </x:c>
    </x:row>
    <x:row r="810" ht="24" customHeight="1">
      <x:c r="A810" s="14" t="str">
        <x:v>es-colony-tragurion-pleiades-197555-chronology</x:v>
      </x:c>
      <x:c r="B810" s="14" t="str">
        <x:v>colony-tragurion</x:v>
      </x:c>
      <x:c r="C810" s="14" t="str">
        <x:v>src-pleiades-197555</x:v>
      </x:c>
      <x:c r="D810" s="14" t="str">
        <x:v>chronology</x:v>
      </x:c>
      <x:c r="E810" s="20" t="b">
        <x:v>1</x:v>
      </x:c>
    </x:row>
    <x:row r="811" ht="24" customHeight="1">
      <x:c r="A811" s="14" t="str">
        <x:v>es-colony-tragurion-pleiades-197555-classification</x:v>
      </x:c>
      <x:c r="B811" s="14" t="str">
        <x:v>colony-tragurion</x:v>
      </x:c>
      <x:c r="C811" s="14" t="str">
        <x:v>src-pleiades-197555</x:v>
      </x:c>
      <x:c r="D811" s="14" t="str">
        <x:v>classification</x:v>
      </x:c>
      <x:c r="E811" s="20" t="b">
        <x:v>1</x:v>
      </x:c>
    </x:row>
    <x:row r="812" ht="24" customHeight="1">
      <x:c r="A812" s="14" t="str">
        <x:v>es-colony-tragurion-pleiades-197555-description</x:v>
      </x:c>
      <x:c r="B812" s="14" t="str">
        <x:v>colony-tragurion</x:v>
      </x:c>
      <x:c r="C812" s="14" t="str">
        <x:v>src-pleiades-197555</x:v>
      </x:c>
      <x:c r="D812" s="14" t="str">
        <x:v>description</x:v>
      </x:c>
      <x:c r="E812" s="20" t="b">
        <x:v>1</x:v>
      </x:c>
    </x:row>
    <x:row r="813" ht="24" customHeight="1">
      <x:c r="A813" s="14" t="str">
        <x:v>es-colony-tragurion-pleiades-197555-geometry</x:v>
      </x:c>
      <x:c r="B813" s="14" t="str">
        <x:v>colony-tragurion</x:v>
      </x:c>
      <x:c r="C813" s="14" t="str">
        <x:v>src-pleiades-197555</x:v>
      </x:c>
      <x:c r="D813" s="14" t="str">
        <x:v>geometry</x:v>
      </x:c>
      <x:c r="E813" s="20" t="b">
        <x:v>1</x:v>
      </x:c>
    </x:row>
    <x:row r="814" ht="24" customHeight="1">
      <x:c r="A814" s="14" t="str">
        <x:v>es-colony-tragurion-pleiades-197555-identity</x:v>
      </x:c>
      <x:c r="B814" s="14" t="str">
        <x:v>colony-tragurion</x:v>
      </x:c>
      <x:c r="C814" s="14" t="str">
        <x:v>src-pleiades-197555</x:v>
      </x:c>
      <x:c r="D814" s="14" t="str">
        <x:v>identity</x:v>
      </x:c>
      <x:c r="E814" s="20" t="b">
        <x:v>1</x:v>
      </x:c>
    </x:row>
    <x:row r="815" ht="24" customHeight="1">
      <x:c r="A815" s="14" t="str">
        <x:v>es-colony-tragurion-pleiades-197555-names</x:v>
      </x:c>
      <x:c r="B815" s="14" t="str">
        <x:v>colony-tragurion</x:v>
      </x:c>
      <x:c r="C815" s="14" t="str">
        <x:v>src-pleiades-197555</x:v>
      </x:c>
      <x:c r="D815" s="14" t="str">
        <x:v>names</x:v>
      </x:c>
      <x:c r="E815" s="20" t="b">
        <x:v>1</x:v>
      </x:c>
    </x:row>
    <x:row r="816" ht="24" customHeight="1">
      <x:c r="A816" s="14" t="str">
        <x:v>es-colony-tragurion-pleiades-197555-relationships</x:v>
      </x:c>
      <x:c r="B816" s="14" t="str">
        <x:v>colony-tragurion</x:v>
      </x:c>
      <x:c r="C816" s="14" t="str">
        <x:v>src-pleiades-197555</x:v>
      </x:c>
      <x:c r="D816" s="14" t="str">
        <x:v>relationships</x:v>
      </x:c>
      <x:c r="E816" s="20" t="b">
        <x:v>1</x:v>
      </x:c>
    </x:row>
    <x:row r="817" ht="24" customHeight="1">
      <x:c r="A817" s="14" t="str">
        <x:v>es-colony-trapezus-pleiades-857359-chronology</x:v>
      </x:c>
      <x:c r="B817" s="14" t="str">
        <x:v>colony-trapezus</x:v>
      </x:c>
      <x:c r="C817" s="14" t="str">
        <x:v>src-pleiades-857359</x:v>
      </x:c>
      <x:c r="D817" s="14" t="str">
        <x:v>chronology</x:v>
      </x:c>
      <x:c r="E817" s="20" t="b">
        <x:v>1</x:v>
      </x:c>
    </x:row>
    <x:row r="818" ht="24" customHeight="1">
      <x:c r="A818" s="14" t="str">
        <x:v>es-colony-trapezus-pleiades-857359-classification</x:v>
      </x:c>
      <x:c r="B818" s="14" t="str">
        <x:v>colony-trapezus</x:v>
      </x:c>
      <x:c r="C818" s="14" t="str">
        <x:v>src-pleiades-857359</x:v>
      </x:c>
      <x:c r="D818" s="14" t="str">
        <x:v>classification</x:v>
      </x:c>
      <x:c r="E818" s="20" t="b">
        <x:v>1</x:v>
      </x:c>
    </x:row>
    <x:row r="819" ht="24" customHeight="1">
      <x:c r="A819" s="14" t="str">
        <x:v>es-colony-trapezus-pleiades-857359-description</x:v>
      </x:c>
      <x:c r="B819" s="14" t="str">
        <x:v>colony-trapezus</x:v>
      </x:c>
      <x:c r="C819" s="14" t="str">
        <x:v>src-pleiades-857359</x:v>
      </x:c>
      <x:c r="D819" s="14" t="str">
        <x:v>description</x:v>
      </x:c>
      <x:c r="E819" s="20" t="b">
        <x:v>1</x:v>
      </x:c>
    </x:row>
    <x:row r="820" ht="24" customHeight="1">
      <x:c r="A820" s="14" t="str">
        <x:v>es-colony-trapezus-pleiades-857359-geometry</x:v>
      </x:c>
      <x:c r="B820" s="14" t="str">
        <x:v>colony-trapezus</x:v>
      </x:c>
      <x:c r="C820" s="14" t="str">
        <x:v>src-pleiades-857359</x:v>
      </x:c>
      <x:c r="D820" s="14" t="str">
        <x:v>geometry</x:v>
      </x:c>
      <x:c r="E820" s="20" t="b">
        <x:v>1</x:v>
      </x:c>
    </x:row>
    <x:row r="821" ht="24" customHeight="1">
      <x:c r="A821" s="14" t="str">
        <x:v>es-colony-trapezus-pleiades-857359-identity</x:v>
      </x:c>
      <x:c r="B821" s="14" t="str">
        <x:v>colony-trapezus</x:v>
      </x:c>
      <x:c r="C821" s="14" t="str">
        <x:v>src-pleiades-857359</x:v>
      </x:c>
      <x:c r="D821" s="14" t="str">
        <x:v>identity</x:v>
      </x:c>
      <x:c r="E821" s="20" t="b">
        <x:v>1</x:v>
      </x:c>
    </x:row>
    <x:row r="822" ht="24" customHeight="1">
      <x:c r="A822" s="14" t="str">
        <x:v>es-colony-trapezus-pleiades-857359-names</x:v>
      </x:c>
      <x:c r="B822" s="14" t="str">
        <x:v>colony-trapezus</x:v>
      </x:c>
      <x:c r="C822" s="14" t="str">
        <x:v>src-pleiades-857359</x:v>
      </x:c>
      <x:c r="D822" s="14" t="str">
        <x:v>names</x:v>
      </x:c>
      <x:c r="E822" s="20" t="b">
        <x:v>1</x:v>
      </x:c>
    </x:row>
    <x:row r="823" ht="24" customHeight="1">
      <x:c r="A823" s="14" t="str">
        <x:v>es-colony-trapezus-pleiades-857359-relationships</x:v>
      </x:c>
      <x:c r="B823" s="14" t="str">
        <x:v>colony-trapezus</x:v>
      </x:c>
      <x:c r="C823" s="14" t="str">
        <x:v>src-pleiades-857359</x:v>
      </x:c>
      <x:c r="D823" s="14" t="str">
        <x:v>relationships</x:v>
      </x:c>
      <x:c r="E823" s="20" t="b">
        <x:v>1</x:v>
      </x:c>
    </x:row>
    <x:row r="824" ht="24" customHeight="1">
      <x:c r="A824" s="14" t="str">
        <x:v>es-colony-tyras-pleiades-226800-chronology</x:v>
      </x:c>
      <x:c r="B824" s="14" t="str">
        <x:v>colony-tyras</x:v>
      </x:c>
      <x:c r="C824" s="14" t="str">
        <x:v>src-pleiades-226800</x:v>
      </x:c>
      <x:c r="D824" s="14" t="str">
        <x:v>chronology</x:v>
      </x:c>
      <x:c r="E824" s="20" t="b">
        <x:v>1</x:v>
      </x:c>
    </x:row>
    <x:row r="825" ht="24" customHeight="1">
      <x:c r="A825" s="14" t="str">
        <x:v>es-colony-tyras-pleiades-226800-classification</x:v>
      </x:c>
      <x:c r="B825" s="14" t="str">
        <x:v>colony-tyras</x:v>
      </x:c>
      <x:c r="C825" s="14" t="str">
        <x:v>src-pleiades-226800</x:v>
      </x:c>
      <x:c r="D825" s="14" t="str">
        <x:v>classification</x:v>
      </x:c>
      <x:c r="E825" s="20" t="b">
        <x:v>1</x:v>
      </x:c>
    </x:row>
    <x:row r="826" ht="24" customHeight="1">
      <x:c r="A826" s="14" t="str">
        <x:v>es-colony-tyras-pleiades-226800-description</x:v>
      </x:c>
      <x:c r="B826" s="14" t="str">
        <x:v>colony-tyras</x:v>
      </x:c>
      <x:c r="C826" s="14" t="str">
        <x:v>src-pleiades-226800</x:v>
      </x:c>
      <x:c r="D826" s="14" t="str">
        <x:v>description</x:v>
      </x:c>
      <x:c r="E826" s="20" t="b">
        <x:v>1</x:v>
      </x:c>
    </x:row>
    <x:row r="827" ht="24" customHeight="1">
      <x:c r="A827" s="14" t="str">
        <x:v>es-colony-tyras-pleiades-226800-geometry</x:v>
      </x:c>
      <x:c r="B827" s="14" t="str">
        <x:v>colony-tyras</x:v>
      </x:c>
      <x:c r="C827" s="14" t="str">
        <x:v>src-pleiades-226800</x:v>
      </x:c>
      <x:c r="D827" s="14" t="str">
        <x:v>geometry</x:v>
      </x:c>
      <x:c r="E827" s="20" t="b">
        <x:v>1</x:v>
      </x:c>
    </x:row>
    <x:row r="828" ht="24" customHeight="1">
      <x:c r="A828" s="14" t="str">
        <x:v>es-colony-tyras-pleiades-226800-identity</x:v>
      </x:c>
      <x:c r="B828" s="14" t="str">
        <x:v>colony-tyras</x:v>
      </x:c>
      <x:c r="C828" s="14" t="str">
        <x:v>src-pleiades-226800</x:v>
      </x:c>
      <x:c r="D828" s="14" t="str">
        <x:v>identity</x:v>
      </x:c>
      <x:c r="E828" s="20" t="b">
        <x:v>1</x:v>
      </x:c>
    </x:row>
    <x:row r="829" ht="24" customHeight="1">
      <x:c r="A829" s="14" t="str">
        <x:v>es-colony-tyras-pleiades-226800-names</x:v>
      </x:c>
      <x:c r="B829" s="14" t="str">
        <x:v>colony-tyras</x:v>
      </x:c>
      <x:c r="C829" s="14" t="str">
        <x:v>src-pleiades-226800</x:v>
      </x:c>
      <x:c r="D829" s="14" t="str">
        <x:v>names</x:v>
      </x:c>
      <x:c r="E829" s="20" t="b">
        <x:v>1</x:v>
      </x:c>
    </x:row>
    <x:row r="830" ht="24" customHeight="1">
      <x:c r="A830" s="14" t="str">
        <x:v>es-colony-tyras-pleiades-226800-relationships</x:v>
      </x:c>
      <x:c r="B830" s="14" t="str">
        <x:v>colony-tyras</x:v>
      </x:c>
      <x:c r="C830" s="14" t="str">
        <x:v>src-pleiades-226800</x:v>
      </x:c>
      <x:c r="D830" s="14" t="str">
        <x:v>relationships</x:v>
      </x:c>
      <x:c r="E830" s="20" t="b">
        <x:v>1</x:v>
      </x:c>
    </x:row>
    <x:row r="831" ht="24" customHeight="1">
      <x:c r="A831" s="14" t="str">
        <x:v>es-colony-zancle-messana-pleiades-462538-chronology</x:v>
      </x:c>
      <x:c r="B831" s="14" t="str">
        <x:v>colony-zancle-messana</x:v>
      </x:c>
      <x:c r="C831" s="14" t="str">
        <x:v>src-pleiades-462538</x:v>
      </x:c>
      <x:c r="D831" s="14" t="str">
        <x:v>chronology</x:v>
      </x:c>
      <x:c r="E831" s="20" t="b">
        <x:v>1</x:v>
      </x:c>
    </x:row>
    <x:row r="832" ht="24" customHeight="1">
      <x:c r="A832" s="14" t="str">
        <x:v>es-colony-zancle-messana-pleiades-462538-classification</x:v>
      </x:c>
      <x:c r="B832" s="14" t="str">
        <x:v>colony-zancle-messana</x:v>
      </x:c>
      <x:c r="C832" s="14" t="str">
        <x:v>src-pleiades-462538</x:v>
      </x:c>
      <x:c r="D832" s="14" t="str">
        <x:v>classification</x:v>
      </x:c>
      <x:c r="E832" s="20" t="b">
        <x:v>1</x:v>
      </x:c>
    </x:row>
    <x:row r="833" ht="24" customHeight="1">
      <x:c r="A833" s="14" t="str">
        <x:v>es-colony-zancle-messana-pleiades-462538-description</x:v>
      </x:c>
      <x:c r="B833" s="14" t="str">
        <x:v>colony-zancle-messana</x:v>
      </x:c>
      <x:c r="C833" s="14" t="str">
        <x:v>src-pleiades-462538</x:v>
      </x:c>
      <x:c r="D833" s="14" t="str">
        <x:v>description</x:v>
      </x:c>
      <x:c r="E833" s="20" t="b">
        <x:v>1</x:v>
      </x:c>
    </x:row>
    <x:row r="834" ht="24" customHeight="1">
      <x:c r="A834" s="14" t="str">
        <x:v>es-colony-zancle-messana-pleiades-462538-geometry</x:v>
      </x:c>
      <x:c r="B834" s="14" t="str">
        <x:v>colony-zancle-messana</x:v>
      </x:c>
      <x:c r="C834" s="14" t="str">
        <x:v>src-pleiades-462538</x:v>
      </x:c>
      <x:c r="D834" s="14" t="str">
        <x:v>geometry</x:v>
      </x:c>
      <x:c r="E834" s="20" t="b">
        <x:v>1</x:v>
      </x:c>
    </x:row>
    <x:row r="835" ht="24" customHeight="1">
      <x:c r="A835" s="14" t="str">
        <x:v>es-colony-zancle-messana-pleiades-462538-identity</x:v>
      </x:c>
      <x:c r="B835" s="14" t="str">
        <x:v>colony-zancle-messana</x:v>
      </x:c>
      <x:c r="C835" s="14" t="str">
        <x:v>src-pleiades-462538</x:v>
      </x:c>
      <x:c r="D835" s="14" t="str">
        <x:v>identity</x:v>
      </x:c>
      <x:c r="E835" s="20" t="b">
        <x:v>1</x:v>
      </x:c>
    </x:row>
    <x:row r="836" ht="24" customHeight="1">
      <x:c r="A836" s="14" t="str">
        <x:v>es-colony-zancle-messana-pleiades-462538-names</x:v>
      </x:c>
      <x:c r="B836" s="14" t="str">
        <x:v>colony-zancle-messana</x:v>
      </x:c>
      <x:c r="C836" s="14" t="str">
        <x:v>src-pleiades-462538</x:v>
      </x:c>
      <x:c r="D836" s="14" t="str">
        <x:v>names</x:v>
      </x:c>
      <x:c r="E836" s="20" t="b">
        <x:v>1</x:v>
      </x:c>
    </x:row>
    <x:row r="837" ht="24" customHeight="1">
      <x:c r="A837" s="14" t="str">
        <x:v>es-colony-zancle-messana-pleiades-462538-relationships</x:v>
      </x:c>
      <x:c r="B837" s="14" t="str">
        <x:v>colony-zancle-messana</x:v>
      </x:c>
      <x:c r="C837" s="14" t="str">
        <x:v>src-pleiades-462538</x:v>
      </x:c>
      <x:c r="D837" s="14" t="str">
        <x:v>relationships</x:v>
      </x:c>
      <x:c r="E837" s="20" t="b">
        <x:v>1</x:v>
      </x:c>
    </x:row>
    <x:row r="838" ht="24" customHeight="1">
      <x:c r="A838" s="14" t="str">
        <x:v>es-kingdom-alexander-empire-metmuseum-89019924e8c3-chronology</x:v>
      </x:c>
      <x:c r="B838" s="14" t="str">
        <x:v>kingdom-alexander-empire</x:v>
      </x:c>
      <x:c r="C838" s="14" t="str">
        <x:v>src-metmuseum-89019924e8c3</x:v>
      </x:c>
      <x:c r="D838" s="14" t="str">
        <x:v>chronology</x:v>
      </x:c>
      <x:c r="E838" s="20" t="b">
        <x:v>1</x:v>
      </x:c>
    </x:row>
    <x:row r="839" ht="24" customHeight="1">
      <x:c r="A839" s="14" t="str">
        <x:v>es-kingdom-alexander-empire-metmuseum-89019924e8c3-classification</x:v>
      </x:c>
      <x:c r="B839" s="14" t="str">
        <x:v>kingdom-alexander-empire</x:v>
      </x:c>
      <x:c r="C839" s="14" t="str">
        <x:v>src-metmuseum-89019924e8c3</x:v>
      </x:c>
      <x:c r="D839" s="14" t="str">
        <x:v>classification</x:v>
      </x:c>
      <x:c r="E839" s="20" t="b">
        <x:v>1</x:v>
      </x:c>
    </x:row>
    <x:row r="840" ht="24" customHeight="1">
      <x:c r="A840" s="14" t="str">
        <x:v>es-kingdom-alexander-empire-metmuseum-89019924e8c3-description</x:v>
      </x:c>
      <x:c r="B840" s="14" t="str">
        <x:v>kingdom-alexander-empire</x:v>
      </x:c>
      <x:c r="C840" s="14" t="str">
        <x:v>src-metmuseum-89019924e8c3</x:v>
      </x:c>
      <x:c r="D840" s="14" t="str">
        <x:v>description</x:v>
      </x:c>
      <x:c r="E840" s="20" t="b">
        <x:v>1</x:v>
      </x:c>
    </x:row>
    <x:row r="841" ht="24" customHeight="1">
      <x:c r="A841" s="14" t="str">
        <x:v>es-kingdom-alexander-empire-metmuseum-89019924e8c3-geometry</x:v>
      </x:c>
      <x:c r="B841" s="14" t="str">
        <x:v>kingdom-alexander-empire</x:v>
      </x:c>
      <x:c r="C841" s="14" t="str">
        <x:v>src-metmuseum-89019924e8c3</x:v>
      </x:c>
      <x:c r="D841" s="14" t="str">
        <x:v>geometry</x:v>
      </x:c>
      <x:c r="E841" s="20" t="b">
        <x:v>1</x:v>
      </x:c>
    </x:row>
    <x:row r="842" ht="24" customHeight="1">
      <x:c r="A842" s="14" t="str">
        <x:v>es-kingdom-alexander-empire-metmuseum-89019924e8c3-identity</x:v>
      </x:c>
      <x:c r="B842" s="14" t="str">
        <x:v>kingdom-alexander-empire</x:v>
      </x:c>
      <x:c r="C842" s="14" t="str">
        <x:v>src-metmuseum-89019924e8c3</x:v>
      </x:c>
      <x:c r="D842" s="14" t="str">
        <x:v>identity</x:v>
      </x:c>
      <x:c r="E842" s="20" t="b">
        <x:v>1</x:v>
      </x:c>
    </x:row>
    <x:row r="843" ht="24" customHeight="1">
      <x:c r="A843" s="14" t="str">
        <x:v>es-kingdom-alexander-empire-metmuseum-89019924e8c3-names</x:v>
      </x:c>
      <x:c r="B843" s="14" t="str">
        <x:v>kingdom-alexander-empire</x:v>
      </x:c>
      <x:c r="C843" s="14" t="str">
        <x:v>src-metmuseum-89019924e8c3</x:v>
      </x:c>
      <x:c r="D843" s="14" t="str">
        <x:v>names</x:v>
      </x:c>
      <x:c r="E843" s="20" t="b">
        <x:v>1</x:v>
      </x:c>
    </x:row>
    <x:row r="844" ht="24" customHeight="1">
      <x:c r="A844" s="14" t="str">
        <x:v>es-kingdom-alexander-empire-metmuseum-89019924e8c3-relationships</x:v>
      </x:c>
      <x:c r="B844" s="14" t="str">
        <x:v>kingdom-alexander-empire</x:v>
      </x:c>
      <x:c r="C844" s="14" t="str">
        <x:v>src-metmuseum-89019924e8c3</x:v>
      </x:c>
      <x:c r="D844" s="14" t="str">
        <x:v>relationships</x:v>
      </x:c>
      <x:c r="E844" s="20" t="b">
        <x:v>1</x:v>
      </x:c>
    </x:row>
    <x:row r="845" ht="24" customHeight="1">
      <x:c r="A845" s="14" t="str">
        <x:v>es-kingdom-athens-mycenaean-whc-228f1be9c035-chronology</x:v>
      </x:c>
      <x:c r="B845" s="14" t="str">
        <x:v>kingdom-athens-mycenaean</x:v>
      </x:c>
      <x:c r="C845" s="14" t="str">
        <x:v>src-whc-228f1be9c035</x:v>
      </x:c>
      <x:c r="D845" s="14" t="str">
        <x:v>chronology</x:v>
      </x:c>
      <x:c r="E845" s="20" t="b">
        <x:v>1</x:v>
      </x:c>
    </x:row>
    <x:row r="846" ht="24" customHeight="1">
      <x:c r="A846" s="14" t="str">
        <x:v>es-kingdom-athens-mycenaean-whc-228f1be9c035-classification</x:v>
      </x:c>
      <x:c r="B846" s="14" t="str">
        <x:v>kingdom-athens-mycenaean</x:v>
      </x:c>
      <x:c r="C846" s="14" t="str">
        <x:v>src-whc-228f1be9c035</x:v>
      </x:c>
      <x:c r="D846" s="14" t="str">
        <x:v>classification</x:v>
      </x:c>
      <x:c r="E846" s="20" t="b">
        <x:v>1</x:v>
      </x:c>
    </x:row>
    <x:row r="847" ht="24" customHeight="1">
      <x:c r="A847" s="14" t="str">
        <x:v>es-kingdom-athens-mycenaean-whc-228f1be9c035-description</x:v>
      </x:c>
      <x:c r="B847" s="14" t="str">
        <x:v>kingdom-athens-mycenaean</x:v>
      </x:c>
      <x:c r="C847" s="14" t="str">
        <x:v>src-whc-228f1be9c035</x:v>
      </x:c>
      <x:c r="D847" s="14" t="str">
        <x:v>description</x:v>
      </x:c>
      <x:c r="E847" s="20" t="b">
        <x:v>1</x:v>
      </x:c>
    </x:row>
    <x:row r="848" ht="24" customHeight="1">
      <x:c r="A848" s="14" t="str">
        <x:v>es-kingdom-athens-mycenaean-whc-228f1be9c035-geometry</x:v>
      </x:c>
      <x:c r="B848" s="14" t="str">
        <x:v>kingdom-athens-mycenaean</x:v>
      </x:c>
      <x:c r="C848" s="14" t="str">
        <x:v>src-whc-228f1be9c035</x:v>
      </x:c>
      <x:c r="D848" s="14" t="str">
        <x:v>geometry</x:v>
      </x:c>
      <x:c r="E848" s="20" t="b">
        <x:v>1</x:v>
      </x:c>
    </x:row>
    <x:row r="849" ht="24" customHeight="1">
      <x:c r="A849" s="14" t="str">
        <x:v>es-kingdom-athens-mycenaean-whc-228f1be9c035-identity</x:v>
      </x:c>
      <x:c r="B849" s="14" t="str">
        <x:v>kingdom-athens-mycenaean</x:v>
      </x:c>
      <x:c r="C849" s="14" t="str">
        <x:v>src-whc-228f1be9c035</x:v>
      </x:c>
      <x:c r="D849" s="14" t="str">
        <x:v>identity</x:v>
      </x:c>
      <x:c r="E849" s="20" t="b">
        <x:v>1</x:v>
      </x:c>
    </x:row>
    <x:row r="850" ht="24" customHeight="1">
      <x:c r="A850" s="14" t="str">
        <x:v>es-kingdom-athens-mycenaean-whc-228f1be9c035-names</x:v>
      </x:c>
      <x:c r="B850" s="14" t="str">
        <x:v>kingdom-athens-mycenaean</x:v>
      </x:c>
      <x:c r="C850" s="14" t="str">
        <x:v>src-whc-228f1be9c035</x:v>
      </x:c>
      <x:c r="D850" s="14" t="str">
        <x:v>names</x:v>
      </x:c>
      <x:c r="E850" s="20" t="b">
        <x:v>1</x:v>
      </x:c>
    </x:row>
    <x:row r="851" ht="24" customHeight="1">
      <x:c r="A851" s="14" t="str">
        <x:v>es-kingdom-athens-mycenaean-whc-228f1be9c035-relationships</x:v>
      </x:c>
      <x:c r="B851" s="14" t="str">
        <x:v>kingdom-athens-mycenaean</x:v>
      </x:c>
      <x:c r="C851" s="14" t="str">
        <x:v>src-whc-228f1be9c035</x:v>
      </x:c>
      <x:c r="D851" s="14" t="str">
        <x:v>relationships</x:v>
      </x:c>
      <x:c r="E851" s="20" t="b">
        <x:v>1</x:v>
      </x:c>
    </x:row>
    <x:row r="852" ht="24" customHeight="1">
      <x:c r="A852" s="14" t="str">
        <x:v>es-kingdom-attalid-pergamon-metmuseum-50fe20dc493f-chronology</x:v>
      </x:c>
      <x:c r="B852" s="14" t="str">
        <x:v>kingdom-attalid-pergamon</x:v>
      </x:c>
      <x:c r="C852" s="14" t="str">
        <x:v>src-metmuseum-50fe20dc493f</x:v>
      </x:c>
      <x:c r="D852" s="14" t="str">
        <x:v>chronology</x:v>
      </x:c>
      <x:c r="E852" s="20" t="b">
        <x:v>1</x:v>
      </x:c>
    </x:row>
    <x:row r="853" ht="24" customHeight="1">
      <x:c r="A853" s="14" t="str">
        <x:v>es-kingdom-attalid-pergamon-metmuseum-50fe20dc493f-classification</x:v>
      </x:c>
      <x:c r="B853" s="14" t="str">
        <x:v>kingdom-attalid-pergamon</x:v>
      </x:c>
      <x:c r="C853" s="14" t="str">
        <x:v>src-metmuseum-50fe20dc493f</x:v>
      </x:c>
      <x:c r="D853" s="14" t="str">
        <x:v>classification</x:v>
      </x:c>
      <x:c r="E853" s="20" t="b">
        <x:v>1</x:v>
      </x:c>
    </x:row>
    <x:row r="854" ht="24" customHeight="1">
      <x:c r="A854" s="14" t="str">
        <x:v>es-kingdom-attalid-pergamon-metmuseum-50fe20dc493f-description</x:v>
      </x:c>
      <x:c r="B854" s="14" t="str">
        <x:v>kingdom-attalid-pergamon</x:v>
      </x:c>
      <x:c r="C854" s="14" t="str">
        <x:v>src-metmuseum-50fe20dc493f</x:v>
      </x:c>
      <x:c r="D854" s="14" t="str">
        <x:v>description</x:v>
      </x:c>
      <x:c r="E854" s="20" t="b">
        <x:v>1</x:v>
      </x:c>
    </x:row>
    <x:row r="855" ht="24" customHeight="1">
      <x:c r="A855" s="14" t="str">
        <x:v>es-kingdom-attalid-pergamon-metmuseum-50fe20dc493f-geometry</x:v>
      </x:c>
      <x:c r="B855" s="14" t="str">
        <x:v>kingdom-attalid-pergamon</x:v>
      </x:c>
      <x:c r="C855" s="14" t="str">
        <x:v>src-metmuseum-50fe20dc493f</x:v>
      </x:c>
      <x:c r="D855" s="14" t="str">
        <x:v>geometry</x:v>
      </x:c>
      <x:c r="E855" s="20" t="b">
        <x:v>1</x:v>
      </x:c>
    </x:row>
    <x:row r="856" ht="24" customHeight="1">
      <x:c r="A856" s="14" t="str">
        <x:v>es-kingdom-attalid-pergamon-metmuseum-50fe20dc493f-identity</x:v>
      </x:c>
      <x:c r="B856" s="14" t="str">
        <x:v>kingdom-attalid-pergamon</x:v>
      </x:c>
      <x:c r="C856" s="14" t="str">
        <x:v>src-metmuseum-50fe20dc493f</x:v>
      </x:c>
      <x:c r="D856" s="14" t="str">
        <x:v>identity</x:v>
      </x:c>
      <x:c r="E856" s="20" t="b">
        <x:v>1</x:v>
      </x:c>
    </x:row>
    <x:row r="857" ht="24" customHeight="1">
      <x:c r="A857" s="14" t="str">
        <x:v>es-kingdom-attalid-pergamon-metmuseum-50fe20dc493f-names</x:v>
      </x:c>
      <x:c r="B857" s="14" t="str">
        <x:v>kingdom-attalid-pergamon</x:v>
      </x:c>
      <x:c r="C857" s="14" t="str">
        <x:v>src-metmuseum-50fe20dc493f</x:v>
      </x:c>
      <x:c r="D857" s="14" t="str">
        <x:v>names</x:v>
      </x:c>
      <x:c r="E857" s="20" t="b">
        <x:v>1</x:v>
      </x:c>
    </x:row>
    <x:row r="858" ht="24" customHeight="1">
      <x:c r="A858" s="14" t="str">
        <x:v>es-kingdom-attalid-pergamon-metmuseum-50fe20dc493f-relationships</x:v>
      </x:c>
      <x:c r="B858" s="14" t="str">
        <x:v>kingdom-attalid-pergamon</x:v>
      </x:c>
      <x:c r="C858" s="14" t="str">
        <x:v>src-metmuseum-50fe20dc493f</x:v>
      </x:c>
      <x:c r="D858" s="14" t="str">
        <x:v>relationships</x:v>
      </x:c>
      <x:c r="E858" s="20" t="b">
        <x:v>1</x:v>
      </x:c>
    </x:row>
    <x:row r="859" ht="24" customHeight="1">
      <x:c r="A859" s="14" t="str">
        <x:v>es-kingdom-bithynia-attalus-1b40f4436114-chronology</x:v>
      </x:c>
      <x:c r="B859" s="14" t="str">
        <x:v>kingdom-bithynia</x:v>
      </x:c>
      <x:c r="C859" s="14" t="str">
        <x:v>src-attalus-1b40f4436114</x:v>
      </x:c>
      <x:c r="D859" s="14" t="str">
        <x:v>chronology</x:v>
      </x:c>
      <x:c r="E859" s="20" t="b">
        <x:v>1</x:v>
      </x:c>
    </x:row>
    <x:row r="860" ht="24" customHeight="1">
      <x:c r="A860" s="14" t="str">
        <x:v>es-kingdom-bithynia-attalus-1b40f4436114-classification</x:v>
      </x:c>
      <x:c r="B860" s="14" t="str">
        <x:v>kingdom-bithynia</x:v>
      </x:c>
      <x:c r="C860" s="14" t="str">
        <x:v>src-attalus-1b40f4436114</x:v>
      </x:c>
      <x:c r="D860" s="14" t="str">
        <x:v>classification</x:v>
      </x:c>
      <x:c r="E860" s="20" t="b">
        <x:v>1</x:v>
      </x:c>
    </x:row>
    <x:row r="861" ht="24" customHeight="1">
      <x:c r="A861" s="14" t="str">
        <x:v>es-kingdom-bithynia-attalus-1b40f4436114-description</x:v>
      </x:c>
      <x:c r="B861" s="14" t="str">
        <x:v>kingdom-bithynia</x:v>
      </x:c>
      <x:c r="C861" s="14" t="str">
        <x:v>src-attalus-1b40f4436114</x:v>
      </x:c>
      <x:c r="D861" s="14" t="str">
        <x:v>description</x:v>
      </x:c>
      <x:c r="E861" s="20" t="b">
        <x:v>1</x:v>
      </x:c>
    </x:row>
    <x:row r="862" ht="24" customHeight="1">
      <x:c r="A862" s="14" t="str">
        <x:v>es-kingdom-bithynia-attalus-1b40f4436114-geometry</x:v>
      </x:c>
      <x:c r="B862" s="14" t="str">
        <x:v>kingdom-bithynia</x:v>
      </x:c>
      <x:c r="C862" s="14" t="str">
        <x:v>src-attalus-1b40f4436114</x:v>
      </x:c>
      <x:c r="D862" s="14" t="str">
        <x:v>geometry</x:v>
      </x:c>
      <x:c r="E862" s="20" t="b">
        <x:v>1</x:v>
      </x:c>
    </x:row>
    <x:row r="863" ht="24" customHeight="1">
      <x:c r="A863" s="14" t="str">
        <x:v>es-kingdom-bithynia-attalus-1b40f4436114-identity</x:v>
      </x:c>
      <x:c r="B863" s="14" t="str">
        <x:v>kingdom-bithynia</x:v>
      </x:c>
      <x:c r="C863" s="14" t="str">
        <x:v>src-attalus-1b40f4436114</x:v>
      </x:c>
      <x:c r="D863" s="14" t="str">
        <x:v>identity</x:v>
      </x:c>
      <x:c r="E863" s="20" t="b">
        <x:v>1</x:v>
      </x:c>
    </x:row>
    <x:row r="864" ht="24" customHeight="1">
      <x:c r="A864" s="14" t="str">
        <x:v>es-kingdom-bithynia-attalus-1b40f4436114-names</x:v>
      </x:c>
      <x:c r="B864" s="14" t="str">
        <x:v>kingdom-bithynia</x:v>
      </x:c>
      <x:c r="C864" s="14" t="str">
        <x:v>src-attalus-1b40f4436114</x:v>
      </x:c>
      <x:c r="D864" s="14" t="str">
        <x:v>names</x:v>
      </x:c>
      <x:c r="E864" s="20" t="b">
        <x:v>1</x:v>
      </x:c>
    </x:row>
    <x:row r="865" ht="24" customHeight="1">
      <x:c r="A865" s="14" t="str">
        <x:v>es-kingdom-bithynia-attalus-1b40f4436114-relationships</x:v>
      </x:c>
      <x:c r="B865" s="14" t="str">
        <x:v>kingdom-bithynia</x:v>
      </x:c>
      <x:c r="C865" s="14" t="str">
        <x:v>src-attalus-1b40f4436114</x:v>
      </x:c>
      <x:c r="D865" s="14" t="str">
        <x:v>relationships</x:v>
      </x:c>
      <x:c r="E865" s="20" t="b">
        <x:v>1</x:v>
      </x:c>
    </x:row>
    <x:row r="866" ht="24" customHeight="1">
      <x:c r="A866" s="14" t="str">
        <x:v>es-kingdom-bosporus-archaeanactid-iranicaonline-4a607235e191-chronology</x:v>
      </x:c>
      <x:c r="B866" s="14" t="str">
        <x:v>kingdom-bosporus-archaeanactid</x:v>
      </x:c>
      <x:c r="C866" s="14" t="str">
        <x:v>src-iranicaonline-4a607235e191</x:v>
      </x:c>
      <x:c r="D866" s="14" t="str">
        <x:v>chronology</x:v>
      </x:c>
      <x:c r="E866" s="20" t="b">
        <x:v>1</x:v>
      </x:c>
    </x:row>
    <x:row r="867" ht="24" customHeight="1">
      <x:c r="A867" s="14" t="str">
        <x:v>es-kingdom-bosporus-archaeanactid-iranicaonline-4a607235e191-classification</x:v>
      </x:c>
      <x:c r="B867" s="14" t="str">
        <x:v>kingdom-bosporus-archaeanactid</x:v>
      </x:c>
      <x:c r="C867" s="14" t="str">
        <x:v>src-iranicaonline-4a607235e191</x:v>
      </x:c>
      <x:c r="D867" s="14" t="str">
        <x:v>classification</x:v>
      </x:c>
      <x:c r="E867" s="20" t="b">
        <x:v>1</x:v>
      </x:c>
    </x:row>
    <x:row r="868" ht="24" customHeight="1">
      <x:c r="A868" s="14" t="str">
        <x:v>es-kingdom-bosporus-archaeanactid-iranicaonline-4a607235e191-description</x:v>
      </x:c>
      <x:c r="B868" s="14" t="str">
        <x:v>kingdom-bosporus-archaeanactid</x:v>
      </x:c>
      <x:c r="C868" s="14" t="str">
        <x:v>src-iranicaonline-4a607235e191</x:v>
      </x:c>
      <x:c r="D868" s="14" t="str">
        <x:v>description</x:v>
      </x:c>
      <x:c r="E868" s="20" t="b">
        <x:v>1</x:v>
      </x:c>
    </x:row>
    <x:row r="869" ht="24" customHeight="1">
      <x:c r="A869" s="14" t="str">
        <x:v>es-kingdom-bosporus-archaeanactid-iranicaonline-4a607235e191-geometry</x:v>
      </x:c>
      <x:c r="B869" s="14" t="str">
        <x:v>kingdom-bosporus-archaeanactid</x:v>
      </x:c>
      <x:c r="C869" s="14" t="str">
        <x:v>src-iranicaonline-4a607235e191</x:v>
      </x:c>
      <x:c r="D869" s="14" t="str">
        <x:v>geometry</x:v>
      </x:c>
      <x:c r="E869" s="20" t="b">
        <x:v>1</x:v>
      </x:c>
    </x:row>
    <x:row r="870" ht="24" customHeight="1">
      <x:c r="A870" s="14" t="str">
        <x:v>es-kingdom-bosporus-archaeanactid-iranicaonline-4a607235e191-identity</x:v>
      </x:c>
      <x:c r="B870" s="14" t="str">
        <x:v>kingdom-bosporus-archaeanactid</x:v>
      </x:c>
      <x:c r="C870" s="14" t="str">
        <x:v>src-iranicaonline-4a607235e191</x:v>
      </x:c>
      <x:c r="D870" s="14" t="str">
        <x:v>identity</x:v>
      </x:c>
      <x:c r="E870" s="20" t="b">
        <x:v>1</x:v>
      </x:c>
    </x:row>
    <x:row r="871" ht="24" customHeight="1">
      <x:c r="A871" s="14" t="str">
        <x:v>es-kingdom-bosporus-archaeanactid-iranicaonline-4a607235e191-names</x:v>
      </x:c>
      <x:c r="B871" s="14" t="str">
        <x:v>kingdom-bosporus-archaeanactid</x:v>
      </x:c>
      <x:c r="C871" s="14" t="str">
        <x:v>src-iranicaonline-4a607235e191</x:v>
      </x:c>
      <x:c r="D871" s="14" t="str">
        <x:v>names</x:v>
      </x:c>
      <x:c r="E871" s="20" t="b">
        <x:v>1</x:v>
      </x:c>
    </x:row>
    <x:row r="872" ht="24" customHeight="1">
      <x:c r="A872" s="14" t="str">
        <x:v>es-kingdom-bosporus-archaeanactid-iranicaonline-4a607235e191-relationships</x:v>
      </x:c>
      <x:c r="B872" s="14" t="str">
        <x:v>kingdom-bosporus-archaeanactid</x:v>
      </x:c>
      <x:c r="C872" s="14" t="str">
        <x:v>src-iranicaonline-4a607235e191</x:v>
      </x:c>
      <x:c r="D872" s="14" t="str">
        <x:v>relationships</x:v>
      </x:c>
      <x:c r="E872" s="20" t="b">
        <x:v>1</x:v>
      </x:c>
    </x:row>
    <x:row r="873" ht="24" customHeight="1">
      <x:c r="A873" s="14" t="str">
        <x:v>es-kingdom-bosporus-mithridatic-iranicaonline-4a607235e191-chronology</x:v>
      </x:c>
      <x:c r="B873" s="14" t="str">
        <x:v>kingdom-bosporus-mithridatic</x:v>
      </x:c>
      <x:c r="C873" s="14" t="str">
        <x:v>src-iranicaonline-4a607235e191</x:v>
      </x:c>
      <x:c r="D873" s="14" t="str">
        <x:v>chronology</x:v>
      </x:c>
      <x:c r="E873" s="20" t="b">
        <x:v>1</x:v>
      </x:c>
    </x:row>
    <x:row r="874" ht="24" customHeight="1">
      <x:c r="A874" s="14" t="str">
        <x:v>es-kingdom-bosporus-mithridatic-iranicaonline-4a607235e191-classification</x:v>
      </x:c>
      <x:c r="B874" s="14" t="str">
        <x:v>kingdom-bosporus-mithridatic</x:v>
      </x:c>
      <x:c r="C874" s="14" t="str">
        <x:v>src-iranicaonline-4a607235e191</x:v>
      </x:c>
      <x:c r="D874" s="14" t="str">
        <x:v>classification</x:v>
      </x:c>
      <x:c r="E874" s="20" t="b">
        <x:v>1</x:v>
      </x:c>
    </x:row>
    <x:row r="875" ht="24" customHeight="1">
      <x:c r="A875" s="14" t="str">
        <x:v>es-kingdom-bosporus-mithridatic-iranicaonline-4a607235e191-description</x:v>
      </x:c>
      <x:c r="B875" s="14" t="str">
        <x:v>kingdom-bosporus-mithridatic</x:v>
      </x:c>
      <x:c r="C875" s="14" t="str">
        <x:v>src-iranicaonline-4a607235e191</x:v>
      </x:c>
      <x:c r="D875" s="14" t="str">
        <x:v>description</x:v>
      </x:c>
      <x:c r="E875" s="20" t="b">
        <x:v>1</x:v>
      </x:c>
    </x:row>
    <x:row r="876" ht="24" customHeight="1">
      <x:c r="A876" s="14" t="str">
        <x:v>es-kingdom-bosporus-mithridatic-iranicaonline-4a607235e191-geometry</x:v>
      </x:c>
      <x:c r="B876" s="14" t="str">
        <x:v>kingdom-bosporus-mithridatic</x:v>
      </x:c>
      <x:c r="C876" s="14" t="str">
        <x:v>src-iranicaonline-4a607235e191</x:v>
      </x:c>
      <x:c r="D876" s="14" t="str">
        <x:v>geometry</x:v>
      </x:c>
      <x:c r="E876" s="20" t="b">
        <x:v>1</x:v>
      </x:c>
    </x:row>
    <x:row r="877" ht="24" customHeight="1">
      <x:c r="A877" s="14" t="str">
        <x:v>es-kingdom-bosporus-mithridatic-iranicaonline-4a607235e191-identity</x:v>
      </x:c>
      <x:c r="B877" s="14" t="str">
        <x:v>kingdom-bosporus-mithridatic</x:v>
      </x:c>
      <x:c r="C877" s="14" t="str">
        <x:v>src-iranicaonline-4a607235e191</x:v>
      </x:c>
      <x:c r="D877" s="14" t="str">
        <x:v>identity</x:v>
      </x:c>
      <x:c r="E877" s="20" t="b">
        <x:v>1</x:v>
      </x:c>
    </x:row>
    <x:row r="878" ht="24" customHeight="1">
      <x:c r="A878" s="14" t="str">
        <x:v>es-kingdom-bosporus-mithridatic-iranicaonline-4a607235e191-names</x:v>
      </x:c>
      <x:c r="B878" s="14" t="str">
        <x:v>kingdom-bosporus-mithridatic</x:v>
      </x:c>
      <x:c r="C878" s="14" t="str">
        <x:v>src-iranicaonline-4a607235e191</x:v>
      </x:c>
      <x:c r="D878" s="14" t="str">
        <x:v>names</x:v>
      </x:c>
      <x:c r="E878" s="20" t="b">
        <x:v>1</x:v>
      </x:c>
    </x:row>
    <x:row r="879" ht="24" customHeight="1">
      <x:c r="A879" s="14" t="str">
        <x:v>es-kingdom-bosporus-mithridatic-iranicaonline-4a607235e191-relationships</x:v>
      </x:c>
      <x:c r="B879" s="14" t="str">
        <x:v>kingdom-bosporus-mithridatic</x:v>
      </x:c>
      <x:c r="C879" s="14" t="str">
        <x:v>src-iranicaonline-4a607235e191</x:v>
      </x:c>
      <x:c r="D879" s="14" t="str">
        <x:v>relationships</x:v>
      </x:c>
      <x:c r="E879" s="20" t="b">
        <x:v>1</x:v>
      </x:c>
    </x:row>
    <x:row r="880" ht="24" customHeight="1">
      <x:c r="A880" s="14" t="str">
        <x:v>es-kingdom-bosporus-spartocid-encyclopediaofukraine-237e86aa1350-chronology</x:v>
      </x:c>
      <x:c r="B880" s="14" t="str">
        <x:v>kingdom-bosporus-spartocid</x:v>
      </x:c>
      <x:c r="C880" s="14" t="str">
        <x:v>src-encyclopediaofukraine-237e86aa1350</x:v>
      </x:c>
      <x:c r="D880" s="14" t="str">
        <x:v>chronology</x:v>
      </x:c>
      <x:c r="E880" s="20" t="b">
        <x:v>1</x:v>
      </x:c>
    </x:row>
    <x:row r="881" ht="24" customHeight="1">
      <x:c r="A881" s="14" t="str">
        <x:v>es-kingdom-bosporus-spartocid-encyclopediaofukraine-237e86aa1350-classification</x:v>
      </x:c>
      <x:c r="B881" s="14" t="str">
        <x:v>kingdom-bosporus-spartocid</x:v>
      </x:c>
      <x:c r="C881" s="14" t="str">
        <x:v>src-encyclopediaofukraine-237e86aa1350</x:v>
      </x:c>
      <x:c r="D881" s="14" t="str">
        <x:v>classification</x:v>
      </x:c>
      <x:c r="E881" s="20" t="b">
        <x:v>1</x:v>
      </x:c>
    </x:row>
    <x:row r="882" ht="24" customHeight="1">
      <x:c r="A882" s="14" t="str">
        <x:v>es-kingdom-bosporus-spartocid-encyclopediaofukraine-237e86aa1350-description</x:v>
      </x:c>
      <x:c r="B882" s="14" t="str">
        <x:v>kingdom-bosporus-spartocid</x:v>
      </x:c>
      <x:c r="C882" s="14" t="str">
        <x:v>src-encyclopediaofukraine-237e86aa1350</x:v>
      </x:c>
      <x:c r="D882" s="14" t="str">
        <x:v>description</x:v>
      </x:c>
      <x:c r="E882" s="20" t="b">
        <x:v>1</x:v>
      </x:c>
    </x:row>
    <x:row r="883" ht="24" customHeight="1">
      <x:c r="A883" s="14" t="str">
        <x:v>es-kingdom-bosporus-spartocid-encyclopediaofukraine-237e86aa1350-geometry</x:v>
      </x:c>
      <x:c r="B883" s="14" t="str">
        <x:v>kingdom-bosporus-spartocid</x:v>
      </x:c>
      <x:c r="C883" s="14" t="str">
        <x:v>src-encyclopediaofukraine-237e86aa1350</x:v>
      </x:c>
      <x:c r="D883" s="14" t="str">
        <x:v>geometry</x:v>
      </x:c>
      <x:c r="E883" s="20" t="b">
        <x:v>1</x:v>
      </x:c>
    </x:row>
    <x:row r="884" ht="24" customHeight="1">
      <x:c r="A884" s="14" t="str">
        <x:v>es-kingdom-bosporus-spartocid-encyclopediaofukraine-237e86aa1350-identity</x:v>
      </x:c>
      <x:c r="B884" s="14" t="str">
        <x:v>kingdom-bosporus-spartocid</x:v>
      </x:c>
      <x:c r="C884" s="14" t="str">
        <x:v>src-encyclopediaofukraine-237e86aa1350</x:v>
      </x:c>
      <x:c r="D884" s="14" t="str">
        <x:v>identity</x:v>
      </x:c>
      <x:c r="E884" s="20" t="b">
        <x:v>1</x:v>
      </x:c>
    </x:row>
    <x:row r="885" ht="24" customHeight="1">
      <x:c r="A885" s="14" t="str">
        <x:v>es-kingdom-bosporus-spartocid-encyclopediaofukraine-237e86aa1350-names</x:v>
      </x:c>
      <x:c r="B885" s="14" t="str">
        <x:v>kingdom-bosporus-spartocid</x:v>
      </x:c>
      <x:c r="C885" s="14" t="str">
        <x:v>src-encyclopediaofukraine-237e86aa1350</x:v>
      </x:c>
      <x:c r="D885" s="14" t="str">
        <x:v>names</x:v>
      </x:c>
      <x:c r="E885" s="20" t="b">
        <x:v>1</x:v>
      </x:c>
    </x:row>
    <x:row r="886" ht="24" customHeight="1">
      <x:c r="A886" s="14" t="str">
        <x:v>es-kingdom-bosporus-spartocid-encyclopediaofukraine-237e86aa1350-relationships</x:v>
      </x:c>
      <x:c r="B886" s="14" t="str">
        <x:v>kingdom-bosporus-spartocid</x:v>
      </x:c>
      <x:c r="C886" s="14" t="str">
        <x:v>src-encyclopediaofukraine-237e86aa1350</x:v>
      </x:c>
      <x:c r="D886" s="14" t="str">
        <x:v>relationships</x:v>
      </x:c>
      <x:c r="E886" s="20" t="b">
        <x:v>1</x:v>
      </x:c>
    </x:row>
    <x:row r="887" ht="24" customHeight="1">
      <x:c r="A887" s="14" t="str">
        <x:v>es-kingdom-cappadocia-ariarathid-iranicaonline-0624b0b64cf3-chronology</x:v>
      </x:c>
      <x:c r="B887" s="14" t="str">
        <x:v>kingdom-cappadocia-ariarathid</x:v>
      </x:c>
      <x:c r="C887" s="14" t="str">
        <x:v>src-iranicaonline-0624b0b64cf3</x:v>
      </x:c>
      <x:c r="D887" s="14" t="str">
        <x:v>chronology</x:v>
      </x:c>
      <x:c r="E887" s="20" t="b">
        <x:v>1</x:v>
      </x:c>
    </x:row>
    <x:row r="888" ht="24" customHeight="1">
      <x:c r="A888" s="14" t="str">
        <x:v>es-kingdom-cappadocia-ariarathid-iranicaonline-0624b0b64cf3-classification</x:v>
      </x:c>
      <x:c r="B888" s="14" t="str">
        <x:v>kingdom-cappadocia-ariarathid</x:v>
      </x:c>
      <x:c r="C888" s="14" t="str">
        <x:v>src-iranicaonline-0624b0b64cf3</x:v>
      </x:c>
      <x:c r="D888" s="14" t="str">
        <x:v>classification</x:v>
      </x:c>
      <x:c r="E888" s="20" t="b">
        <x:v>1</x:v>
      </x:c>
    </x:row>
    <x:row r="889" ht="24" customHeight="1">
      <x:c r="A889" s="14" t="str">
        <x:v>es-kingdom-cappadocia-ariarathid-iranicaonline-0624b0b64cf3-description</x:v>
      </x:c>
      <x:c r="B889" s="14" t="str">
        <x:v>kingdom-cappadocia-ariarathid</x:v>
      </x:c>
      <x:c r="C889" s="14" t="str">
        <x:v>src-iranicaonline-0624b0b64cf3</x:v>
      </x:c>
      <x:c r="D889" s="14" t="str">
        <x:v>description</x:v>
      </x:c>
      <x:c r="E889" s="20" t="b">
        <x:v>1</x:v>
      </x:c>
    </x:row>
    <x:row r="890" ht="24" customHeight="1">
      <x:c r="A890" s="14" t="str">
        <x:v>es-kingdom-cappadocia-ariarathid-iranicaonline-0624b0b64cf3-geometry</x:v>
      </x:c>
      <x:c r="B890" s="14" t="str">
        <x:v>kingdom-cappadocia-ariarathid</x:v>
      </x:c>
      <x:c r="C890" s="14" t="str">
        <x:v>src-iranicaonline-0624b0b64cf3</x:v>
      </x:c>
      <x:c r="D890" s="14" t="str">
        <x:v>geometry</x:v>
      </x:c>
      <x:c r="E890" s="20" t="b">
        <x:v>1</x:v>
      </x:c>
    </x:row>
    <x:row r="891" ht="24" customHeight="1">
      <x:c r="A891" s="14" t="str">
        <x:v>es-kingdom-cappadocia-ariarathid-iranicaonline-0624b0b64cf3-identity</x:v>
      </x:c>
      <x:c r="B891" s="14" t="str">
        <x:v>kingdom-cappadocia-ariarathid</x:v>
      </x:c>
      <x:c r="C891" s="14" t="str">
        <x:v>src-iranicaonline-0624b0b64cf3</x:v>
      </x:c>
      <x:c r="D891" s="14" t="str">
        <x:v>identity</x:v>
      </x:c>
      <x:c r="E891" s="20" t="b">
        <x:v>1</x:v>
      </x:c>
    </x:row>
    <x:row r="892" ht="24" customHeight="1">
      <x:c r="A892" s="14" t="str">
        <x:v>es-kingdom-cappadocia-ariarathid-iranicaonline-0624b0b64cf3-names</x:v>
      </x:c>
      <x:c r="B892" s="14" t="str">
        <x:v>kingdom-cappadocia-ariarathid</x:v>
      </x:c>
      <x:c r="C892" s="14" t="str">
        <x:v>src-iranicaonline-0624b0b64cf3</x:v>
      </x:c>
      <x:c r="D892" s="14" t="str">
        <x:v>names</x:v>
      </x:c>
      <x:c r="E892" s="20" t="b">
        <x:v>1</x:v>
      </x:c>
    </x:row>
    <x:row r="893" ht="24" customHeight="1">
      <x:c r="A893" s="14" t="str">
        <x:v>es-kingdom-cappadocia-ariarathid-iranicaonline-0624b0b64cf3-relationships</x:v>
      </x:c>
      <x:c r="B893" s="14" t="str">
        <x:v>kingdom-cappadocia-ariarathid</x:v>
      </x:c>
      <x:c r="C893" s="14" t="str">
        <x:v>src-iranicaonline-0624b0b64cf3</x:v>
      </x:c>
      <x:c r="D893" s="14" t="str">
        <x:v>relationships</x:v>
      </x:c>
      <x:c r="E893" s="20" t="b">
        <x:v>1</x:v>
      </x:c>
    </x:row>
    <x:row r="894" ht="24" customHeight="1">
      <x:c r="A894" s="14" t="str">
        <x:v>es-kingdom-cappadocia-late-client-iranicaonline-0624b0b64cf3-chronology</x:v>
      </x:c>
      <x:c r="B894" s="14" t="str">
        <x:v>kingdom-cappadocia-late-client</x:v>
      </x:c>
      <x:c r="C894" s="14" t="str">
        <x:v>src-iranicaonline-0624b0b64cf3</x:v>
      </x:c>
      <x:c r="D894" s="14" t="str">
        <x:v>chronology</x:v>
      </x:c>
      <x:c r="E894" s="20" t="b">
        <x:v>1</x:v>
      </x:c>
    </x:row>
    <x:row r="895" ht="24" customHeight="1">
      <x:c r="A895" s="14" t="str">
        <x:v>es-kingdom-cappadocia-late-client-iranicaonline-0624b0b64cf3-classification</x:v>
      </x:c>
      <x:c r="B895" s="14" t="str">
        <x:v>kingdom-cappadocia-late-client</x:v>
      </x:c>
      <x:c r="C895" s="14" t="str">
        <x:v>src-iranicaonline-0624b0b64cf3</x:v>
      </x:c>
      <x:c r="D895" s="14" t="str">
        <x:v>classification</x:v>
      </x:c>
      <x:c r="E895" s="20" t="b">
        <x:v>1</x:v>
      </x:c>
    </x:row>
    <x:row r="896" ht="24" customHeight="1">
      <x:c r="A896" s="14" t="str">
        <x:v>es-kingdom-cappadocia-late-client-iranicaonline-0624b0b64cf3-description</x:v>
      </x:c>
      <x:c r="B896" s="14" t="str">
        <x:v>kingdom-cappadocia-late-client</x:v>
      </x:c>
      <x:c r="C896" s="14" t="str">
        <x:v>src-iranicaonline-0624b0b64cf3</x:v>
      </x:c>
      <x:c r="D896" s="14" t="str">
        <x:v>description</x:v>
      </x:c>
      <x:c r="E896" s="20" t="b">
        <x:v>1</x:v>
      </x:c>
    </x:row>
    <x:row r="897" ht="24" customHeight="1">
      <x:c r="A897" s="14" t="str">
        <x:v>es-kingdom-cappadocia-late-client-iranicaonline-0624b0b64cf3-geometry</x:v>
      </x:c>
      <x:c r="B897" s="14" t="str">
        <x:v>kingdom-cappadocia-late-client</x:v>
      </x:c>
      <x:c r="C897" s="14" t="str">
        <x:v>src-iranicaonline-0624b0b64cf3</x:v>
      </x:c>
      <x:c r="D897" s="14" t="str">
        <x:v>geometry</x:v>
      </x:c>
      <x:c r="E897" s="20" t="b">
        <x:v>1</x:v>
      </x:c>
    </x:row>
    <x:row r="898" ht="24" customHeight="1">
      <x:c r="A898" s="14" t="str">
        <x:v>es-kingdom-cappadocia-late-client-iranicaonline-0624b0b64cf3-identity</x:v>
      </x:c>
      <x:c r="B898" s="14" t="str">
        <x:v>kingdom-cappadocia-late-client</x:v>
      </x:c>
      <x:c r="C898" s="14" t="str">
        <x:v>src-iranicaonline-0624b0b64cf3</x:v>
      </x:c>
      <x:c r="D898" s="14" t="str">
        <x:v>identity</x:v>
      </x:c>
      <x:c r="E898" s="20" t="b">
        <x:v>1</x:v>
      </x:c>
    </x:row>
    <x:row r="899" ht="24" customHeight="1">
      <x:c r="A899" s="14" t="str">
        <x:v>es-kingdom-cappadocia-late-client-iranicaonline-0624b0b64cf3-names</x:v>
      </x:c>
      <x:c r="B899" s="14" t="str">
        <x:v>kingdom-cappadocia-late-client</x:v>
      </x:c>
      <x:c r="C899" s="14" t="str">
        <x:v>src-iranicaonline-0624b0b64cf3</x:v>
      </x:c>
      <x:c r="D899" s="14" t="str">
        <x:v>names</x:v>
      </x:c>
      <x:c r="E899" s="20" t="b">
        <x:v>1</x:v>
      </x:c>
    </x:row>
    <x:row r="900" ht="24" customHeight="1">
      <x:c r="A900" s="14" t="str">
        <x:v>es-kingdom-cappadocia-late-client-iranicaonline-0624b0b64cf3-relationships</x:v>
      </x:c>
      <x:c r="B900" s="14" t="str">
        <x:v>kingdom-cappadocia-late-client</x:v>
      </x:c>
      <x:c r="C900" s="14" t="str">
        <x:v>src-iranicaonline-0624b0b64cf3</x:v>
      </x:c>
      <x:c r="D900" s="14" t="str">
        <x:v>relationships</x:v>
      </x:c>
      <x:c r="E900" s="20" t="b">
        <x:v>1</x:v>
      </x:c>
    </x:row>
    <x:row r="901" ht="24" customHeight="1">
      <x:c r="A901" s="14" t="str">
        <x:v>es-kingdom-commagene-whc-758c2c416617-chronology</x:v>
      </x:c>
      <x:c r="B901" s="14" t="str">
        <x:v>kingdom-commagene</x:v>
      </x:c>
      <x:c r="C901" s="14" t="str">
        <x:v>src-whc-758c2c416617</x:v>
      </x:c>
      <x:c r="D901" s="14" t="str">
        <x:v>chronology</x:v>
      </x:c>
      <x:c r="E901" s="20" t="b">
        <x:v>1</x:v>
      </x:c>
    </x:row>
    <x:row r="902" ht="24" customHeight="1">
      <x:c r="A902" s="14" t="str">
        <x:v>es-kingdom-commagene-whc-758c2c416617-classification</x:v>
      </x:c>
      <x:c r="B902" s="14" t="str">
        <x:v>kingdom-commagene</x:v>
      </x:c>
      <x:c r="C902" s="14" t="str">
        <x:v>src-whc-758c2c416617</x:v>
      </x:c>
      <x:c r="D902" s="14" t="str">
        <x:v>classification</x:v>
      </x:c>
      <x:c r="E902" s="20" t="b">
        <x:v>1</x:v>
      </x:c>
    </x:row>
    <x:row r="903" ht="24" customHeight="1">
      <x:c r="A903" s="14" t="str">
        <x:v>es-kingdom-commagene-whc-758c2c416617-description</x:v>
      </x:c>
      <x:c r="B903" s="14" t="str">
        <x:v>kingdom-commagene</x:v>
      </x:c>
      <x:c r="C903" s="14" t="str">
        <x:v>src-whc-758c2c416617</x:v>
      </x:c>
      <x:c r="D903" s="14" t="str">
        <x:v>description</x:v>
      </x:c>
      <x:c r="E903" s="20" t="b">
        <x:v>1</x:v>
      </x:c>
    </x:row>
    <x:row r="904" ht="24" customHeight="1">
      <x:c r="A904" s="14" t="str">
        <x:v>es-kingdom-commagene-whc-758c2c416617-geometry</x:v>
      </x:c>
      <x:c r="B904" s="14" t="str">
        <x:v>kingdom-commagene</x:v>
      </x:c>
      <x:c r="C904" s="14" t="str">
        <x:v>src-whc-758c2c416617</x:v>
      </x:c>
      <x:c r="D904" s="14" t="str">
        <x:v>geometry</x:v>
      </x:c>
      <x:c r="E904" s="20" t="b">
        <x:v>1</x:v>
      </x:c>
    </x:row>
    <x:row r="905" ht="24" customHeight="1">
      <x:c r="A905" s="14" t="str">
        <x:v>es-kingdom-commagene-whc-758c2c416617-identity</x:v>
      </x:c>
      <x:c r="B905" s="14" t="str">
        <x:v>kingdom-commagene</x:v>
      </x:c>
      <x:c r="C905" s="14" t="str">
        <x:v>src-whc-758c2c416617</x:v>
      </x:c>
      <x:c r="D905" s="14" t="str">
        <x:v>identity</x:v>
      </x:c>
      <x:c r="E905" s="20" t="b">
        <x:v>1</x:v>
      </x:c>
    </x:row>
    <x:row r="906" ht="24" customHeight="1">
      <x:c r="A906" s="14" t="str">
        <x:v>es-kingdom-commagene-whc-758c2c416617-names</x:v>
      </x:c>
      <x:c r="B906" s="14" t="str">
        <x:v>kingdom-commagene</x:v>
      </x:c>
      <x:c r="C906" s="14" t="str">
        <x:v>src-whc-758c2c416617</x:v>
      </x:c>
      <x:c r="D906" s="14" t="str">
        <x:v>names</x:v>
      </x:c>
      <x:c r="E906" s="20" t="b">
        <x:v>1</x:v>
      </x:c>
    </x:row>
    <x:row r="907" ht="24" customHeight="1">
      <x:c r="A907" s="14" t="str">
        <x:v>es-kingdom-commagene-whc-758c2c416617-relationships</x:v>
      </x:c>
      <x:c r="B907" s="14" t="str">
        <x:v>kingdom-commagene</x:v>
      </x:c>
      <x:c r="C907" s="14" t="str">
        <x:v>src-whc-758c2c416617</x:v>
      </x:c>
      <x:c r="D907" s="14" t="str">
        <x:v>relationships</x:v>
      </x:c>
      <x:c r="E907" s="20" t="b">
        <x:v>1</x:v>
      </x:c>
    </x:row>
    <x:row r="908" ht="24" customHeight="1">
      <x:c r="A908" s="14" t="str">
        <x:v>es-kingdom-cyrene-battiad-whc-52a1efeb60e3-chronology</x:v>
      </x:c>
      <x:c r="B908" s="14" t="str">
        <x:v>kingdom-cyrene-battiad</x:v>
      </x:c>
      <x:c r="C908" s="14" t="str">
        <x:v>src-whc-52a1efeb60e3</x:v>
      </x:c>
      <x:c r="D908" s="14" t="str">
        <x:v>chronology</x:v>
      </x:c>
      <x:c r="E908" s="20" t="b">
        <x:v>1</x:v>
      </x:c>
    </x:row>
    <x:row r="909" ht="24" customHeight="1">
      <x:c r="A909" s="14" t="str">
        <x:v>es-kingdom-cyrene-battiad-whc-52a1efeb60e3-classification</x:v>
      </x:c>
      <x:c r="B909" s="14" t="str">
        <x:v>kingdom-cyrene-battiad</x:v>
      </x:c>
      <x:c r="C909" s="14" t="str">
        <x:v>src-whc-52a1efeb60e3</x:v>
      </x:c>
      <x:c r="D909" s="14" t="str">
        <x:v>classification</x:v>
      </x:c>
      <x:c r="E909" s="20" t="b">
        <x:v>1</x:v>
      </x:c>
    </x:row>
    <x:row r="910" ht="24" customHeight="1">
      <x:c r="A910" s="14" t="str">
        <x:v>es-kingdom-cyrene-battiad-whc-52a1efeb60e3-description</x:v>
      </x:c>
      <x:c r="B910" s="14" t="str">
        <x:v>kingdom-cyrene-battiad</x:v>
      </x:c>
      <x:c r="C910" s="14" t="str">
        <x:v>src-whc-52a1efeb60e3</x:v>
      </x:c>
      <x:c r="D910" s="14" t="str">
        <x:v>description</x:v>
      </x:c>
      <x:c r="E910" s="20" t="b">
        <x:v>1</x:v>
      </x:c>
    </x:row>
    <x:row r="911" ht="24" customHeight="1">
      <x:c r="A911" s="14" t="str">
        <x:v>es-kingdom-cyrene-battiad-whc-52a1efeb60e3-geometry</x:v>
      </x:c>
      <x:c r="B911" s="14" t="str">
        <x:v>kingdom-cyrene-battiad</x:v>
      </x:c>
      <x:c r="C911" s="14" t="str">
        <x:v>src-whc-52a1efeb60e3</x:v>
      </x:c>
      <x:c r="D911" s="14" t="str">
        <x:v>geometry</x:v>
      </x:c>
      <x:c r="E911" s="20" t="b">
        <x:v>1</x:v>
      </x:c>
    </x:row>
    <x:row r="912" ht="24" customHeight="1">
      <x:c r="A912" s="14" t="str">
        <x:v>es-kingdom-cyrene-battiad-whc-52a1efeb60e3-identity</x:v>
      </x:c>
      <x:c r="B912" s="14" t="str">
        <x:v>kingdom-cyrene-battiad</x:v>
      </x:c>
      <x:c r="C912" s="14" t="str">
        <x:v>src-whc-52a1efeb60e3</x:v>
      </x:c>
      <x:c r="D912" s="14" t="str">
        <x:v>identity</x:v>
      </x:c>
      <x:c r="E912" s="20" t="b">
        <x:v>1</x:v>
      </x:c>
    </x:row>
    <x:row r="913" ht="24" customHeight="1">
      <x:c r="A913" s="14" t="str">
        <x:v>es-kingdom-cyrene-battiad-whc-52a1efeb60e3-names</x:v>
      </x:c>
      <x:c r="B913" s="14" t="str">
        <x:v>kingdom-cyrene-battiad</x:v>
      </x:c>
      <x:c r="C913" s="14" t="str">
        <x:v>src-whc-52a1efeb60e3</x:v>
      </x:c>
      <x:c r="D913" s="14" t="str">
        <x:v>names</x:v>
      </x:c>
      <x:c r="E913" s="20" t="b">
        <x:v>1</x:v>
      </x:c>
    </x:row>
    <x:row r="914" ht="24" customHeight="1">
      <x:c r="A914" s="14" t="str">
        <x:v>es-kingdom-cyrene-battiad-whc-52a1efeb60e3-relationships</x:v>
      </x:c>
      <x:c r="B914" s="14" t="str">
        <x:v>kingdom-cyrene-battiad</x:v>
      </x:c>
      <x:c r="C914" s="14" t="str">
        <x:v>src-whc-52a1efeb60e3</x:v>
      </x:c>
      <x:c r="D914" s="14" t="str">
        <x:v>relationships</x:v>
      </x:c>
      <x:c r="E914" s="20" t="b">
        <x:v>1</x:v>
      </x:c>
    </x:row>
    <x:row r="915" ht="24" customHeight="1">
      <x:c r="A915" s="14" t="str">
        <x:v>es-kingdom-cyrene-magas-assets-5a2ee3f98c16-chronology</x:v>
      </x:c>
      <x:c r="B915" s="14" t="str">
        <x:v>kingdom-cyrene-magas</x:v>
      </x:c>
      <x:c r="C915" s="14" t="str">
        <x:v>src-assets-5a2ee3f98c16</x:v>
      </x:c>
      <x:c r="D915" s="14" t="str">
        <x:v>chronology</x:v>
      </x:c>
      <x:c r="E915" s="20" t="b">
        <x:v>0</x:v>
      </x:c>
    </x:row>
    <x:row r="916" ht="24" customHeight="1">
      <x:c r="A916" s="14" t="str">
        <x:v>es-kingdom-cyrene-magas-assets-5a2ee3f98c16-classification</x:v>
      </x:c>
      <x:c r="B916" s="14" t="str">
        <x:v>kingdom-cyrene-magas</x:v>
      </x:c>
      <x:c r="C916" s="14" t="str">
        <x:v>src-assets-5a2ee3f98c16</x:v>
      </x:c>
      <x:c r="D916" s="14" t="str">
        <x:v>classification</x:v>
      </x:c>
      <x:c r="E916" s="20" t="b">
        <x:v>0</x:v>
      </x:c>
    </x:row>
    <x:row r="917" ht="24" customHeight="1">
      <x:c r="A917" s="14" t="str">
        <x:v>es-kingdom-cyrene-magas-assets-5a2ee3f98c16-description</x:v>
      </x:c>
      <x:c r="B917" s="14" t="str">
        <x:v>kingdom-cyrene-magas</x:v>
      </x:c>
      <x:c r="C917" s="14" t="str">
        <x:v>src-assets-5a2ee3f98c16</x:v>
      </x:c>
      <x:c r="D917" s="14" t="str">
        <x:v>description</x:v>
      </x:c>
      <x:c r="E917" s="20" t="b">
        <x:v>0</x:v>
      </x:c>
    </x:row>
    <x:row r="918" ht="24" customHeight="1">
      <x:c r="A918" s="14" t="str">
        <x:v>es-kingdom-cyrene-magas-assets-5a2ee3f98c16-geometry</x:v>
      </x:c>
      <x:c r="B918" s="14" t="str">
        <x:v>kingdom-cyrene-magas</x:v>
      </x:c>
      <x:c r="C918" s="14" t="str">
        <x:v>src-assets-5a2ee3f98c16</x:v>
      </x:c>
      <x:c r="D918" s="14" t="str">
        <x:v>geometry</x:v>
      </x:c>
      <x:c r="E918" s="20" t="b">
        <x:v>0</x:v>
      </x:c>
    </x:row>
    <x:row r="919" ht="24" customHeight="1">
      <x:c r="A919" s="14" t="str">
        <x:v>es-kingdom-cyrene-magas-assets-5a2ee3f98c16-identity</x:v>
      </x:c>
      <x:c r="B919" s="14" t="str">
        <x:v>kingdom-cyrene-magas</x:v>
      </x:c>
      <x:c r="C919" s="14" t="str">
        <x:v>src-assets-5a2ee3f98c16</x:v>
      </x:c>
      <x:c r="D919" s="14" t="str">
        <x:v>identity</x:v>
      </x:c>
      <x:c r="E919" s="20" t="b">
        <x:v>0</x:v>
      </x:c>
    </x:row>
    <x:row r="920" ht="24" customHeight="1">
      <x:c r="A920" s="14" t="str">
        <x:v>es-kingdom-cyrene-magas-assets-5a2ee3f98c16-names</x:v>
      </x:c>
      <x:c r="B920" s="14" t="str">
        <x:v>kingdom-cyrene-magas</x:v>
      </x:c>
      <x:c r="C920" s="14" t="str">
        <x:v>src-assets-5a2ee3f98c16</x:v>
      </x:c>
      <x:c r="D920" s="14" t="str">
        <x:v>names</x:v>
      </x:c>
      <x:c r="E920" s="20" t="b">
        <x:v>0</x:v>
      </x:c>
    </x:row>
    <x:row r="921" ht="24" customHeight="1">
      <x:c r="A921" s="14" t="str">
        <x:v>es-kingdom-cyrene-magas-assets-5a2ee3f98c16-relationships</x:v>
      </x:c>
      <x:c r="B921" s="14" t="str">
        <x:v>kingdom-cyrene-magas</x:v>
      </x:c>
      <x:c r="C921" s="14" t="str">
        <x:v>src-assets-5a2ee3f98c16</x:v>
      </x:c>
      <x:c r="D921" s="14" t="str">
        <x:v>relationships</x:v>
      </x:c>
      <x:c r="E921" s="20" t="b">
        <x:v>0</x:v>
      </x:c>
    </x:row>
    <x:row r="922" ht="24" customHeight="1">
      <x:c r="A922" s="14" t="str">
        <x:v>es-kingdom-cyrene-magas-persee-a9866e5e43d7-chronology</x:v>
      </x:c>
      <x:c r="B922" s="14" t="str">
        <x:v>kingdom-cyrene-magas</x:v>
      </x:c>
      <x:c r="C922" s="14" t="str">
        <x:v>src-persee-a9866e5e43d7</x:v>
      </x:c>
      <x:c r="D922" s="14" t="str">
        <x:v>chronology</x:v>
      </x:c>
      <x:c r="E922" s="20" t="b">
        <x:v>1</x:v>
      </x:c>
    </x:row>
    <x:row r="923" ht="24" customHeight="1">
      <x:c r="A923" s="14" t="str">
        <x:v>es-kingdom-cyrene-magas-persee-a9866e5e43d7-classification</x:v>
      </x:c>
      <x:c r="B923" s="14" t="str">
        <x:v>kingdom-cyrene-magas</x:v>
      </x:c>
      <x:c r="C923" s="14" t="str">
        <x:v>src-persee-a9866e5e43d7</x:v>
      </x:c>
      <x:c r="D923" s="14" t="str">
        <x:v>classification</x:v>
      </x:c>
      <x:c r="E923" s="20" t="b">
        <x:v>1</x:v>
      </x:c>
    </x:row>
    <x:row r="924" ht="24" customHeight="1">
      <x:c r="A924" s="14" t="str">
        <x:v>es-kingdom-cyrene-magas-persee-a9866e5e43d7-description</x:v>
      </x:c>
      <x:c r="B924" s="14" t="str">
        <x:v>kingdom-cyrene-magas</x:v>
      </x:c>
      <x:c r="C924" s="14" t="str">
        <x:v>src-persee-a9866e5e43d7</x:v>
      </x:c>
      <x:c r="D924" s="14" t="str">
        <x:v>description</x:v>
      </x:c>
      <x:c r="E924" s="20" t="b">
        <x:v>1</x:v>
      </x:c>
    </x:row>
    <x:row r="925" ht="24" customHeight="1">
      <x:c r="A925" s="14" t="str">
        <x:v>es-kingdom-cyrene-magas-persee-a9866e5e43d7-geometry</x:v>
      </x:c>
      <x:c r="B925" s="14" t="str">
        <x:v>kingdom-cyrene-magas</x:v>
      </x:c>
      <x:c r="C925" s="14" t="str">
        <x:v>src-persee-a9866e5e43d7</x:v>
      </x:c>
      <x:c r="D925" s="14" t="str">
        <x:v>geometry</x:v>
      </x:c>
      <x:c r="E925" s="20" t="b">
        <x:v>1</x:v>
      </x:c>
    </x:row>
    <x:row r="926" ht="24" customHeight="1">
      <x:c r="A926" s="14" t="str">
        <x:v>es-kingdom-cyrene-magas-persee-a9866e5e43d7-identity</x:v>
      </x:c>
      <x:c r="B926" s="14" t="str">
        <x:v>kingdom-cyrene-magas</x:v>
      </x:c>
      <x:c r="C926" s="14" t="str">
        <x:v>src-persee-a9866e5e43d7</x:v>
      </x:c>
      <x:c r="D926" s="14" t="str">
        <x:v>identity</x:v>
      </x:c>
      <x:c r="E926" s="20" t="b">
        <x:v>1</x:v>
      </x:c>
    </x:row>
    <x:row r="927" ht="24" customHeight="1">
      <x:c r="A927" s="14" t="str">
        <x:v>es-kingdom-cyrene-magas-persee-a9866e5e43d7-names</x:v>
      </x:c>
      <x:c r="B927" s="14" t="str">
        <x:v>kingdom-cyrene-magas</x:v>
      </x:c>
      <x:c r="C927" s="14" t="str">
        <x:v>src-persee-a9866e5e43d7</x:v>
      </x:c>
      <x:c r="D927" s="14" t="str">
        <x:v>names</x:v>
      </x:c>
      <x:c r="E927" s="20" t="b">
        <x:v>1</x:v>
      </x:c>
    </x:row>
    <x:row r="928" ht="24" customHeight="1">
      <x:c r="A928" s="14" t="str">
        <x:v>es-kingdom-cyrene-magas-persee-a9866e5e43d7-relationships</x:v>
      </x:c>
      <x:c r="B928" s="14" t="str">
        <x:v>kingdom-cyrene-magas</x:v>
      </x:c>
      <x:c r="C928" s="14" t="str">
        <x:v>src-persee-a9866e5e43d7</x:v>
      </x:c>
      <x:c r="D928" s="14" t="str">
        <x:v>relationships</x:v>
      </x:c>
      <x:c r="E928" s="20" t="b">
        <x:v>1</x:v>
      </x:c>
    </x:row>
    <x:row r="929" ht="24" customHeight="1">
      <x:c r="A929" s="14" t="str">
        <x:v>es-kingdom-epirus-aeacid-cambridge-96106a304cc6-chronology</x:v>
      </x:c>
      <x:c r="B929" s="14" t="str">
        <x:v>kingdom-epirus-aeacid</x:v>
      </x:c>
      <x:c r="C929" s="14" t="str">
        <x:v>src-cambridge-96106a304cc6</x:v>
      </x:c>
      <x:c r="D929" s="14" t="str">
        <x:v>chronology</x:v>
      </x:c>
      <x:c r="E929" s="20" t="b">
        <x:v>1</x:v>
      </x:c>
    </x:row>
    <x:row r="930" ht="24" customHeight="1">
      <x:c r="A930" s="14" t="str">
        <x:v>es-kingdom-epirus-aeacid-cambridge-96106a304cc6-classification</x:v>
      </x:c>
      <x:c r="B930" s="14" t="str">
        <x:v>kingdom-epirus-aeacid</x:v>
      </x:c>
      <x:c r="C930" s="14" t="str">
        <x:v>src-cambridge-96106a304cc6</x:v>
      </x:c>
      <x:c r="D930" s="14" t="str">
        <x:v>classification</x:v>
      </x:c>
      <x:c r="E930" s="20" t="b">
        <x:v>1</x:v>
      </x:c>
    </x:row>
    <x:row r="931" ht="24" customHeight="1">
      <x:c r="A931" s="14" t="str">
        <x:v>es-kingdom-epirus-aeacid-cambridge-96106a304cc6-description</x:v>
      </x:c>
      <x:c r="B931" s="14" t="str">
        <x:v>kingdom-epirus-aeacid</x:v>
      </x:c>
      <x:c r="C931" s="14" t="str">
        <x:v>src-cambridge-96106a304cc6</x:v>
      </x:c>
      <x:c r="D931" s="14" t="str">
        <x:v>description</x:v>
      </x:c>
      <x:c r="E931" s="20" t="b">
        <x:v>1</x:v>
      </x:c>
    </x:row>
    <x:row r="932" ht="24" customHeight="1">
      <x:c r="A932" s="14" t="str">
        <x:v>es-kingdom-epirus-aeacid-cambridge-96106a304cc6-geometry</x:v>
      </x:c>
      <x:c r="B932" s="14" t="str">
        <x:v>kingdom-epirus-aeacid</x:v>
      </x:c>
      <x:c r="C932" s="14" t="str">
        <x:v>src-cambridge-96106a304cc6</x:v>
      </x:c>
      <x:c r="D932" s="14" t="str">
        <x:v>geometry</x:v>
      </x:c>
      <x:c r="E932" s="20" t="b">
        <x:v>1</x:v>
      </x:c>
    </x:row>
    <x:row r="933" ht="24" customHeight="1">
      <x:c r="A933" s="14" t="str">
        <x:v>es-kingdom-epirus-aeacid-cambridge-96106a304cc6-identity</x:v>
      </x:c>
      <x:c r="B933" s="14" t="str">
        <x:v>kingdom-epirus-aeacid</x:v>
      </x:c>
      <x:c r="C933" s="14" t="str">
        <x:v>src-cambridge-96106a304cc6</x:v>
      </x:c>
      <x:c r="D933" s="14" t="str">
        <x:v>identity</x:v>
      </x:c>
      <x:c r="E933" s="20" t="b">
        <x:v>1</x:v>
      </x:c>
    </x:row>
    <x:row r="934" ht="24" customHeight="1">
      <x:c r="A934" s="14" t="str">
        <x:v>es-kingdom-epirus-aeacid-cambridge-96106a304cc6-names</x:v>
      </x:c>
      <x:c r="B934" s="14" t="str">
        <x:v>kingdom-epirus-aeacid</x:v>
      </x:c>
      <x:c r="C934" s="14" t="str">
        <x:v>src-cambridge-96106a304cc6</x:v>
      </x:c>
      <x:c r="D934" s="14" t="str">
        <x:v>names</x:v>
      </x:c>
      <x:c r="E934" s="20" t="b">
        <x:v>1</x:v>
      </x:c>
    </x:row>
    <x:row r="935" ht="24" customHeight="1">
      <x:c r="A935" s="14" t="str">
        <x:v>es-kingdom-epirus-aeacid-cambridge-96106a304cc6-relationships</x:v>
      </x:c>
      <x:c r="B935" s="14" t="str">
        <x:v>kingdom-epirus-aeacid</x:v>
      </x:c>
      <x:c r="C935" s="14" t="str">
        <x:v>src-cambridge-96106a304cc6</x:v>
      </x:c>
      <x:c r="D935" s="14" t="str">
        <x:v>relationships</x:v>
      </x:c>
      <x:c r="E935" s="20" t="b">
        <x:v>1</x:v>
      </x:c>
    </x:row>
    <x:row r="936" ht="24" customHeight="1">
      <x:c r="A936" s="14" t="str">
        <x:v>es-kingdom-greco-bactrian-diodotid-metmuseum-50fe20dc493f-chronology</x:v>
      </x:c>
      <x:c r="B936" s="14" t="str">
        <x:v>kingdom-greco-bactrian-diodotid</x:v>
      </x:c>
      <x:c r="C936" s="14" t="str">
        <x:v>src-metmuseum-50fe20dc493f</x:v>
      </x:c>
      <x:c r="D936" s="14" t="str">
        <x:v>chronology</x:v>
      </x:c>
      <x:c r="E936" s="20" t="b">
        <x:v>1</x:v>
      </x:c>
    </x:row>
    <x:row r="937" ht="24" customHeight="1">
      <x:c r="A937" s="14" t="str">
        <x:v>es-kingdom-greco-bactrian-diodotid-metmuseum-50fe20dc493f-classification</x:v>
      </x:c>
      <x:c r="B937" s="14" t="str">
        <x:v>kingdom-greco-bactrian-diodotid</x:v>
      </x:c>
      <x:c r="C937" s="14" t="str">
        <x:v>src-metmuseum-50fe20dc493f</x:v>
      </x:c>
      <x:c r="D937" s="14" t="str">
        <x:v>classification</x:v>
      </x:c>
      <x:c r="E937" s="20" t="b">
        <x:v>1</x:v>
      </x:c>
    </x:row>
    <x:row r="938" ht="24" customHeight="1">
      <x:c r="A938" s="14" t="str">
        <x:v>es-kingdom-greco-bactrian-diodotid-metmuseum-50fe20dc493f-description</x:v>
      </x:c>
      <x:c r="B938" s="14" t="str">
        <x:v>kingdom-greco-bactrian-diodotid</x:v>
      </x:c>
      <x:c r="C938" s="14" t="str">
        <x:v>src-metmuseum-50fe20dc493f</x:v>
      </x:c>
      <x:c r="D938" s="14" t="str">
        <x:v>description</x:v>
      </x:c>
      <x:c r="E938" s="20" t="b">
        <x:v>1</x:v>
      </x:c>
    </x:row>
    <x:row r="939" ht="24" customHeight="1">
      <x:c r="A939" s="14" t="str">
        <x:v>es-kingdom-greco-bactrian-diodotid-metmuseum-50fe20dc493f-geometry</x:v>
      </x:c>
      <x:c r="B939" s="14" t="str">
        <x:v>kingdom-greco-bactrian-diodotid</x:v>
      </x:c>
      <x:c r="C939" s="14" t="str">
        <x:v>src-metmuseum-50fe20dc493f</x:v>
      </x:c>
      <x:c r="D939" s="14" t="str">
        <x:v>geometry</x:v>
      </x:c>
      <x:c r="E939" s="20" t="b">
        <x:v>1</x:v>
      </x:c>
    </x:row>
    <x:row r="940" ht="24" customHeight="1">
      <x:c r="A940" s="14" t="str">
        <x:v>es-kingdom-greco-bactrian-diodotid-metmuseum-50fe20dc493f-identity</x:v>
      </x:c>
      <x:c r="B940" s="14" t="str">
        <x:v>kingdom-greco-bactrian-diodotid</x:v>
      </x:c>
      <x:c r="C940" s="14" t="str">
        <x:v>src-metmuseum-50fe20dc493f</x:v>
      </x:c>
      <x:c r="D940" s="14" t="str">
        <x:v>identity</x:v>
      </x:c>
      <x:c r="E940" s="20" t="b">
        <x:v>1</x:v>
      </x:c>
    </x:row>
    <x:row r="941" ht="24" customHeight="1">
      <x:c r="A941" s="14" t="str">
        <x:v>es-kingdom-greco-bactrian-diodotid-metmuseum-50fe20dc493f-names</x:v>
      </x:c>
      <x:c r="B941" s="14" t="str">
        <x:v>kingdom-greco-bactrian-diodotid</x:v>
      </x:c>
      <x:c r="C941" s="14" t="str">
        <x:v>src-metmuseum-50fe20dc493f</x:v>
      </x:c>
      <x:c r="D941" s="14" t="str">
        <x:v>names</x:v>
      </x:c>
      <x:c r="E941" s="20" t="b">
        <x:v>1</x:v>
      </x:c>
    </x:row>
    <x:row r="942" ht="24" customHeight="1">
      <x:c r="A942" s="14" t="str">
        <x:v>es-kingdom-greco-bactrian-diodotid-metmuseum-50fe20dc493f-relationships</x:v>
      </x:c>
      <x:c r="B942" s="14" t="str">
        <x:v>kingdom-greco-bactrian-diodotid</x:v>
      </x:c>
      <x:c r="C942" s="14" t="str">
        <x:v>src-metmuseum-50fe20dc493f</x:v>
      </x:c>
      <x:c r="D942" s="14" t="str">
        <x:v>relationships</x:v>
      </x:c>
      <x:c r="E942" s="20" t="b">
        <x:v>1</x:v>
      </x:c>
    </x:row>
    <x:row r="943" ht="24" customHeight="1">
      <x:c r="A943" s="14" t="str">
        <x:v>es-kingdom-greco-bactrian-eucratid-iranicaonline-2bb61f112fc3-chronology</x:v>
      </x:c>
      <x:c r="B943" s="14" t="str">
        <x:v>kingdom-greco-bactrian-eucratid</x:v>
      </x:c>
      <x:c r="C943" s="14" t="str">
        <x:v>src-iranicaonline-2bb61f112fc3</x:v>
      </x:c>
      <x:c r="D943" s="14" t="str">
        <x:v>chronology</x:v>
      </x:c>
      <x:c r="E943" s="20" t="b">
        <x:v>1</x:v>
      </x:c>
    </x:row>
    <x:row r="944" ht="24" customHeight="1">
      <x:c r="A944" s="14" t="str">
        <x:v>es-kingdom-greco-bactrian-eucratid-iranicaonline-2bb61f112fc3-classification</x:v>
      </x:c>
      <x:c r="B944" s="14" t="str">
        <x:v>kingdom-greco-bactrian-eucratid</x:v>
      </x:c>
      <x:c r="C944" s="14" t="str">
        <x:v>src-iranicaonline-2bb61f112fc3</x:v>
      </x:c>
      <x:c r="D944" s="14" t="str">
        <x:v>classification</x:v>
      </x:c>
      <x:c r="E944" s="20" t="b">
        <x:v>1</x:v>
      </x:c>
    </x:row>
    <x:row r="945" ht="24" customHeight="1">
      <x:c r="A945" s="14" t="str">
        <x:v>es-kingdom-greco-bactrian-eucratid-iranicaonline-2bb61f112fc3-description</x:v>
      </x:c>
      <x:c r="B945" s="14" t="str">
        <x:v>kingdom-greco-bactrian-eucratid</x:v>
      </x:c>
      <x:c r="C945" s="14" t="str">
        <x:v>src-iranicaonline-2bb61f112fc3</x:v>
      </x:c>
      <x:c r="D945" s="14" t="str">
        <x:v>description</x:v>
      </x:c>
      <x:c r="E945" s="20" t="b">
        <x:v>1</x:v>
      </x:c>
    </x:row>
    <x:row r="946" ht="24" customHeight="1">
      <x:c r="A946" s="14" t="str">
        <x:v>es-kingdom-greco-bactrian-eucratid-iranicaonline-2bb61f112fc3-geometry</x:v>
      </x:c>
      <x:c r="B946" s="14" t="str">
        <x:v>kingdom-greco-bactrian-eucratid</x:v>
      </x:c>
      <x:c r="C946" s="14" t="str">
        <x:v>src-iranicaonline-2bb61f112fc3</x:v>
      </x:c>
      <x:c r="D946" s="14" t="str">
        <x:v>geometry</x:v>
      </x:c>
      <x:c r="E946" s="20" t="b">
        <x:v>1</x:v>
      </x:c>
    </x:row>
    <x:row r="947" ht="24" customHeight="1">
      <x:c r="A947" s="14" t="str">
        <x:v>es-kingdom-greco-bactrian-eucratid-iranicaonline-2bb61f112fc3-identity</x:v>
      </x:c>
      <x:c r="B947" s="14" t="str">
        <x:v>kingdom-greco-bactrian-eucratid</x:v>
      </x:c>
      <x:c r="C947" s="14" t="str">
        <x:v>src-iranicaonline-2bb61f112fc3</x:v>
      </x:c>
      <x:c r="D947" s="14" t="str">
        <x:v>identity</x:v>
      </x:c>
      <x:c r="E947" s="20" t="b">
        <x:v>1</x:v>
      </x:c>
    </x:row>
    <x:row r="948" ht="24" customHeight="1">
      <x:c r="A948" s="14" t="str">
        <x:v>es-kingdom-greco-bactrian-eucratid-iranicaonline-2bb61f112fc3-names</x:v>
      </x:c>
      <x:c r="B948" s="14" t="str">
        <x:v>kingdom-greco-bactrian-eucratid</x:v>
      </x:c>
      <x:c r="C948" s="14" t="str">
        <x:v>src-iranicaonline-2bb61f112fc3</x:v>
      </x:c>
      <x:c r="D948" s="14" t="str">
        <x:v>names</x:v>
      </x:c>
      <x:c r="E948" s="20" t="b">
        <x:v>1</x:v>
      </x:c>
    </x:row>
    <x:row r="949" ht="24" customHeight="1">
      <x:c r="A949" s="14" t="str">
        <x:v>es-kingdom-greco-bactrian-eucratid-iranicaonline-2bb61f112fc3-relationships</x:v>
      </x:c>
      <x:c r="B949" s="14" t="str">
        <x:v>kingdom-greco-bactrian-eucratid</x:v>
      </x:c>
      <x:c r="C949" s="14" t="str">
        <x:v>src-iranicaonline-2bb61f112fc3</x:v>
      </x:c>
      <x:c r="D949" s="14" t="str">
        <x:v>relationships</x:v>
      </x:c>
      <x:c r="E949" s="20" t="b">
        <x:v>1</x:v>
      </x:c>
    </x:row>
    <x:row r="950" ht="24" customHeight="1">
      <x:c r="A950" s="14" t="str">
        <x:v>es-kingdom-greco-bactrian-euthydemid-iranicaonline-d4697d4d5c1a-chronology</x:v>
      </x:c>
      <x:c r="B950" s="14" t="str">
        <x:v>kingdom-greco-bactrian-euthydemid</x:v>
      </x:c>
      <x:c r="C950" s="14" t="str">
        <x:v>src-iranicaonline-d4697d4d5c1a</x:v>
      </x:c>
      <x:c r="D950" s="14" t="str">
        <x:v>chronology</x:v>
      </x:c>
      <x:c r="E950" s="20" t="b">
        <x:v>1</x:v>
      </x:c>
    </x:row>
    <x:row r="951" ht="24" customHeight="1">
      <x:c r="A951" s="14" t="str">
        <x:v>es-kingdom-greco-bactrian-euthydemid-iranicaonline-d4697d4d5c1a-classification</x:v>
      </x:c>
      <x:c r="B951" s="14" t="str">
        <x:v>kingdom-greco-bactrian-euthydemid</x:v>
      </x:c>
      <x:c r="C951" s="14" t="str">
        <x:v>src-iranicaonline-d4697d4d5c1a</x:v>
      </x:c>
      <x:c r="D951" s="14" t="str">
        <x:v>classification</x:v>
      </x:c>
      <x:c r="E951" s="20" t="b">
        <x:v>1</x:v>
      </x:c>
    </x:row>
    <x:row r="952" ht="24" customHeight="1">
      <x:c r="A952" s="14" t="str">
        <x:v>es-kingdom-greco-bactrian-euthydemid-iranicaonline-d4697d4d5c1a-description</x:v>
      </x:c>
      <x:c r="B952" s="14" t="str">
        <x:v>kingdom-greco-bactrian-euthydemid</x:v>
      </x:c>
      <x:c r="C952" s="14" t="str">
        <x:v>src-iranicaonline-d4697d4d5c1a</x:v>
      </x:c>
      <x:c r="D952" s="14" t="str">
        <x:v>description</x:v>
      </x:c>
      <x:c r="E952" s="20" t="b">
        <x:v>1</x:v>
      </x:c>
    </x:row>
    <x:row r="953" ht="24" customHeight="1">
      <x:c r="A953" s="14" t="str">
        <x:v>es-kingdom-greco-bactrian-euthydemid-iranicaonline-d4697d4d5c1a-geometry</x:v>
      </x:c>
      <x:c r="B953" s="14" t="str">
        <x:v>kingdom-greco-bactrian-euthydemid</x:v>
      </x:c>
      <x:c r="C953" s="14" t="str">
        <x:v>src-iranicaonline-d4697d4d5c1a</x:v>
      </x:c>
      <x:c r="D953" s="14" t="str">
        <x:v>geometry</x:v>
      </x:c>
      <x:c r="E953" s="20" t="b">
        <x:v>1</x:v>
      </x:c>
    </x:row>
    <x:row r="954" ht="24" customHeight="1">
      <x:c r="A954" s="14" t="str">
        <x:v>es-kingdom-greco-bactrian-euthydemid-iranicaonline-d4697d4d5c1a-identity</x:v>
      </x:c>
      <x:c r="B954" s="14" t="str">
        <x:v>kingdom-greco-bactrian-euthydemid</x:v>
      </x:c>
      <x:c r="C954" s="14" t="str">
        <x:v>src-iranicaonline-d4697d4d5c1a</x:v>
      </x:c>
      <x:c r="D954" s="14" t="str">
        <x:v>identity</x:v>
      </x:c>
      <x:c r="E954" s="20" t="b">
        <x:v>1</x:v>
      </x:c>
    </x:row>
    <x:row r="955" ht="24" customHeight="1">
      <x:c r="A955" s="14" t="str">
        <x:v>es-kingdom-greco-bactrian-euthydemid-iranicaonline-d4697d4d5c1a-names</x:v>
      </x:c>
      <x:c r="B955" s="14" t="str">
        <x:v>kingdom-greco-bactrian-euthydemid</x:v>
      </x:c>
      <x:c r="C955" s="14" t="str">
        <x:v>src-iranicaonline-d4697d4d5c1a</x:v>
      </x:c>
      <x:c r="D955" s="14" t="str">
        <x:v>names</x:v>
      </x:c>
      <x:c r="E955" s="20" t="b">
        <x:v>1</x:v>
      </x:c>
    </x:row>
    <x:row r="956" ht="24" customHeight="1">
      <x:c r="A956" s="14" t="str">
        <x:v>es-kingdom-greco-bactrian-euthydemid-iranicaonline-d4697d4d5c1a-relationships</x:v>
      </x:c>
      <x:c r="B956" s="14" t="str">
        <x:v>kingdom-greco-bactrian-euthydemid</x:v>
      </x:c>
      <x:c r="C956" s="14" t="str">
        <x:v>src-iranicaonline-d4697d4d5c1a</x:v>
      </x:c>
      <x:c r="D956" s="14" t="str">
        <x:v>relationships</x:v>
      </x:c>
      <x:c r="E956" s="20" t="b">
        <x:v>1</x:v>
      </x:c>
    </x:row>
    <x:row r="957" ht="24" customHeight="1">
      <x:c r="A957" s="14" t="str">
        <x:v>es-kingdom-indo-greek-early-iranicaonline-612dff96c99c-chronology</x:v>
      </x:c>
      <x:c r="B957" s="14" t="str">
        <x:v>kingdom-indo-greek-early</x:v>
      </x:c>
      <x:c r="C957" s="14" t="str">
        <x:v>src-iranicaonline-612dff96c99c</x:v>
      </x:c>
      <x:c r="D957" s="14" t="str">
        <x:v>chronology</x:v>
      </x:c>
      <x:c r="E957" s="20" t="b">
        <x:v>1</x:v>
      </x:c>
    </x:row>
    <x:row r="958" ht="24" customHeight="1">
      <x:c r="A958" s="14" t="str">
        <x:v>es-kingdom-indo-greek-early-iranicaonline-612dff96c99c-classification</x:v>
      </x:c>
      <x:c r="B958" s="14" t="str">
        <x:v>kingdom-indo-greek-early</x:v>
      </x:c>
      <x:c r="C958" s="14" t="str">
        <x:v>src-iranicaonline-612dff96c99c</x:v>
      </x:c>
      <x:c r="D958" s="14" t="str">
        <x:v>classification</x:v>
      </x:c>
      <x:c r="E958" s="20" t="b">
        <x:v>1</x:v>
      </x:c>
    </x:row>
    <x:row r="959" ht="24" customHeight="1">
      <x:c r="A959" s="14" t="str">
        <x:v>es-kingdom-indo-greek-early-iranicaonline-612dff96c99c-description</x:v>
      </x:c>
      <x:c r="B959" s="14" t="str">
        <x:v>kingdom-indo-greek-early</x:v>
      </x:c>
      <x:c r="C959" s="14" t="str">
        <x:v>src-iranicaonline-612dff96c99c</x:v>
      </x:c>
      <x:c r="D959" s="14" t="str">
        <x:v>description</x:v>
      </x:c>
      <x:c r="E959" s="20" t="b">
        <x:v>1</x:v>
      </x:c>
    </x:row>
    <x:row r="960" ht="24" customHeight="1">
      <x:c r="A960" s="14" t="str">
        <x:v>es-kingdom-indo-greek-early-iranicaonline-612dff96c99c-geometry</x:v>
      </x:c>
      <x:c r="B960" s="14" t="str">
        <x:v>kingdom-indo-greek-early</x:v>
      </x:c>
      <x:c r="C960" s="14" t="str">
        <x:v>src-iranicaonline-612dff96c99c</x:v>
      </x:c>
      <x:c r="D960" s="14" t="str">
        <x:v>geometry</x:v>
      </x:c>
      <x:c r="E960" s="20" t="b">
        <x:v>1</x:v>
      </x:c>
    </x:row>
    <x:row r="961" ht="24" customHeight="1">
      <x:c r="A961" s="14" t="str">
        <x:v>es-kingdom-indo-greek-early-iranicaonline-612dff96c99c-identity</x:v>
      </x:c>
      <x:c r="B961" s="14" t="str">
        <x:v>kingdom-indo-greek-early</x:v>
      </x:c>
      <x:c r="C961" s="14" t="str">
        <x:v>src-iranicaonline-612dff96c99c</x:v>
      </x:c>
      <x:c r="D961" s="14" t="str">
        <x:v>identity</x:v>
      </x:c>
      <x:c r="E961" s="20" t="b">
        <x:v>1</x:v>
      </x:c>
    </x:row>
    <x:row r="962" ht="24" customHeight="1">
      <x:c r="A962" s="14" t="str">
        <x:v>es-kingdom-indo-greek-early-iranicaonline-612dff96c99c-names</x:v>
      </x:c>
      <x:c r="B962" s="14" t="str">
        <x:v>kingdom-indo-greek-early</x:v>
      </x:c>
      <x:c r="C962" s="14" t="str">
        <x:v>src-iranicaonline-612dff96c99c</x:v>
      </x:c>
      <x:c r="D962" s="14" t="str">
        <x:v>names</x:v>
      </x:c>
      <x:c r="E962" s="20" t="b">
        <x:v>1</x:v>
      </x:c>
    </x:row>
    <x:row r="963" ht="24" customHeight="1">
      <x:c r="A963" s="14" t="str">
        <x:v>es-kingdom-indo-greek-early-iranicaonline-612dff96c99c-relationships</x:v>
      </x:c>
      <x:c r="B963" s="14" t="str">
        <x:v>kingdom-indo-greek-early</x:v>
      </x:c>
      <x:c r="C963" s="14" t="str">
        <x:v>src-iranicaonline-612dff96c99c</x:v>
      </x:c>
      <x:c r="D963" s="14" t="str">
        <x:v>relationships</x:v>
      </x:c>
      <x:c r="E963" s="20" t="b">
        <x:v>1</x:v>
      </x:c>
    </x:row>
    <x:row r="964" ht="24" customHeight="1">
      <x:c r="A964" s="14" t="str">
        <x:v>es-kingdom-indo-greek-late-iranicaonline-612dff96c99c-chronology</x:v>
      </x:c>
      <x:c r="B964" s="14" t="str">
        <x:v>kingdom-indo-greek-late</x:v>
      </x:c>
      <x:c r="C964" s="14" t="str">
        <x:v>src-iranicaonline-612dff96c99c</x:v>
      </x:c>
      <x:c r="D964" s="14" t="str">
        <x:v>chronology</x:v>
      </x:c>
      <x:c r="E964" s="20" t="b">
        <x:v>1</x:v>
      </x:c>
    </x:row>
    <x:row r="965" ht="24" customHeight="1">
      <x:c r="A965" s="14" t="str">
        <x:v>es-kingdom-indo-greek-late-iranicaonline-612dff96c99c-classification</x:v>
      </x:c>
      <x:c r="B965" s="14" t="str">
        <x:v>kingdom-indo-greek-late</x:v>
      </x:c>
      <x:c r="C965" s="14" t="str">
        <x:v>src-iranicaonline-612dff96c99c</x:v>
      </x:c>
      <x:c r="D965" s="14" t="str">
        <x:v>classification</x:v>
      </x:c>
      <x:c r="E965" s="20" t="b">
        <x:v>1</x:v>
      </x:c>
    </x:row>
    <x:row r="966" ht="24" customHeight="1">
      <x:c r="A966" s="14" t="str">
        <x:v>es-kingdom-indo-greek-late-iranicaonline-612dff96c99c-description</x:v>
      </x:c>
      <x:c r="B966" s="14" t="str">
        <x:v>kingdom-indo-greek-late</x:v>
      </x:c>
      <x:c r="C966" s="14" t="str">
        <x:v>src-iranicaonline-612dff96c99c</x:v>
      </x:c>
      <x:c r="D966" s="14" t="str">
        <x:v>description</x:v>
      </x:c>
      <x:c r="E966" s="20" t="b">
        <x:v>1</x:v>
      </x:c>
    </x:row>
    <x:row r="967" ht="24" customHeight="1">
      <x:c r="A967" s="14" t="str">
        <x:v>es-kingdom-indo-greek-late-iranicaonline-612dff96c99c-geometry</x:v>
      </x:c>
      <x:c r="B967" s="14" t="str">
        <x:v>kingdom-indo-greek-late</x:v>
      </x:c>
      <x:c r="C967" s="14" t="str">
        <x:v>src-iranicaonline-612dff96c99c</x:v>
      </x:c>
      <x:c r="D967" s="14" t="str">
        <x:v>geometry</x:v>
      </x:c>
      <x:c r="E967" s="20" t="b">
        <x:v>1</x:v>
      </x:c>
    </x:row>
    <x:row r="968" ht="24" customHeight="1">
      <x:c r="A968" s="14" t="str">
        <x:v>es-kingdom-indo-greek-late-iranicaonline-612dff96c99c-identity</x:v>
      </x:c>
      <x:c r="B968" s="14" t="str">
        <x:v>kingdom-indo-greek-late</x:v>
      </x:c>
      <x:c r="C968" s="14" t="str">
        <x:v>src-iranicaonline-612dff96c99c</x:v>
      </x:c>
      <x:c r="D968" s="14" t="str">
        <x:v>identity</x:v>
      </x:c>
      <x:c r="E968" s="20" t="b">
        <x:v>1</x:v>
      </x:c>
    </x:row>
    <x:row r="969" ht="24" customHeight="1">
      <x:c r="A969" s="14" t="str">
        <x:v>es-kingdom-indo-greek-late-iranicaonline-612dff96c99c-names</x:v>
      </x:c>
      <x:c r="B969" s="14" t="str">
        <x:v>kingdom-indo-greek-late</x:v>
      </x:c>
      <x:c r="C969" s="14" t="str">
        <x:v>src-iranicaonline-612dff96c99c</x:v>
      </x:c>
      <x:c r="D969" s="14" t="str">
        <x:v>names</x:v>
      </x:c>
      <x:c r="E969" s="20" t="b">
        <x:v>1</x:v>
      </x:c>
    </x:row>
    <x:row r="970" ht="24" customHeight="1">
      <x:c r="A970" s="14" t="str">
        <x:v>es-kingdom-indo-greek-late-iranicaonline-612dff96c99c-relationships</x:v>
      </x:c>
      <x:c r="B970" s="14" t="str">
        <x:v>kingdom-indo-greek-late</x:v>
      </x:c>
      <x:c r="C970" s="14" t="str">
        <x:v>src-iranicaonline-612dff96c99c</x:v>
      </x:c>
      <x:c r="D970" s="14" t="str">
        <x:v>relationships</x:v>
      </x:c>
      <x:c r="E970" s="20" t="b">
        <x:v>1</x:v>
      </x:c>
    </x:row>
    <x:row r="971" ht="24" customHeight="1">
      <x:c r="A971" s="14" t="str">
        <x:v>es-kingdom-indo-greek-menandrid-iranicaonline-612dff96c99c-chronology</x:v>
      </x:c>
      <x:c r="B971" s="14" t="str">
        <x:v>kingdom-indo-greek-menandrid</x:v>
      </x:c>
      <x:c r="C971" s="14" t="str">
        <x:v>src-iranicaonline-612dff96c99c</x:v>
      </x:c>
      <x:c r="D971" s="14" t="str">
        <x:v>chronology</x:v>
      </x:c>
      <x:c r="E971" s="20" t="b">
        <x:v>1</x:v>
      </x:c>
    </x:row>
    <x:row r="972" ht="24" customHeight="1">
      <x:c r="A972" s="14" t="str">
        <x:v>es-kingdom-indo-greek-menandrid-iranicaonline-612dff96c99c-classification</x:v>
      </x:c>
      <x:c r="B972" s="14" t="str">
        <x:v>kingdom-indo-greek-menandrid</x:v>
      </x:c>
      <x:c r="C972" s="14" t="str">
        <x:v>src-iranicaonline-612dff96c99c</x:v>
      </x:c>
      <x:c r="D972" s="14" t="str">
        <x:v>classification</x:v>
      </x:c>
      <x:c r="E972" s="20" t="b">
        <x:v>1</x:v>
      </x:c>
    </x:row>
    <x:row r="973" ht="24" customHeight="1">
      <x:c r="A973" s="14" t="str">
        <x:v>es-kingdom-indo-greek-menandrid-iranicaonline-612dff96c99c-description</x:v>
      </x:c>
      <x:c r="B973" s="14" t="str">
        <x:v>kingdom-indo-greek-menandrid</x:v>
      </x:c>
      <x:c r="C973" s="14" t="str">
        <x:v>src-iranicaonline-612dff96c99c</x:v>
      </x:c>
      <x:c r="D973" s="14" t="str">
        <x:v>description</x:v>
      </x:c>
      <x:c r="E973" s="20" t="b">
        <x:v>1</x:v>
      </x:c>
    </x:row>
    <x:row r="974" ht="24" customHeight="1">
      <x:c r="A974" s="14" t="str">
        <x:v>es-kingdom-indo-greek-menandrid-iranicaonline-612dff96c99c-geometry</x:v>
      </x:c>
      <x:c r="B974" s="14" t="str">
        <x:v>kingdom-indo-greek-menandrid</x:v>
      </x:c>
      <x:c r="C974" s="14" t="str">
        <x:v>src-iranicaonline-612dff96c99c</x:v>
      </x:c>
      <x:c r="D974" s="14" t="str">
        <x:v>geometry</x:v>
      </x:c>
      <x:c r="E974" s="20" t="b">
        <x:v>1</x:v>
      </x:c>
    </x:row>
    <x:row r="975" ht="24" customHeight="1">
      <x:c r="A975" s="14" t="str">
        <x:v>es-kingdom-indo-greek-menandrid-iranicaonline-612dff96c99c-identity</x:v>
      </x:c>
      <x:c r="B975" s="14" t="str">
        <x:v>kingdom-indo-greek-menandrid</x:v>
      </x:c>
      <x:c r="C975" s="14" t="str">
        <x:v>src-iranicaonline-612dff96c99c</x:v>
      </x:c>
      <x:c r="D975" s="14" t="str">
        <x:v>identity</x:v>
      </x:c>
      <x:c r="E975" s="20" t="b">
        <x:v>1</x:v>
      </x:c>
    </x:row>
    <x:row r="976" ht="24" customHeight="1">
      <x:c r="A976" s="14" t="str">
        <x:v>es-kingdom-indo-greek-menandrid-iranicaonline-612dff96c99c-names</x:v>
      </x:c>
      <x:c r="B976" s="14" t="str">
        <x:v>kingdom-indo-greek-menandrid</x:v>
      </x:c>
      <x:c r="C976" s="14" t="str">
        <x:v>src-iranicaonline-612dff96c99c</x:v>
      </x:c>
      <x:c r="D976" s="14" t="str">
        <x:v>names</x:v>
      </x:c>
      <x:c r="E976" s="20" t="b">
        <x:v>1</x:v>
      </x:c>
    </x:row>
    <x:row r="977" ht="24" customHeight="1">
      <x:c r="A977" s="14" t="str">
        <x:v>es-kingdom-indo-greek-menandrid-iranicaonline-612dff96c99c-relationships</x:v>
      </x:c>
      <x:c r="B977" s="14" t="str">
        <x:v>kingdom-indo-greek-menandrid</x:v>
      </x:c>
      <x:c r="C977" s="14" t="str">
        <x:v>src-iranicaonline-612dff96c99c</x:v>
      </x:c>
      <x:c r="D977" s="14" t="str">
        <x:v>relationships</x:v>
      </x:c>
      <x:c r="E977" s="20" t="b">
        <x:v>1</x:v>
      </x:c>
    </x:row>
    <x:row r="978" ht="24" customHeight="1">
      <x:c r="A978" s="14" t="str">
        <x:v>es-kingdom-iolcos-palatial-odysseus-589898851f92-chronology</x:v>
      </x:c>
      <x:c r="B978" s="14" t="str">
        <x:v>kingdom-iolcos-palatial</x:v>
      </x:c>
      <x:c r="C978" s="14" t="str">
        <x:v>src-odysseus-589898851f92</x:v>
      </x:c>
      <x:c r="D978" s="14" t="str">
        <x:v>chronology</x:v>
      </x:c>
      <x:c r="E978" s="20" t="b">
        <x:v>1</x:v>
      </x:c>
    </x:row>
    <x:row r="979" ht="24" customHeight="1">
      <x:c r="A979" s="14" t="str">
        <x:v>es-kingdom-iolcos-palatial-odysseus-589898851f92-classification</x:v>
      </x:c>
      <x:c r="B979" s="14" t="str">
        <x:v>kingdom-iolcos-palatial</x:v>
      </x:c>
      <x:c r="C979" s="14" t="str">
        <x:v>src-odysseus-589898851f92</x:v>
      </x:c>
      <x:c r="D979" s="14" t="str">
        <x:v>classification</x:v>
      </x:c>
      <x:c r="E979" s="20" t="b">
        <x:v>1</x:v>
      </x:c>
    </x:row>
    <x:row r="980" ht="24" customHeight="1">
      <x:c r="A980" s="14" t="str">
        <x:v>es-kingdom-iolcos-palatial-odysseus-589898851f92-description</x:v>
      </x:c>
      <x:c r="B980" s="14" t="str">
        <x:v>kingdom-iolcos-palatial</x:v>
      </x:c>
      <x:c r="C980" s="14" t="str">
        <x:v>src-odysseus-589898851f92</x:v>
      </x:c>
      <x:c r="D980" s="14" t="str">
        <x:v>description</x:v>
      </x:c>
      <x:c r="E980" s="20" t="b">
        <x:v>1</x:v>
      </x:c>
    </x:row>
    <x:row r="981" ht="24" customHeight="1">
      <x:c r="A981" s="14" t="str">
        <x:v>es-kingdom-iolcos-palatial-odysseus-589898851f92-geometry</x:v>
      </x:c>
      <x:c r="B981" s="14" t="str">
        <x:v>kingdom-iolcos-palatial</x:v>
      </x:c>
      <x:c r="C981" s="14" t="str">
        <x:v>src-odysseus-589898851f92</x:v>
      </x:c>
      <x:c r="D981" s="14" t="str">
        <x:v>geometry</x:v>
      </x:c>
      <x:c r="E981" s="20" t="b">
        <x:v>1</x:v>
      </x:c>
    </x:row>
    <x:row r="982" ht="24" customHeight="1">
      <x:c r="A982" s="14" t="str">
        <x:v>es-kingdom-iolcos-palatial-odysseus-589898851f92-identity</x:v>
      </x:c>
      <x:c r="B982" s="14" t="str">
        <x:v>kingdom-iolcos-palatial</x:v>
      </x:c>
      <x:c r="C982" s="14" t="str">
        <x:v>src-odysseus-589898851f92</x:v>
      </x:c>
      <x:c r="D982" s="14" t="str">
        <x:v>identity</x:v>
      </x:c>
      <x:c r="E982" s="20" t="b">
        <x:v>1</x:v>
      </x:c>
    </x:row>
    <x:row r="983" ht="24" customHeight="1">
      <x:c r="A983" s="14" t="str">
        <x:v>es-kingdom-iolcos-palatial-odysseus-589898851f92-names</x:v>
      </x:c>
      <x:c r="B983" s="14" t="str">
        <x:v>kingdom-iolcos-palatial</x:v>
      </x:c>
      <x:c r="C983" s="14" t="str">
        <x:v>src-odysseus-589898851f92</x:v>
      </x:c>
      <x:c r="D983" s="14" t="str">
        <x:v>names</x:v>
      </x:c>
      <x:c r="E983" s="20" t="b">
        <x:v>1</x:v>
      </x:c>
    </x:row>
    <x:row r="984" ht="24" customHeight="1">
      <x:c r="A984" s="14" t="str">
        <x:v>es-kingdom-iolcos-palatial-odysseus-589898851f92-relationships</x:v>
      </x:c>
      <x:c r="B984" s="14" t="str">
        <x:v>kingdom-iolcos-palatial</x:v>
      </x:c>
      <x:c r="C984" s="14" t="str">
        <x:v>src-odysseus-589898851f92</x:v>
      </x:c>
      <x:c r="D984" s="14" t="str">
        <x:v>relationships</x:v>
      </x:c>
      <x:c r="E984" s="20" t="b">
        <x:v>1</x:v>
      </x:c>
    </x:row>
    <x:row r="985" ht="24" customHeight="1">
      <x:c r="A985" s="14" t="str">
        <x:v>es-kingdom-knossos-mycenaean-odysseus-9e3ae0cba911-chronology</x:v>
      </x:c>
      <x:c r="B985" s="14" t="str">
        <x:v>kingdom-knossos-mycenaean</x:v>
      </x:c>
      <x:c r="C985" s="14" t="str">
        <x:v>src-odysseus-9e3ae0cba911</x:v>
      </x:c>
      <x:c r="D985" s="14" t="str">
        <x:v>chronology</x:v>
      </x:c>
      <x:c r="E985" s="20" t="b">
        <x:v>1</x:v>
      </x:c>
    </x:row>
    <x:row r="986" ht="24" customHeight="1">
      <x:c r="A986" s="14" t="str">
        <x:v>es-kingdom-knossos-mycenaean-odysseus-9e3ae0cba911-classification</x:v>
      </x:c>
      <x:c r="B986" s="14" t="str">
        <x:v>kingdom-knossos-mycenaean</x:v>
      </x:c>
      <x:c r="C986" s="14" t="str">
        <x:v>src-odysseus-9e3ae0cba911</x:v>
      </x:c>
      <x:c r="D986" s="14" t="str">
        <x:v>classification</x:v>
      </x:c>
      <x:c r="E986" s="20" t="b">
        <x:v>1</x:v>
      </x:c>
    </x:row>
    <x:row r="987" ht="24" customHeight="1">
      <x:c r="A987" s="14" t="str">
        <x:v>es-kingdom-knossos-mycenaean-odysseus-9e3ae0cba911-description</x:v>
      </x:c>
      <x:c r="B987" s="14" t="str">
        <x:v>kingdom-knossos-mycenaean</x:v>
      </x:c>
      <x:c r="C987" s="14" t="str">
        <x:v>src-odysseus-9e3ae0cba911</x:v>
      </x:c>
      <x:c r="D987" s="14" t="str">
        <x:v>description</x:v>
      </x:c>
      <x:c r="E987" s="20" t="b">
        <x:v>1</x:v>
      </x:c>
    </x:row>
    <x:row r="988" ht="24" customHeight="1">
      <x:c r="A988" s="14" t="str">
        <x:v>es-kingdom-knossos-mycenaean-odysseus-9e3ae0cba911-geometry</x:v>
      </x:c>
      <x:c r="B988" s="14" t="str">
        <x:v>kingdom-knossos-mycenaean</x:v>
      </x:c>
      <x:c r="C988" s="14" t="str">
        <x:v>src-odysseus-9e3ae0cba911</x:v>
      </x:c>
      <x:c r="D988" s="14" t="str">
        <x:v>geometry</x:v>
      </x:c>
      <x:c r="E988" s="20" t="b">
        <x:v>1</x:v>
      </x:c>
    </x:row>
    <x:row r="989" ht="24" customHeight="1">
      <x:c r="A989" s="14" t="str">
        <x:v>es-kingdom-knossos-mycenaean-odysseus-9e3ae0cba911-identity</x:v>
      </x:c>
      <x:c r="B989" s="14" t="str">
        <x:v>kingdom-knossos-mycenaean</x:v>
      </x:c>
      <x:c r="C989" s="14" t="str">
        <x:v>src-odysseus-9e3ae0cba911</x:v>
      </x:c>
      <x:c r="D989" s="14" t="str">
        <x:v>identity</x:v>
      </x:c>
      <x:c r="E989" s="20" t="b">
        <x:v>1</x:v>
      </x:c>
    </x:row>
    <x:row r="990" ht="24" customHeight="1">
      <x:c r="A990" s="14" t="str">
        <x:v>es-kingdom-knossos-mycenaean-odysseus-9e3ae0cba911-names</x:v>
      </x:c>
      <x:c r="B990" s="14" t="str">
        <x:v>kingdom-knossos-mycenaean</x:v>
      </x:c>
      <x:c r="C990" s="14" t="str">
        <x:v>src-odysseus-9e3ae0cba911</x:v>
      </x:c>
      <x:c r="D990" s="14" t="str">
        <x:v>names</x:v>
      </x:c>
      <x:c r="E990" s="20" t="b">
        <x:v>1</x:v>
      </x:c>
    </x:row>
    <x:row r="991" ht="24" customHeight="1">
      <x:c r="A991" s="14" t="str">
        <x:v>es-kingdom-knossos-mycenaean-odysseus-9e3ae0cba911-relationships</x:v>
      </x:c>
      <x:c r="B991" s="14" t="str">
        <x:v>kingdom-knossos-mycenaean</x:v>
      </x:c>
      <x:c r="C991" s="14" t="str">
        <x:v>src-odysseus-9e3ae0cba911</x:v>
      </x:c>
      <x:c r="D991" s="14" t="str">
        <x:v>relationships</x:v>
      </x:c>
      <x:c r="E991" s="20" t="b">
        <x:v>1</x:v>
      </x:c>
    </x:row>
    <x:row r="992" ht="24" customHeight="1">
      <x:c r="A992" s="14" t="str">
        <x:v>es-kingdom-lysimachid-pleiades-501458-chronology</x:v>
      </x:c>
      <x:c r="B992" s="14" t="str">
        <x:v>kingdom-lysimachid</x:v>
      </x:c>
      <x:c r="C992" s="14" t="str">
        <x:v>src-pleiades-501458</x:v>
      </x:c>
      <x:c r="D992" s="14" t="str">
        <x:v>chronology</x:v>
      </x:c>
      <x:c r="E992" s="20" t="b">
        <x:v>1</x:v>
      </x:c>
    </x:row>
    <x:row r="993" ht="24" customHeight="1">
      <x:c r="A993" s="14" t="str">
        <x:v>es-kingdom-lysimachid-pleiades-501458-classification</x:v>
      </x:c>
      <x:c r="B993" s="14" t="str">
        <x:v>kingdom-lysimachid</x:v>
      </x:c>
      <x:c r="C993" s="14" t="str">
        <x:v>src-pleiades-501458</x:v>
      </x:c>
      <x:c r="D993" s="14" t="str">
        <x:v>classification</x:v>
      </x:c>
      <x:c r="E993" s="20" t="b">
        <x:v>1</x:v>
      </x:c>
    </x:row>
    <x:row r="994" ht="24" customHeight="1">
      <x:c r="A994" s="14" t="str">
        <x:v>es-kingdom-lysimachid-pleiades-501458-description</x:v>
      </x:c>
      <x:c r="B994" s="14" t="str">
        <x:v>kingdom-lysimachid</x:v>
      </x:c>
      <x:c r="C994" s="14" t="str">
        <x:v>src-pleiades-501458</x:v>
      </x:c>
      <x:c r="D994" s="14" t="str">
        <x:v>description</x:v>
      </x:c>
      <x:c r="E994" s="20" t="b">
        <x:v>1</x:v>
      </x:c>
    </x:row>
    <x:row r="995" ht="24" customHeight="1">
      <x:c r="A995" s="14" t="str">
        <x:v>es-kingdom-lysimachid-pleiades-501458-geometry</x:v>
      </x:c>
      <x:c r="B995" s="14" t="str">
        <x:v>kingdom-lysimachid</x:v>
      </x:c>
      <x:c r="C995" s="14" t="str">
        <x:v>src-pleiades-501458</x:v>
      </x:c>
      <x:c r="D995" s="14" t="str">
        <x:v>geometry</x:v>
      </x:c>
      <x:c r="E995" s="20" t="b">
        <x:v>1</x:v>
      </x:c>
    </x:row>
    <x:row r="996" ht="24" customHeight="1">
      <x:c r="A996" s="14" t="str">
        <x:v>es-kingdom-lysimachid-pleiades-501458-identity</x:v>
      </x:c>
      <x:c r="B996" s="14" t="str">
        <x:v>kingdom-lysimachid</x:v>
      </x:c>
      <x:c r="C996" s="14" t="str">
        <x:v>src-pleiades-501458</x:v>
      </x:c>
      <x:c r="D996" s="14" t="str">
        <x:v>identity</x:v>
      </x:c>
      <x:c r="E996" s="20" t="b">
        <x:v>1</x:v>
      </x:c>
    </x:row>
    <x:row r="997" ht="24" customHeight="1">
      <x:c r="A997" s="14" t="str">
        <x:v>es-kingdom-lysimachid-pleiades-501458-names</x:v>
      </x:c>
      <x:c r="B997" s="14" t="str">
        <x:v>kingdom-lysimachid</x:v>
      </x:c>
      <x:c r="C997" s="14" t="str">
        <x:v>src-pleiades-501458</x:v>
      </x:c>
      <x:c r="D997" s="14" t="str">
        <x:v>names</x:v>
      </x:c>
      <x:c r="E997" s="20" t="b">
        <x:v>1</x:v>
      </x:c>
    </x:row>
    <x:row r="998" ht="24" customHeight="1">
      <x:c r="A998" s="14" t="str">
        <x:v>es-kingdom-lysimachid-pleiades-501458-relationships</x:v>
      </x:c>
      <x:c r="B998" s="14" t="str">
        <x:v>kingdom-lysimachid</x:v>
      </x:c>
      <x:c r="C998" s="14" t="str">
        <x:v>src-pleiades-501458</x:v>
      </x:c>
      <x:c r="D998" s="14" t="str">
        <x:v>relationships</x:v>
      </x:c>
      <x:c r="E998" s="20" t="b">
        <x:v>1</x:v>
      </x:c>
    </x:row>
    <x:row r="999" ht="24" customHeight="1">
      <x:c r="A999" s="14" t="str">
        <x:v>es-kingdom-macedon-antigonid-metmuseum-50fe20dc493f-chronology</x:v>
      </x:c>
      <x:c r="B999" s="14" t="str">
        <x:v>kingdom-macedon-antigonid</x:v>
      </x:c>
      <x:c r="C999" s="14" t="str">
        <x:v>src-metmuseum-50fe20dc493f</x:v>
      </x:c>
      <x:c r="D999" s="14" t="str">
        <x:v>chronology</x:v>
      </x:c>
      <x:c r="E999" s="20" t="b">
        <x:v>1</x:v>
      </x:c>
    </x:row>
    <x:row r="1000" ht="24" customHeight="1">
      <x:c r="A1000" s="14" t="str">
        <x:v>es-kingdom-macedon-antigonid-metmuseum-50fe20dc493f-classification</x:v>
      </x:c>
      <x:c r="B1000" s="14" t="str">
        <x:v>kingdom-macedon-antigonid</x:v>
      </x:c>
      <x:c r="C1000" s="14" t="str">
        <x:v>src-metmuseum-50fe20dc493f</x:v>
      </x:c>
      <x:c r="D1000" s="14" t="str">
        <x:v>classification</x:v>
      </x:c>
      <x:c r="E1000" s="20" t="b">
        <x:v>1</x:v>
      </x:c>
    </x:row>
    <x:row r="1001" ht="24" customHeight="1">
      <x:c r="A1001" s="14" t="str">
        <x:v>es-kingdom-macedon-antigonid-metmuseum-50fe20dc493f-description</x:v>
      </x:c>
      <x:c r="B1001" s="14" t="str">
        <x:v>kingdom-macedon-antigonid</x:v>
      </x:c>
      <x:c r="C1001" s="14" t="str">
        <x:v>src-metmuseum-50fe20dc493f</x:v>
      </x:c>
      <x:c r="D1001" s="14" t="str">
        <x:v>description</x:v>
      </x:c>
      <x:c r="E1001" s="20" t="b">
        <x:v>1</x:v>
      </x:c>
    </x:row>
    <x:row r="1002" ht="24" customHeight="1">
      <x:c r="A1002" s="14" t="str">
        <x:v>es-kingdom-macedon-antigonid-metmuseum-50fe20dc493f-geometry</x:v>
      </x:c>
      <x:c r="B1002" s="14" t="str">
        <x:v>kingdom-macedon-antigonid</x:v>
      </x:c>
      <x:c r="C1002" s="14" t="str">
        <x:v>src-metmuseum-50fe20dc493f</x:v>
      </x:c>
      <x:c r="D1002" s="14" t="str">
        <x:v>geometry</x:v>
      </x:c>
      <x:c r="E1002" s="20" t="b">
        <x:v>1</x:v>
      </x:c>
    </x:row>
    <x:row r="1003" ht="24" customHeight="1">
      <x:c r="A1003" s="14" t="str">
        <x:v>es-kingdom-macedon-antigonid-metmuseum-50fe20dc493f-identity</x:v>
      </x:c>
      <x:c r="B1003" s="14" t="str">
        <x:v>kingdom-macedon-antigonid</x:v>
      </x:c>
      <x:c r="C1003" s="14" t="str">
        <x:v>src-metmuseum-50fe20dc493f</x:v>
      </x:c>
      <x:c r="D1003" s="14" t="str">
        <x:v>identity</x:v>
      </x:c>
      <x:c r="E1003" s="20" t="b">
        <x:v>1</x:v>
      </x:c>
    </x:row>
    <x:row r="1004" ht="24" customHeight="1">
      <x:c r="A1004" s="14" t="str">
        <x:v>es-kingdom-macedon-antigonid-metmuseum-50fe20dc493f-names</x:v>
      </x:c>
      <x:c r="B1004" s="14" t="str">
        <x:v>kingdom-macedon-antigonid</x:v>
      </x:c>
      <x:c r="C1004" s="14" t="str">
        <x:v>src-metmuseum-50fe20dc493f</x:v>
      </x:c>
      <x:c r="D1004" s="14" t="str">
        <x:v>names</x:v>
      </x:c>
      <x:c r="E1004" s="20" t="b">
        <x:v>1</x:v>
      </x:c>
    </x:row>
    <x:row r="1005" ht="24" customHeight="1">
      <x:c r="A1005" s="14" t="str">
        <x:v>es-kingdom-macedon-antigonid-metmuseum-50fe20dc493f-relationships</x:v>
      </x:c>
      <x:c r="B1005" s="14" t="str">
        <x:v>kingdom-macedon-antigonid</x:v>
      </x:c>
      <x:c r="C1005" s="14" t="str">
        <x:v>src-metmuseum-50fe20dc493f</x:v>
      </x:c>
      <x:c r="D1005" s="14" t="str">
        <x:v>relationships</x:v>
      </x:c>
      <x:c r="E1005" s="20" t="b">
        <x:v>1</x:v>
      </x:c>
    </x:row>
    <x:row r="1006" ht="24" customHeight="1">
      <x:c r="A1006" s="14" t="str">
        <x:v>es-kingdom-macedon-argead-whc-fd006971700c-chronology</x:v>
      </x:c>
      <x:c r="B1006" s="14" t="str">
        <x:v>kingdom-macedon-argead</x:v>
      </x:c>
      <x:c r="C1006" s="14" t="str">
        <x:v>src-whc-fd006971700c</x:v>
      </x:c>
      <x:c r="D1006" s="14" t="str">
        <x:v>chronology</x:v>
      </x:c>
      <x:c r="E1006" s="20" t="b">
        <x:v>1</x:v>
      </x:c>
    </x:row>
    <x:row r="1007" ht="24" customHeight="1">
      <x:c r="A1007" s="14" t="str">
        <x:v>es-kingdom-macedon-argead-whc-fd006971700c-classification</x:v>
      </x:c>
      <x:c r="B1007" s="14" t="str">
        <x:v>kingdom-macedon-argead</x:v>
      </x:c>
      <x:c r="C1007" s="14" t="str">
        <x:v>src-whc-fd006971700c</x:v>
      </x:c>
      <x:c r="D1007" s="14" t="str">
        <x:v>classification</x:v>
      </x:c>
      <x:c r="E1007" s="20" t="b">
        <x:v>1</x:v>
      </x:c>
    </x:row>
    <x:row r="1008" ht="24" customHeight="1">
      <x:c r="A1008" s="14" t="str">
        <x:v>es-kingdom-macedon-argead-whc-fd006971700c-description</x:v>
      </x:c>
      <x:c r="B1008" s="14" t="str">
        <x:v>kingdom-macedon-argead</x:v>
      </x:c>
      <x:c r="C1008" s="14" t="str">
        <x:v>src-whc-fd006971700c</x:v>
      </x:c>
      <x:c r="D1008" s="14" t="str">
        <x:v>description</x:v>
      </x:c>
      <x:c r="E1008" s="20" t="b">
        <x:v>1</x:v>
      </x:c>
    </x:row>
    <x:row r="1009" ht="24" customHeight="1">
      <x:c r="A1009" s="14" t="str">
        <x:v>es-kingdom-macedon-argead-whc-fd006971700c-geometry</x:v>
      </x:c>
      <x:c r="B1009" s="14" t="str">
        <x:v>kingdom-macedon-argead</x:v>
      </x:c>
      <x:c r="C1009" s="14" t="str">
        <x:v>src-whc-fd006971700c</x:v>
      </x:c>
      <x:c r="D1009" s="14" t="str">
        <x:v>geometry</x:v>
      </x:c>
      <x:c r="E1009" s="20" t="b">
        <x:v>1</x:v>
      </x:c>
    </x:row>
    <x:row r="1010" ht="24" customHeight="1">
      <x:c r="A1010" s="14" t="str">
        <x:v>es-kingdom-macedon-argead-whc-fd006971700c-identity</x:v>
      </x:c>
      <x:c r="B1010" s="14" t="str">
        <x:v>kingdom-macedon-argead</x:v>
      </x:c>
      <x:c r="C1010" s="14" t="str">
        <x:v>src-whc-fd006971700c</x:v>
      </x:c>
      <x:c r="D1010" s="14" t="str">
        <x:v>identity</x:v>
      </x:c>
      <x:c r="E1010" s="20" t="b">
        <x:v>1</x:v>
      </x:c>
    </x:row>
    <x:row r="1011" ht="24" customHeight="1">
      <x:c r="A1011" s="14" t="str">
        <x:v>es-kingdom-macedon-argead-whc-fd006971700c-names</x:v>
      </x:c>
      <x:c r="B1011" s="14" t="str">
        <x:v>kingdom-macedon-argead</x:v>
      </x:c>
      <x:c r="C1011" s="14" t="str">
        <x:v>src-whc-fd006971700c</x:v>
      </x:c>
      <x:c r="D1011" s="14" t="str">
        <x:v>names</x:v>
      </x:c>
      <x:c r="E1011" s="20" t="b">
        <x:v>1</x:v>
      </x:c>
    </x:row>
    <x:row r="1012" ht="24" customHeight="1">
      <x:c r="A1012" s="14" t="str">
        <x:v>es-kingdom-macedon-argead-whc-fd006971700c-relationships</x:v>
      </x:c>
      <x:c r="B1012" s="14" t="str">
        <x:v>kingdom-macedon-argead</x:v>
      </x:c>
      <x:c r="C1012" s="14" t="str">
        <x:v>src-whc-fd006971700c</x:v>
      </x:c>
      <x:c r="D1012" s="14" t="str">
        <x:v>relationships</x:v>
      </x:c>
      <x:c r="E1012" s="20" t="b">
        <x:v>1</x:v>
      </x:c>
    </x:row>
    <x:row r="1013" ht="24" customHeight="1">
      <x:c r="A1013" s="14" t="str">
        <x:v>es-kingdom-macedon-kassandrid-metmuseum-50fe20dc493f-chronology</x:v>
      </x:c>
      <x:c r="B1013" s="14" t="str">
        <x:v>kingdom-macedon-kassandrid</x:v>
      </x:c>
      <x:c r="C1013" s="14" t="str">
        <x:v>src-metmuseum-50fe20dc493f</x:v>
      </x:c>
      <x:c r="D1013" s="14" t="str">
        <x:v>chronology</x:v>
      </x:c>
      <x:c r="E1013" s="20" t="b">
        <x:v>1</x:v>
      </x:c>
    </x:row>
    <x:row r="1014" ht="24" customHeight="1">
      <x:c r="A1014" s="14" t="str">
        <x:v>es-kingdom-macedon-kassandrid-metmuseum-50fe20dc493f-classification</x:v>
      </x:c>
      <x:c r="B1014" s="14" t="str">
        <x:v>kingdom-macedon-kassandrid</x:v>
      </x:c>
      <x:c r="C1014" s="14" t="str">
        <x:v>src-metmuseum-50fe20dc493f</x:v>
      </x:c>
      <x:c r="D1014" s="14" t="str">
        <x:v>classification</x:v>
      </x:c>
      <x:c r="E1014" s="20" t="b">
        <x:v>1</x:v>
      </x:c>
    </x:row>
    <x:row r="1015" ht="24" customHeight="1">
      <x:c r="A1015" s="14" t="str">
        <x:v>es-kingdom-macedon-kassandrid-metmuseum-50fe20dc493f-description</x:v>
      </x:c>
      <x:c r="B1015" s="14" t="str">
        <x:v>kingdom-macedon-kassandrid</x:v>
      </x:c>
      <x:c r="C1015" s="14" t="str">
        <x:v>src-metmuseum-50fe20dc493f</x:v>
      </x:c>
      <x:c r="D1015" s="14" t="str">
        <x:v>description</x:v>
      </x:c>
      <x:c r="E1015" s="20" t="b">
        <x:v>1</x:v>
      </x:c>
    </x:row>
    <x:row r="1016" ht="24" customHeight="1">
      <x:c r="A1016" s="14" t="str">
        <x:v>es-kingdom-macedon-kassandrid-metmuseum-50fe20dc493f-geometry</x:v>
      </x:c>
      <x:c r="B1016" s="14" t="str">
        <x:v>kingdom-macedon-kassandrid</x:v>
      </x:c>
      <x:c r="C1016" s="14" t="str">
        <x:v>src-metmuseum-50fe20dc493f</x:v>
      </x:c>
      <x:c r="D1016" s="14" t="str">
        <x:v>geometry</x:v>
      </x:c>
      <x:c r="E1016" s="20" t="b">
        <x:v>1</x:v>
      </x:c>
    </x:row>
    <x:row r="1017" ht="24" customHeight="1">
      <x:c r="A1017" s="14" t="str">
        <x:v>es-kingdom-macedon-kassandrid-metmuseum-50fe20dc493f-identity</x:v>
      </x:c>
      <x:c r="B1017" s="14" t="str">
        <x:v>kingdom-macedon-kassandrid</x:v>
      </x:c>
      <x:c r="C1017" s="14" t="str">
        <x:v>src-metmuseum-50fe20dc493f</x:v>
      </x:c>
      <x:c r="D1017" s="14" t="str">
        <x:v>identity</x:v>
      </x:c>
      <x:c r="E1017" s="20" t="b">
        <x:v>1</x:v>
      </x:c>
    </x:row>
    <x:row r="1018" ht="24" customHeight="1">
      <x:c r="A1018" s="14" t="str">
        <x:v>es-kingdom-macedon-kassandrid-metmuseum-50fe20dc493f-names</x:v>
      </x:c>
      <x:c r="B1018" s="14" t="str">
        <x:v>kingdom-macedon-kassandrid</x:v>
      </x:c>
      <x:c r="C1018" s="14" t="str">
        <x:v>src-metmuseum-50fe20dc493f</x:v>
      </x:c>
      <x:c r="D1018" s="14" t="str">
        <x:v>names</x:v>
      </x:c>
      <x:c r="E1018" s="20" t="b">
        <x:v>1</x:v>
      </x:c>
    </x:row>
    <x:row r="1019" ht="24" customHeight="1">
      <x:c r="A1019" s="14" t="str">
        <x:v>es-kingdom-macedon-kassandrid-metmuseum-50fe20dc493f-relationships</x:v>
      </x:c>
      <x:c r="B1019" s="14" t="str">
        <x:v>kingdom-macedon-kassandrid</x:v>
      </x:c>
      <x:c r="C1019" s="14" t="str">
        <x:v>src-metmuseum-50fe20dc493f</x:v>
      </x:c>
      <x:c r="D1019" s="14" t="str">
        <x:v>relationships</x:v>
      </x:c>
      <x:c r="E1019" s="20" t="b">
        <x:v>1</x:v>
      </x:c>
    </x:row>
    <x:row r="1020" ht="24" customHeight="1">
      <x:c r="A1020" s="14" t="str">
        <x:v>es-kingdom-mycenae-palatial-whc-6306f630553d-chronology</x:v>
      </x:c>
      <x:c r="B1020" s="14" t="str">
        <x:v>kingdom-mycenae-palatial</x:v>
      </x:c>
      <x:c r="C1020" s="14" t="str">
        <x:v>src-whc-6306f630553d</x:v>
      </x:c>
      <x:c r="D1020" s="14" t="str">
        <x:v>chronology</x:v>
      </x:c>
      <x:c r="E1020" s="20" t="b">
        <x:v>1</x:v>
      </x:c>
    </x:row>
    <x:row r="1021" ht="24" customHeight="1">
      <x:c r="A1021" s="14" t="str">
        <x:v>es-kingdom-mycenae-palatial-whc-6306f630553d-classification</x:v>
      </x:c>
      <x:c r="B1021" s="14" t="str">
        <x:v>kingdom-mycenae-palatial</x:v>
      </x:c>
      <x:c r="C1021" s="14" t="str">
        <x:v>src-whc-6306f630553d</x:v>
      </x:c>
      <x:c r="D1021" s="14" t="str">
        <x:v>classification</x:v>
      </x:c>
      <x:c r="E1021" s="20" t="b">
        <x:v>1</x:v>
      </x:c>
    </x:row>
    <x:row r="1022" ht="24" customHeight="1">
      <x:c r="A1022" s="14" t="str">
        <x:v>es-kingdom-mycenae-palatial-whc-6306f630553d-description</x:v>
      </x:c>
      <x:c r="B1022" s="14" t="str">
        <x:v>kingdom-mycenae-palatial</x:v>
      </x:c>
      <x:c r="C1022" s="14" t="str">
        <x:v>src-whc-6306f630553d</x:v>
      </x:c>
      <x:c r="D1022" s="14" t="str">
        <x:v>description</x:v>
      </x:c>
      <x:c r="E1022" s="20" t="b">
        <x:v>1</x:v>
      </x:c>
    </x:row>
    <x:row r="1023" ht="24" customHeight="1">
      <x:c r="A1023" s="14" t="str">
        <x:v>es-kingdom-mycenae-palatial-whc-6306f630553d-geometry</x:v>
      </x:c>
      <x:c r="B1023" s="14" t="str">
        <x:v>kingdom-mycenae-palatial</x:v>
      </x:c>
      <x:c r="C1023" s="14" t="str">
        <x:v>src-whc-6306f630553d</x:v>
      </x:c>
      <x:c r="D1023" s="14" t="str">
        <x:v>geometry</x:v>
      </x:c>
      <x:c r="E1023" s="20" t="b">
        <x:v>1</x:v>
      </x:c>
    </x:row>
    <x:row r="1024" ht="24" customHeight="1">
      <x:c r="A1024" s="14" t="str">
        <x:v>es-kingdom-mycenae-palatial-whc-6306f630553d-identity</x:v>
      </x:c>
      <x:c r="B1024" s="14" t="str">
        <x:v>kingdom-mycenae-palatial</x:v>
      </x:c>
      <x:c r="C1024" s="14" t="str">
        <x:v>src-whc-6306f630553d</x:v>
      </x:c>
      <x:c r="D1024" s="14" t="str">
        <x:v>identity</x:v>
      </x:c>
      <x:c r="E1024" s="20" t="b">
        <x:v>1</x:v>
      </x:c>
    </x:row>
    <x:row r="1025" ht="24" customHeight="1">
      <x:c r="A1025" s="14" t="str">
        <x:v>es-kingdom-mycenae-palatial-whc-6306f630553d-names</x:v>
      </x:c>
      <x:c r="B1025" s="14" t="str">
        <x:v>kingdom-mycenae-palatial</x:v>
      </x:c>
      <x:c r="C1025" s="14" t="str">
        <x:v>src-whc-6306f630553d</x:v>
      </x:c>
      <x:c r="D1025" s="14" t="str">
        <x:v>names</x:v>
      </x:c>
      <x:c r="E1025" s="20" t="b">
        <x:v>1</x:v>
      </x:c>
    </x:row>
    <x:row r="1026" ht="24" customHeight="1">
      <x:c r="A1026" s="14" t="str">
        <x:v>es-kingdom-mycenae-palatial-whc-6306f630553d-relationships</x:v>
      </x:c>
      <x:c r="B1026" s="14" t="str">
        <x:v>kingdom-mycenae-palatial</x:v>
      </x:c>
      <x:c r="C1026" s="14" t="str">
        <x:v>src-whc-6306f630553d</x:v>
      </x:c>
      <x:c r="D1026" s="14" t="str">
        <x:v>relationships</x:v>
      </x:c>
      <x:c r="E1026" s="20" t="b">
        <x:v>1</x:v>
      </x:c>
    </x:row>
    <x:row r="1027" ht="24" customHeight="1">
      <x:c r="A1027" s="14" t="str">
        <x:v>es-kingdom-orchomenos-palatial-mthv-715d665b63b5-chronology</x:v>
      </x:c>
      <x:c r="B1027" s="14" t="str">
        <x:v>kingdom-orchomenos-palatial</x:v>
      </x:c>
      <x:c r="C1027" s="14" t="str">
        <x:v>src-mthv-715d665b63b5</x:v>
      </x:c>
      <x:c r="D1027" s="14" t="str">
        <x:v>chronology</x:v>
      </x:c>
      <x:c r="E1027" s="20" t="b">
        <x:v>1</x:v>
      </x:c>
    </x:row>
    <x:row r="1028" ht="24" customHeight="1">
      <x:c r="A1028" s="14" t="str">
        <x:v>es-kingdom-orchomenos-palatial-mthv-715d665b63b5-classification</x:v>
      </x:c>
      <x:c r="B1028" s="14" t="str">
        <x:v>kingdom-orchomenos-palatial</x:v>
      </x:c>
      <x:c r="C1028" s="14" t="str">
        <x:v>src-mthv-715d665b63b5</x:v>
      </x:c>
      <x:c r="D1028" s="14" t="str">
        <x:v>classification</x:v>
      </x:c>
      <x:c r="E1028" s="20" t="b">
        <x:v>1</x:v>
      </x:c>
    </x:row>
    <x:row r="1029" ht="24" customHeight="1">
      <x:c r="A1029" s="14" t="str">
        <x:v>es-kingdom-orchomenos-palatial-mthv-715d665b63b5-description</x:v>
      </x:c>
      <x:c r="B1029" s="14" t="str">
        <x:v>kingdom-orchomenos-palatial</x:v>
      </x:c>
      <x:c r="C1029" s="14" t="str">
        <x:v>src-mthv-715d665b63b5</x:v>
      </x:c>
      <x:c r="D1029" s="14" t="str">
        <x:v>description</x:v>
      </x:c>
      <x:c r="E1029" s="20" t="b">
        <x:v>1</x:v>
      </x:c>
    </x:row>
    <x:row r="1030" ht="24" customHeight="1">
      <x:c r="A1030" s="14" t="str">
        <x:v>es-kingdom-orchomenos-palatial-mthv-715d665b63b5-geometry</x:v>
      </x:c>
      <x:c r="B1030" s="14" t="str">
        <x:v>kingdom-orchomenos-palatial</x:v>
      </x:c>
      <x:c r="C1030" s="14" t="str">
        <x:v>src-mthv-715d665b63b5</x:v>
      </x:c>
      <x:c r="D1030" s="14" t="str">
        <x:v>geometry</x:v>
      </x:c>
      <x:c r="E1030" s="20" t="b">
        <x:v>1</x:v>
      </x:c>
    </x:row>
    <x:row r="1031" ht="24" customHeight="1">
      <x:c r="A1031" s="14" t="str">
        <x:v>es-kingdom-orchomenos-palatial-mthv-715d665b63b5-identity</x:v>
      </x:c>
      <x:c r="B1031" s="14" t="str">
        <x:v>kingdom-orchomenos-palatial</x:v>
      </x:c>
      <x:c r="C1031" s="14" t="str">
        <x:v>src-mthv-715d665b63b5</x:v>
      </x:c>
      <x:c r="D1031" s="14" t="str">
        <x:v>identity</x:v>
      </x:c>
      <x:c r="E1031" s="20" t="b">
        <x:v>1</x:v>
      </x:c>
    </x:row>
    <x:row r="1032" ht="24" customHeight="1">
      <x:c r="A1032" s="14" t="str">
        <x:v>es-kingdom-orchomenos-palatial-mthv-715d665b63b5-names</x:v>
      </x:c>
      <x:c r="B1032" s="14" t="str">
        <x:v>kingdom-orchomenos-palatial</x:v>
      </x:c>
      <x:c r="C1032" s="14" t="str">
        <x:v>src-mthv-715d665b63b5</x:v>
      </x:c>
      <x:c r="D1032" s="14" t="str">
        <x:v>names</x:v>
      </x:c>
      <x:c r="E1032" s="20" t="b">
        <x:v>1</x:v>
      </x:c>
    </x:row>
    <x:row r="1033" ht="24" customHeight="1">
      <x:c r="A1033" s="14" t="str">
        <x:v>es-kingdom-orchomenos-palatial-mthv-715d665b63b5-relationships</x:v>
      </x:c>
      <x:c r="B1033" s="14" t="str">
        <x:v>kingdom-orchomenos-palatial</x:v>
      </x:c>
      <x:c r="C1033" s="14" t="str">
        <x:v>src-mthv-715d665b63b5</x:v>
      </x:c>
      <x:c r="D1033" s="14" t="str">
        <x:v>relationships</x:v>
      </x:c>
      <x:c r="E1033" s="20" t="b">
        <x:v>1</x:v>
      </x:c>
    </x:row>
    <x:row r="1034" ht="24" customHeight="1">
      <x:c r="A1034" s="14" t="str">
        <x:v>es-kingdom-paphos-cyprus-websites-d5246844b076-chronology</x:v>
      </x:c>
      <x:c r="B1034" s="14" t="str">
        <x:v>kingdom-paphos-cyprus</x:v>
      </x:c>
      <x:c r="C1034" s="14" t="str">
        <x:v>src-websites-d5246844b076</x:v>
      </x:c>
      <x:c r="D1034" s="14" t="str">
        <x:v>chronology</x:v>
      </x:c>
      <x:c r="E1034" s="20" t="b">
        <x:v>1</x:v>
      </x:c>
    </x:row>
    <x:row r="1035" ht="24" customHeight="1">
      <x:c r="A1035" s="14" t="str">
        <x:v>es-kingdom-paphos-cyprus-websites-d5246844b076-classification</x:v>
      </x:c>
      <x:c r="B1035" s="14" t="str">
        <x:v>kingdom-paphos-cyprus</x:v>
      </x:c>
      <x:c r="C1035" s="14" t="str">
        <x:v>src-websites-d5246844b076</x:v>
      </x:c>
      <x:c r="D1035" s="14" t="str">
        <x:v>classification</x:v>
      </x:c>
      <x:c r="E1035" s="20" t="b">
        <x:v>1</x:v>
      </x:c>
    </x:row>
    <x:row r="1036" ht="24" customHeight="1">
      <x:c r="A1036" s="14" t="str">
        <x:v>es-kingdom-paphos-cyprus-websites-d5246844b076-description</x:v>
      </x:c>
      <x:c r="B1036" s="14" t="str">
        <x:v>kingdom-paphos-cyprus</x:v>
      </x:c>
      <x:c r="C1036" s="14" t="str">
        <x:v>src-websites-d5246844b076</x:v>
      </x:c>
      <x:c r="D1036" s="14" t="str">
        <x:v>description</x:v>
      </x:c>
      <x:c r="E1036" s="20" t="b">
        <x:v>1</x:v>
      </x:c>
    </x:row>
    <x:row r="1037" ht="24" customHeight="1">
      <x:c r="A1037" s="14" t="str">
        <x:v>es-kingdom-paphos-cyprus-websites-d5246844b076-geometry</x:v>
      </x:c>
      <x:c r="B1037" s="14" t="str">
        <x:v>kingdom-paphos-cyprus</x:v>
      </x:c>
      <x:c r="C1037" s="14" t="str">
        <x:v>src-websites-d5246844b076</x:v>
      </x:c>
      <x:c r="D1037" s="14" t="str">
        <x:v>geometry</x:v>
      </x:c>
      <x:c r="E1037" s="20" t="b">
        <x:v>1</x:v>
      </x:c>
    </x:row>
    <x:row r="1038" ht="24" customHeight="1">
      <x:c r="A1038" s="14" t="str">
        <x:v>es-kingdom-paphos-cyprus-websites-d5246844b076-identity</x:v>
      </x:c>
      <x:c r="B1038" s="14" t="str">
        <x:v>kingdom-paphos-cyprus</x:v>
      </x:c>
      <x:c r="C1038" s="14" t="str">
        <x:v>src-websites-d5246844b076</x:v>
      </x:c>
      <x:c r="D1038" s="14" t="str">
        <x:v>identity</x:v>
      </x:c>
      <x:c r="E1038" s="20" t="b">
        <x:v>1</x:v>
      </x:c>
    </x:row>
    <x:row r="1039" ht="24" customHeight="1">
      <x:c r="A1039" s="14" t="str">
        <x:v>es-kingdom-paphos-cyprus-websites-d5246844b076-names</x:v>
      </x:c>
      <x:c r="B1039" s="14" t="str">
        <x:v>kingdom-paphos-cyprus</x:v>
      </x:c>
      <x:c r="C1039" s="14" t="str">
        <x:v>src-websites-d5246844b076</x:v>
      </x:c>
      <x:c r="D1039" s="14" t="str">
        <x:v>names</x:v>
      </x:c>
      <x:c r="E1039" s="20" t="b">
        <x:v>1</x:v>
      </x:c>
    </x:row>
    <x:row r="1040" ht="24" customHeight="1">
      <x:c r="A1040" s="14" t="str">
        <x:v>es-kingdom-paphos-cyprus-websites-d5246844b076-relationships</x:v>
      </x:c>
      <x:c r="B1040" s="14" t="str">
        <x:v>kingdom-paphos-cyprus</x:v>
      </x:c>
      <x:c r="C1040" s="14" t="str">
        <x:v>src-websites-d5246844b076</x:v>
      </x:c>
      <x:c r="D1040" s="14" t="str">
        <x:v>relationships</x:v>
      </x:c>
      <x:c r="E1040" s="20" t="b">
        <x:v>1</x:v>
      </x:c>
    </x:row>
    <x:row r="1041" ht="24" customHeight="1">
      <x:c r="A1041" s="14" t="str">
        <x:v>es-kingdom-pontus-mithridatid-metmuseum-50fe20dc493f-chronology</x:v>
      </x:c>
      <x:c r="B1041" s="14" t="str">
        <x:v>kingdom-pontus-mithridatid</x:v>
      </x:c>
      <x:c r="C1041" s="14" t="str">
        <x:v>src-metmuseum-50fe20dc493f</x:v>
      </x:c>
      <x:c r="D1041" s="14" t="str">
        <x:v>chronology</x:v>
      </x:c>
      <x:c r="E1041" s="20" t="b">
        <x:v>1</x:v>
      </x:c>
    </x:row>
    <x:row r="1042" ht="24" customHeight="1">
      <x:c r="A1042" s="14" t="str">
        <x:v>es-kingdom-pontus-mithridatid-metmuseum-50fe20dc493f-classification</x:v>
      </x:c>
      <x:c r="B1042" s="14" t="str">
        <x:v>kingdom-pontus-mithridatid</x:v>
      </x:c>
      <x:c r="C1042" s="14" t="str">
        <x:v>src-metmuseum-50fe20dc493f</x:v>
      </x:c>
      <x:c r="D1042" s="14" t="str">
        <x:v>classification</x:v>
      </x:c>
      <x:c r="E1042" s="20" t="b">
        <x:v>1</x:v>
      </x:c>
    </x:row>
    <x:row r="1043" ht="24" customHeight="1">
      <x:c r="A1043" s="14" t="str">
        <x:v>es-kingdom-pontus-mithridatid-metmuseum-50fe20dc493f-description</x:v>
      </x:c>
      <x:c r="B1043" s="14" t="str">
        <x:v>kingdom-pontus-mithridatid</x:v>
      </x:c>
      <x:c r="C1043" s="14" t="str">
        <x:v>src-metmuseum-50fe20dc493f</x:v>
      </x:c>
      <x:c r="D1043" s="14" t="str">
        <x:v>description</x:v>
      </x:c>
      <x:c r="E1043" s="20" t="b">
        <x:v>1</x:v>
      </x:c>
    </x:row>
    <x:row r="1044" ht="24" customHeight="1">
      <x:c r="A1044" s="14" t="str">
        <x:v>es-kingdom-pontus-mithridatid-metmuseum-50fe20dc493f-geometry</x:v>
      </x:c>
      <x:c r="B1044" s="14" t="str">
        <x:v>kingdom-pontus-mithridatid</x:v>
      </x:c>
      <x:c r="C1044" s="14" t="str">
        <x:v>src-metmuseum-50fe20dc493f</x:v>
      </x:c>
      <x:c r="D1044" s="14" t="str">
        <x:v>geometry</x:v>
      </x:c>
      <x:c r="E1044" s="20" t="b">
        <x:v>1</x:v>
      </x:c>
    </x:row>
    <x:row r="1045" ht="24" customHeight="1">
      <x:c r="A1045" s="14" t="str">
        <x:v>es-kingdom-pontus-mithridatid-metmuseum-50fe20dc493f-identity</x:v>
      </x:c>
      <x:c r="B1045" s="14" t="str">
        <x:v>kingdom-pontus-mithridatid</x:v>
      </x:c>
      <x:c r="C1045" s="14" t="str">
        <x:v>src-metmuseum-50fe20dc493f</x:v>
      </x:c>
      <x:c r="D1045" s="14" t="str">
        <x:v>identity</x:v>
      </x:c>
      <x:c r="E1045" s="20" t="b">
        <x:v>1</x:v>
      </x:c>
    </x:row>
    <x:row r="1046" ht="24" customHeight="1">
      <x:c r="A1046" s="14" t="str">
        <x:v>es-kingdom-pontus-mithridatid-metmuseum-50fe20dc493f-names</x:v>
      </x:c>
      <x:c r="B1046" s="14" t="str">
        <x:v>kingdom-pontus-mithridatid</x:v>
      </x:c>
      <x:c r="C1046" s="14" t="str">
        <x:v>src-metmuseum-50fe20dc493f</x:v>
      </x:c>
      <x:c r="D1046" s="14" t="str">
        <x:v>names</x:v>
      </x:c>
      <x:c r="E1046" s="20" t="b">
        <x:v>1</x:v>
      </x:c>
    </x:row>
    <x:row r="1047" ht="24" customHeight="1">
      <x:c r="A1047" s="14" t="str">
        <x:v>es-kingdom-pontus-mithridatid-metmuseum-50fe20dc493f-relationships</x:v>
      </x:c>
      <x:c r="B1047" s="14" t="str">
        <x:v>kingdom-pontus-mithridatid</x:v>
      </x:c>
      <x:c r="C1047" s="14" t="str">
        <x:v>src-metmuseum-50fe20dc493f</x:v>
      </x:c>
      <x:c r="D1047" s="14" t="str">
        <x:v>relationships</x:v>
      </x:c>
      <x:c r="E1047" s="20" t="b">
        <x:v>1</x:v>
      </x:c>
    </x:row>
    <x:row r="1048" ht="24" customHeight="1">
      <x:c r="A1048" s="14" t="str">
        <x:v>es-kingdom-ptolemaic-egypt-metmuseum-9200258a95cb-chronology</x:v>
      </x:c>
      <x:c r="B1048" s="14" t="str">
        <x:v>kingdom-ptolemaic-egypt</x:v>
      </x:c>
      <x:c r="C1048" s="14" t="str">
        <x:v>src-metmuseum-9200258a95cb</x:v>
      </x:c>
      <x:c r="D1048" s="14" t="str">
        <x:v>chronology</x:v>
      </x:c>
      <x:c r="E1048" s="20" t="b">
        <x:v>1</x:v>
      </x:c>
    </x:row>
    <x:row r="1049" ht="24" customHeight="1">
      <x:c r="A1049" s="14" t="str">
        <x:v>es-kingdom-ptolemaic-egypt-metmuseum-9200258a95cb-classification</x:v>
      </x:c>
      <x:c r="B1049" s="14" t="str">
        <x:v>kingdom-ptolemaic-egypt</x:v>
      </x:c>
      <x:c r="C1049" s="14" t="str">
        <x:v>src-metmuseum-9200258a95cb</x:v>
      </x:c>
      <x:c r="D1049" s="14" t="str">
        <x:v>classification</x:v>
      </x:c>
      <x:c r="E1049" s="20" t="b">
        <x:v>1</x:v>
      </x:c>
    </x:row>
    <x:row r="1050" ht="24" customHeight="1">
      <x:c r="A1050" s="14" t="str">
        <x:v>es-kingdom-ptolemaic-egypt-metmuseum-9200258a95cb-description</x:v>
      </x:c>
      <x:c r="B1050" s="14" t="str">
        <x:v>kingdom-ptolemaic-egypt</x:v>
      </x:c>
      <x:c r="C1050" s="14" t="str">
        <x:v>src-metmuseum-9200258a95cb</x:v>
      </x:c>
      <x:c r="D1050" s="14" t="str">
        <x:v>description</x:v>
      </x:c>
      <x:c r="E1050" s="20" t="b">
        <x:v>1</x:v>
      </x:c>
    </x:row>
    <x:row r="1051" ht="24" customHeight="1">
      <x:c r="A1051" s="14" t="str">
        <x:v>es-kingdom-ptolemaic-egypt-metmuseum-9200258a95cb-geometry</x:v>
      </x:c>
      <x:c r="B1051" s="14" t="str">
        <x:v>kingdom-ptolemaic-egypt</x:v>
      </x:c>
      <x:c r="C1051" s="14" t="str">
        <x:v>src-metmuseum-9200258a95cb</x:v>
      </x:c>
      <x:c r="D1051" s="14" t="str">
        <x:v>geometry</x:v>
      </x:c>
      <x:c r="E1051" s="20" t="b">
        <x:v>1</x:v>
      </x:c>
    </x:row>
    <x:row r="1052" ht="24" customHeight="1">
      <x:c r="A1052" s="14" t="str">
        <x:v>es-kingdom-ptolemaic-egypt-metmuseum-9200258a95cb-identity</x:v>
      </x:c>
      <x:c r="B1052" s="14" t="str">
        <x:v>kingdom-ptolemaic-egypt</x:v>
      </x:c>
      <x:c r="C1052" s="14" t="str">
        <x:v>src-metmuseum-9200258a95cb</x:v>
      </x:c>
      <x:c r="D1052" s="14" t="str">
        <x:v>identity</x:v>
      </x:c>
      <x:c r="E1052" s="20" t="b">
        <x:v>1</x:v>
      </x:c>
    </x:row>
    <x:row r="1053" ht="24" customHeight="1">
      <x:c r="A1053" s="14" t="str">
        <x:v>es-kingdom-ptolemaic-egypt-metmuseum-9200258a95cb-names</x:v>
      </x:c>
      <x:c r="B1053" s="14" t="str">
        <x:v>kingdom-ptolemaic-egypt</x:v>
      </x:c>
      <x:c r="C1053" s="14" t="str">
        <x:v>src-metmuseum-9200258a95cb</x:v>
      </x:c>
      <x:c r="D1053" s="14" t="str">
        <x:v>names</x:v>
      </x:c>
      <x:c r="E1053" s="20" t="b">
        <x:v>1</x:v>
      </x:c>
    </x:row>
    <x:row r="1054" ht="24" customHeight="1">
      <x:c r="A1054" s="14" t="str">
        <x:v>es-kingdom-ptolemaic-egypt-metmuseum-9200258a95cb-relationships</x:v>
      </x:c>
      <x:c r="B1054" s="14" t="str">
        <x:v>kingdom-ptolemaic-egypt</x:v>
      </x:c>
      <x:c r="C1054" s="14" t="str">
        <x:v>src-metmuseum-9200258a95cb</x:v>
      </x:c>
      <x:c r="D1054" s="14" t="str">
        <x:v>relationships</x:v>
      </x:c>
      <x:c r="E1054" s="20" t="b">
        <x:v>1</x:v>
      </x:c>
    </x:row>
    <x:row r="1055" ht="24" customHeight="1">
      <x:c r="A1055" s="14" t="str">
        <x:v>es-kingdom-pylos-palatial-odysseus-00e2d87ae4a8-chronology</x:v>
      </x:c>
      <x:c r="B1055" s="14" t="str">
        <x:v>kingdom-pylos-palatial</x:v>
      </x:c>
      <x:c r="C1055" s="14" t="str">
        <x:v>src-odysseus-00e2d87ae4a8</x:v>
      </x:c>
      <x:c r="D1055" s="14" t="str">
        <x:v>chronology</x:v>
      </x:c>
      <x:c r="E1055" s="20" t="b">
        <x:v>1</x:v>
      </x:c>
    </x:row>
    <x:row r="1056" ht="24" customHeight="1">
      <x:c r="A1056" s="14" t="str">
        <x:v>es-kingdom-pylos-palatial-odysseus-00e2d87ae4a8-classification</x:v>
      </x:c>
      <x:c r="B1056" s="14" t="str">
        <x:v>kingdom-pylos-palatial</x:v>
      </x:c>
      <x:c r="C1056" s="14" t="str">
        <x:v>src-odysseus-00e2d87ae4a8</x:v>
      </x:c>
      <x:c r="D1056" s="14" t="str">
        <x:v>classification</x:v>
      </x:c>
      <x:c r="E1056" s="20" t="b">
        <x:v>1</x:v>
      </x:c>
    </x:row>
    <x:row r="1057" ht="24" customHeight="1">
      <x:c r="A1057" s="14" t="str">
        <x:v>es-kingdom-pylos-palatial-odysseus-00e2d87ae4a8-description</x:v>
      </x:c>
      <x:c r="B1057" s="14" t="str">
        <x:v>kingdom-pylos-palatial</x:v>
      </x:c>
      <x:c r="C1057" s="14" t="str">
        <x:v>src-odysseus-00e2d87ae4a8</x:v>
      </x:c>
      <x:c r="D1057" s="14" t="str">
        <x:v>description</x:v>
      </x:c>
      <x:c r="E1057" s="20" t="b">
        <x:v>1</x:v>
      </x:c>
    </x:row>
    <x:row r="1058" ht="24" customHeight="1">
      <x:c r="A1058" s="14" t="str">
        <x:v>es-kingdom-pylos-palatial-odysseus-00e2d87ae4a8-geometry</x:v>
      </x:c>
      <x:c r="B1058" s="14" t="str">
        <x:v>kingdom-pylos-palatial</x:v>
      </x:c>
      <x:c r="C1058" s="14" t="str">
        <x:v>src-odysseus-00e2d87ae4a8</x:v>
      </x:c>
      <x:c r="D1058" s="14" t="str">
        <x:v>geometry</x:v>
      </x:c>
      <x:c r="E1058" s="20" t="b">
        <x:v>1</x:v>
      </x:c>
    </x:row>
    <x:row r="1059" ht="24" customHeight="1">
      <x:c r="A1059" s="14" t="str">
        <x:v>es-kingdom-pylos-palatial-odysseus-00e2d87ae4a8-identity</x:v>
      </x:c>
      <x:c r="B1059" s="14" t="str">
        <x:v>kingdom-pylos-palatial</x:v>
      </x:c>
      <x:c r="C1059" s="14" t="str">
        <x:v>src-odysseus-00e2d87ae4a8</x:v>
      </x:c>
      <x:c r="D1059" s="14" t="str">
        <x:v>identity</x:v>
      </x:c>
      <x:c r="E1059" s="20" t="b">
        <x:v>1</x:v>
      </x:c>
    </x:row>
    <x:row r="1060" ht="24" customHeight="1">
      <x:c r="A1060" s="14" t="str">
        <x:v>es-kingdom-pylos-palatial-odysseus-00e2d87ae4a8-names</x:v>
      </x:c>
      <x:c r="B1060" s="14" t="str">
        <x:v>kingdom-pylos-palatial</x:v>
      </x:c>
      <x:c r="C1060" s="14" t="str">
        <x:v>src-odysseus-00e2d87ae4a8</x:v>
      </x:c>
      <x:c r="D1060" s="14" t="str">
        <x:v>names</x:v>
      </x:c>
      <x:c r="E1060" s="20" t="b">
        <x:v>1</x:v>
      </x:c>
    </x:row>
    <x:row r="1061" ht="24" customHeight="1">
      <x:c r="A1061" s="14" t="str">
        <x:v>es-kingdom-pylos-palatial-odysseus-00e2d87ae4a8-relationships</x:v>
      </x:c>
      <x:c r="B1061" s="14" t="str">
        <x:v>kingdom-pylos-palatial</x:v>
      </x:c>
      <x:c r="C1061" s="14" t="str">
        <x:v>src-odysseus-00e2d87ae4a8</x:v>
      </x:c>
      <x:c r="D1061" s="14" t="str">
        <x:v>relationships</x:v>
      </x:c>
      <x:c r="E1061" s="20" t="b">
        <x:v>1</x:v>
      </x:c>
    </x:row>
    <x:row r="1062" ht="24" customHeight="1">
      <x:c r="A1062" s="14" t="str">
        <x:v>es-kingdom-salamis-cyprus-uni-muenster-0a0030be4d2a-chronology</x:v>
      </x:c>
      <x:c r="B1062" s="14" t="str">
        <x:v>kingdom-salamis-cyprus</x:v>
      </x:c>
      <x:c r="C1062" s="14" t="str">
        <x:v>src-uni-muenster-0a0030be4d2a</x:v>
      </x:c>
      <x:c r="D1062" s="14" t="str">
        <x:v>chronology</x:v>
      </x:c>
      <x:c r="E1062" s="20" t="b">
        <x:v>1</x:v>
      </x:c>
    </x:row>
    <x:row r="1063" ht="24" customHeight="1">
      <x:c r="A1063" s="14" t="str">
        <x:v>es-kingdom-salamis-cyprus-uni-muenster-0a0030be4d2a-classification</x:v>
      </x:c>
      <x:c r="B1063" s="14" t="str">
        <x:v>kingdom-salamis-cyprus</x:v>
      </x:c>
      <x:c r="C1063" s="14" t="str">
        <x:v>src-uni-muenster-0a0030be4d2a</x:v>
      </x:c>
      <x:c r="D1063" s="14" t="str">
        <x:v>classification</x:v>
      </x:c>
      <x:c r="E1063" s="20" t="b">
        <x:v>1</x:v>
      </x:c>
    </x:row>
    <x:row r="1064" ht="24" customHeight="1">
      <x:c r="A1064" s="14" t="str">
        <x:v>es-kingdom-salamis-cyprus-uni-muenster-0a0030be4d2a-description</x:v>
      </x:c>
      <x:c r="B1064" s="14" t="str">
        <x:v>kingdom-salamis-cyprus</x:v>
      </x:c>
      <x:c r="C1064" s="14" t="str">
        <x:v>src-uni-muenster-0a0030be4d2a</x:v>
      </x:c>
      <x:c r="D1064" s="14" t="str">
        <x:v>description</x:v>
      </x:c>
      <x:c r="E1064" s="20" t="b">
        <x:v>1</x:v>
      </x:c>
    </x:row>
    <x:row r="1065" ht="24" customHeight="1">
      <x:c r="A1065" s="14" t="str">
        <x:v>es-kingdom-salamis-cyprus-uni-muenster-0a0030be4d2a-geometry</x:v>
      </x:c>
      <x:c r="B1065" s="14" t="str">
        <x:v>kingdom-salamis-cyprus</x:v>
      </x:c>
      <x:c r="C1065" s="14" t="str">
        <x:v>src-uni-muenster-0a0030be4d2a</x:v>
      </x:c>
      <x:c r="D1065" s="14" t="str">
        <x:v>geometry</x:v>
      </x:c>
      <x:c r="E1065" s="20" t="b">
        <x:v>1</x:v>
      </x:c>
    </x:row>
    <x:row r="1066" ht="24" customHeight="1">
      <x:c r="A1066" s="14" t="str">
        <x:v>es-kingdom-salamis-cyprus-uni-muenster-0a0030be4d2a-identity</x:v>
      </x:c>
      <x:c r="B1066" s="14" t="str">
        <x:v>kingdom-salamis-cyprus</x:v>
      </x:c>
      <x:c r="C1066" s="14" t="str">
        <x:v>src-uni-muenster-0a0030be4d2a</x:v>
      </x:c>
      <x:c r="D1066" s="14" t="str">
        <x:v>identity</x:v>
      </x:c>
      <x:c r="E1066" s="20" t="b">
        <x:v>1</x:v>
      </x:c>
    </x:row>
    <x:row r="1067" ht="24" customHeight="1">
      <x:c r="A1067" s="14" t="str">
        <x:v>es-kingdom-salamis-cyprus-uni-muenster-0a0030be4d2a-names</x:v>
      </x:c>
      <x:c r="B1067" s="14" t="str">
        <x:v>kingdom-salamis-cyprus</x:v>
      </x:c>
      <x:c r="C1067" s="14" t="str">
        <x:v>src-uni-muenster-0a0030be4d2a</x:v>
      </x:c>
      <x:c r="D1067" s="14" t="str">
        <x:v>names</x:v>
      </x:c>
      <x:c r="E1067" s="20" t="b">
        <x:v>1</x:v>
      </x:c>
    </x:row>
    <x:row r="1068" ht="24" customHeight="1">
      <x:c r="A1068" s="14" t="str">
        <x:v>es-kingdom-salamis-cyprus-uni-muenster-0a0030be4d2a-relationships</x:v>
      </x:c>
      <x:c r="B1068" s="14" t="str">
        <x:v>kingdom-salamis-cyprus</x:v>
      </x:c>
      <x:c r="C1068" s="14" t="str">
        <x:v>src-uni-muenster-0a0030be4d2a</x:v>
      </x:c>
      <x:c r="D1068" s="14" t="str">
        <x:v>relationships</x:v>
      </x:c>
      <x:c r="E1068" s="20" t="b">
        <x:v>1</x:v>
      </x:c>
    </x:row>
    <x:row r="1069" ht="24" customHeight="1">
      <x:c r="A1069" s="14" t="str">
        <x:v>es-kingdom-seleucid-metmuseum-31540f5687cf-chronology</x:v>
      </x:c>
      <x:c r="B1069" s="14" t="str">
        <x:v>kingdom-seleucid</x:v>
      </x:c>
      <x:c r="C1069" s="14" t="str">
        <x:v>src-metmuseum-31540f5687cf</x:v>
      </x:c>
      <x:c r="D1069" s="14" t="str">
        <x:v>chronology</x:v>
      </x:c>
      <x:c r="E1069" s="20" t="b">
        <x:v>1</x:v>
      </x:c>
    </x:row>
    <x:row r="1070" ht="24" customHeight="1">
      <x:c r="A1070" s="14" t="str">
        <x:v>es-kingdom-seleucid-metmuseum-31540f5687cf-classification</x:v>
      </x:c>
      <x:c r="B1070" s="14" t="str">
        <x:v>kingdom-seleucid</x:v>
      </x:c>
      <x:c r="C1070" s="14" t="str">
        <x:v>src-metmuseum-31540f5687cf</x:v>
      </x:c>
      <x:c r="D1070" s="14" t="str">
        <x:v>classification</x:v>
      </x:c>
      <x:c r="E1070" s="20" t="b">
        <x:v>1</x:v>
      </x:c>
    </x:row>
    <x:row r="1071" ht="24" customHeight="1">
      <x:c r="A1071" s="14" t="str">
        <x:v>es-kingdom-seleucid-metmuseum-31540f5687cf-description</x:v>
      </x:c>
      <x:c r="B1071" s="14" t="str">
        <x:v>kingdom-seleucid</x:v>
      </x:c>
      <x:c r="C1071" s="14" t="str">
        <x:v>src-metmuseum-31540f5687cf</x:v>
      </x:c>
      <x:c r="D1071" s="14" t="str">
        <x:v>description</x:v>
      </x:c>
      <x:c r="E1071" s="20" t="b">
        <x:v>1</x:v>
      </x:c>
    </x:row>
    <x:row r="1072" ht="24" customHeight="1">
      <x:c r="A1072" s="14" t="str">
        <x:v>es-kingdom-seleucid-metmuseum-31540f5687cf-geometry</x:v>
      </x:c>
      <x:c r="B1072" s="14" t="str">
        <x:v>kingdom-seleucid</x:v>
      </x:c>
      <x:c r="C1072" s="14" t="str">
        <x:v>src-metmuseum-31540f5687cf</x:v>
      </x:c>
      <x:c r="D1072" s="14" t="str">
        <x:v>geometry</x:v>
      </x:c>
      <x:c r="E1072" s="20" t="b">
        <x:v>1</x:v>
      </x:c>
    </x:row>
    <x:row r="1073" ht="24" customHeight="1">
      <x:c r="A1073" s="14" t="str">
        <x:v>es-kingdom-seleucid-metmuseum-31540f5687cf-identity</x:v>
      </x:c>
      <x:c r="B1073" s="14" t="str">
        <x:v>kingdom-seleucid</x:v>
      </x:c>
      <x:c r="C1073" s="14" t="str">
        <x:v>src-metmuseum-31540f5687cf</x:v>
      </x:c>
      <x:c r="D1073" s="14" t="str">
        <x:v>identity</x:v>
      </x:c>
      <x:c r="E1073" s="20" t="b">
        <x:v>1</x:v>
      </x:c>
    </x:row>
    <x:row r="1074" ht="24" customHeight="1">
      <x:c r="A1074" s="14" t="str">
        <x:v>es-kingdom-seleucid-metmuseum-31540f5687cf-names</x:v>
      </x:c>
      <x:c r="B1074" s="14" t="str">
        <x:v>kingdom-seleucid</x:v>
      </x:c>
      <x:c r="C1074" s="14" t="str">
        <x:v>src-metmuseum-31540f5687cf</x:v>
      </x:c>
      <x:c r="D1074" s="14" t="str">
        <x:v>names</x:v>
      </x:c>
      <x:c r="E1074" s="20" t="b">
        <x:v>1</x:v>
      </x:c>
    </x:row>
    <x:row r="1075" ht="24" customHeight="1">
      <x:c r="A1075" s="14" t="str">
        <x:v>es-kingdom-seleucid-metmuseum-31540f5687cf-relationships</x:v>
      </x:c>
      <x:c r="B1075" s="14" t="str">
        <x:v>kingdom-seleucid</x:v>
      </x:c>
      <x:c r="C1075" s="14" t="str">
        <x:v>src-metmuseum-31540f5687cf</x:v>
      </x:c>
      <x:c r="D1075" s="14" t="str">
        <x:v>relationships</x:v>
      </x:c>
      <x:c r="E1075" s="20" t="b">
        <x:v>1</x:v>
      </x:c>
    </x:row>
    <x:row r="1076" ht="24" customHeight="1">
      <x:c r="A1076" s="14" t="str">
        <x:v>es-kingdom-syracuse-agathocles-britishmuseum-073d3f0a8ae4-chronology</x:v>
      </x:c>
      <x:c r="B1076" s="14" t="str">
        <x:v>kingdom-syracuse-agathocles</x:v>
      </x:c>
      <x:c r="C1076" s="14" t="str">
        <x:v>src-britishmuseum-073d3f0a8ae4</x:v>
      </x:c>
      <x:c r="D1076" s="14" t="str">
        <x:v>chronology</x:v>
      </x:c>
      <x:c r="E1076" s="20" t="b">
        <x:v>1</x:v>
      </x:c>
    </x:row>
    <x:row r="1077" ht="24" customHeight="1">
      <x:c r="A1077" s="14" t="str">
        <x:v>es-kingdom-syracuse-agathocles-britishmuseum-073d3f0a8ae4-classification</x:v>
      </x:c>
      <x:c r="B1077" s="14" t="str">
        <x:v>kingdom-syracuse-agathocles</x:v>
      </x:c>
      <x:c r="C1077" s="14" t="str">
        <x:v>src-britishmuseum-073d3f0a8ae4</x:v>
      </x:c>
      <x:c r="D1077" s="14" t="str">
        <x:v>classification</x:v>
      </x:c>
      <x:c r="E1077" s="20" t="b">
        <x:v>1</x:v>
      </x:c>
    </x:row>
    <x:row r="1078" ht="24" customHeight="1">
      <x:c r="A1078" s="14" t="str">
        <x:v>es-kingdom-syracuse-agathocles-britishmuseum-073d3f0a8ae4-description</x:v>
      </x:c>
      <x:c r="B1078" s="14" t="str">
        <x:v>kingdom-syracuse-agathocles</x:v>
      </x:c>
      <x:c r="C1078" s="14" t="str">
        <x:v>src-britishmuseum-073d3f0a8ae4</x:v>
      </x:c>
      <x:c r="D1078" s="14" t="str">
        <x:v>description</x:v>
      </x:c>
      <x:c r="E1078" s="20" t="b">
        <x:v>1</x:v>
      </x:c>
    </x:row>
    <x:row r="1079" ht="24" customHeight="1">
      <x:c r="A1079" s="14" t="str">
        <x:v>es-kingdom-syracuse-agathocles-britishmuseum-073d3f0a8ae4-geometry</x:v>
      </x:c>
      <x:c r="B1079" s="14" t="str">
        <x:v>kingdom-syracuse-agathocles</x:v>
      </x:c>
      <x:c r="C1079" s="14" t="str">
        <x:v>src-britishmuseum-073d3f0a8ae4</x:v>
      </x:c>
      <x:c r="D1079" s="14" t="str">
        <x:v>geometry</x:v>
      </x:c>
      <x:c r="E1079" s="20" t="b">
        <x:v>1</x:v>
      </x:c>
    </x:row>
    <x:row r="1080" ht="24" customHeight="1">
      <x:c r="A1080" s="14" t="str">
        <x:v>es-kingdom-syracuse-agathocles-britishmuseum-073d3f0a8ae4-identity</x:v>
      </x:c>
      <x:c r="B1080" s="14" t="str">
        <x:v>kingdom-syracuse-agathocles</x:v>
      </x:c>
      <x:c r="C1080" s="14" t="str">
        <x:v>src-britishmuseum-073d3f0a8ae4</x:v>
      </x:c>
      <x:c r="D1080" s="14" t="str">
        <x:v>identity</x:v>
      </x:c>
      <x:c r="E1080" s="20" t="b">
        <x:v>1</x:v>
      </x:c>
    </x:row>
    <x:row r="1081" ht="24" customHeight="1">
      <x:c r="A1081" s="14" t="str">
        <x:v>es-kingdom-syracuse-agathocles-britishmuseum-073d3f0a8ae4-names</x:v>
      </x:c>
      <x:c r="B1081" s="14" t="str">
        <x:v>kingdom-syracuse-agathocles</x:v>
      </x:c>
      <x:c r="C1081" s="14" t="str">
        <x:v>src-britishmuseum-073d3f0a8ae4</x:v>
      </x:c>
      <x:c r="D1081" s="14" t="str">
        <x:v>names</x:v>
      </x:c>
      <x:c r="E1081" s="20" t="b">
        <x:v>1</x:v>
      </x:c>
    </x:row>
    <x:row r="1082" ht="24" customHeight="1">
      <x:c r="A1082" s="14" t="str">
        <x:v>es-kingdom-syracuse-agathocles-britishmuseum-073d3f0a8ae4-relationships</x:v>
      </x:c>
      <x:c r="B1082" s="14" t="str">
        <x:v>kingdom-syracuse-agathocles</x:v>
      </x:c>
      <x:c r="C1082" s="14" t="str">
        <x:v>src-britishmuseum-073d3f0a8ae4</x:v>
      </x:c>
      <x:c r="D1082" s="14" t="str">
        <x:v>relationships</x:v>
      </x:c>
      <x:c r="E1082" s="20" t="b">
        <x:v>1</x:v>
      </x:c>
    </x:row>
    <x:row r="1083" ht="24" customHeight="1">
      <x:c r="A1083" s="14" t="str">
        <x:v>es-kingdom-syracuse-hieron-ii-britishmuseum-d101eb623c92-chronology</x:v>
      </x:c>
      <x:c r="B1083" s="14" t="str">
        <x:v>kingdom-syracuse-hieron-ii</x:v>
      </x:c>
      <x:c r="C1083" s="14" t="str">
        <x:v>src-britishmuseum-d101eb623c92</x:v>
      </x:c>
      <x:c r="D1083" s="14" t="str">
        <x:v>chronology</x:v>
      </x:c>
      <x:c r="E1083" s="20" t="b">
        <x:v>1</x:v>
      </x:c>
    </x:row>
    <x:row r="1084" ht="24" customHeight="1">
      <x:c r="A1084" s="14" t="str">
        <x:v>es-kingdom-syracuse-hieron-ii-britishmuseum-d101eb623c92-classification</x:v>
      </x:c>
      <x:c r="B1084" s="14" t="str">
        <x:v>kingdom-syracuse-hieron-ii</x:v>
      </x:c>
      <x:c r="C1084" s="14" t="str">
        <x:v>src-britishmuseum-d101eb623c92</x:v>
      </x:c>
      <x:c r="D1084" s="14" t="str">
        <x:v>classification</x:v>
      </x:c>
      <x:c r="E1084" s="20" t="b">
        <x:v>1</x:v>
      </x:c>
    </x:row>
    <x:row r="1085" ht="24" customHeight="1">
      <x:c r="A1085" s="14" t="str">
        <x:v>es-kingdom-syracuse-hieron-ii-britishmuseum-d101eb623c92-description</x:v>
      </x:c>
      <x:c r="B1085" s="14" t="str">
        <x:v>kingdom-syracuse-hieron-ii</x:v>
      </x:c>
      <x:c r="C1085" s="14" t="str">
        <x:v>src-britishmuseum-d101eb623c92</x:v>
      </x:c>
      <x:c r="D1085" s="14" t="str">
        <x:v>description</x:v>
      </x:c>
      <x:c r="E1085" s="20" t="b">
        <x:v>1</x:v>
      </x:c>
    </x:row>
    <x:row r="1086" ht="24" customHeight="1">
      <x:c r="A1086" s="14" t="str">
        <x:v>es-kingdom-syracuse-hieron-ii-britishmuseum-d101eb623c92-geometry</x:v>
      </x:c>
      <x:c r="B1086" s="14" t="str">
        <x:v>kingdom-syracuse-hieron-ii</x:v>
      </x:c>
      <x:c r="C1086" s="14" t="str">
        <x:v>src-britishmuseum-d101eb623c92</x:v>
      </x:c>
      <x:c r="D1086" s="14" t="str">
        <x:v>geometry</x:v>
      </x:c>
      <x:c r="E1086" s="20" t="b">
        <x:v>1</x:v>
      </x:c>
    </x:row>
    <x:row r="1087" ht="24" customHeight="1">
      <x:c r="A1087" s="14" t="str">
        <x:v>es-kingdom-syracuse-hieron-ii-britishmuseum-d101eb623c92-identity</x:v>
      </x:c>
      <x:c r="B1087" s="14" t="str">
        <x:v>kingdom-syracuse-hieron-ii</x:v>
      </x:c>
      <x:c r="C1087" s="14" t="str">
        <x:v>src-britishmuseum-d101eb623c92</x:v>
      </x:c>
      <x:c r="D1087" s="14" t="str">
        <x:v>identity</x:v>
      </x:c>
      <x:c r="E1087" s="20" t="b">
        <x:v>1</x:v>
      </x:c>
    </x:row>
    <x:row r="1088" ht="24" customHeight="1">
      <x:c r="A1088" s="14" t="str">
        <x:v>es-kingdom-syracuse-hieron-ii-britishmuseum-d101eb623c92-names</x:v>
      </x:c>
      <x:c r="B1088" s="14" t="str">
        <x:v>kingdom-syracuse-hieron-ii</x:v>
      </x:c>
      <x:c r="C1088" s="14" t="str">
        <x:v>src-britishmuseum-d101eb623c92</x:v>
      </x:c>
      <x:c r="D1088" s="14" t="str">
        <x:v>names</x:v>
      </x:c>
      <x:c r="E1088" s="20" t="b">
        <x:v>1</x:v>
      </x:c>
    </x:row>
    <x:row r="1089" ht="24" customHeight="1">
      <x:c r="A1089" s="14" t="str">
        <x:v>es-kingdom-syracuse-hieron-ii-britishmuseum-d101eb623c92-relationships</x:v>
      </x:c>
      <x:c r="B1089" s="14" t="str">
        <x:v>kingdom-syracuse-hieron-ii</x:v>
      </x:c>
      <x:c r="C1089" s="14" t="str">
        <x:v>src-britishmuseum-d101eb623c92</x:v>
      </x:c>
      <x:c r="D1089" s="14" t="str">
        <x:v>relationships</x:v>
      </x:c>
      <x:c r="E1089" s="20" t="b">
        <x:v>1</x:v>
      </x:c>
    </x:row>
    <x:row r="1090" ht="24" customHeight="1">
      <x:c r="A1090" s="14" t="str">
        <x:v>es-kingdom-thebes-palatial-mthv-715d665b63b5-chronology</x:v>
      </x:c>
      <x:c r="B1090" s="14" t="str">
        <x:v>kingdom-thebes-palatial</x:v>
      </x:c>
      <x:c r="C1090" s="14" t="str">
        <x:v>src-mthv-715d665b63b5</x:v>
      </x:c>
      <x:c r="D1090" s="14" t="str">
        <x:v>chronology</x:v>
      </x:c>
      <x:c r="E1090" s="20" t="b">
        <x:v>1</x:v>
      </x:c>
    </x:row>
    <x:row r="1091" ht="24" customHeight="1">
      <x:c r="A1091" s="14" t="str">
        <x:v>es-kingdom-thebes-palatial-mthv-715d665b63b5-classification</x:v>
      </x:c>
      <x:c r="B1091" s="14" t="str">
        <x:v>kingdom-thebes-palatial</x:v>
      </x:c>
      <x:c r="C1091" s="14" t="str">
        <x:v>src-mthv-715d665b63b5</x:v>
      </x:c>
      <x:c r="D1091" s="14" t="str">
        <x:v>classification</x:v>
      </x:c>
      <x:c r="E1091" s="20" t="b">
        <x:v>1</x:v>
      </x:c>
    </x:row>
    <x:row r="1092" ht="24" customHeight="1">
      <x:c r="A1092" s="14" t="str">
        <x:v>es-kingdom-thebes-palatial-mthv-715d665b63b5-description</x:v>
      </x:c>
      <x:c r="B1092" s="14" t="str">
        <x:v>kingdom-thebes-palatial</x:v>
      </x:c>
      <x:c r="C1092" s="14" t="str">
        <x:v>src-mthv-715d665b63b5</x:v>
      </x:c>
      <x:c r="D1092" s="14" t="str">
        <x:v>description</x:v>
      </x:c>
      <x:c r="E1092" s="20" t="b">
        <x:v>1</x:v>
      </x:c>
    </x:row>
    <x:row r="1093" ht="24" customHeight="1">
      <x:c r="A1093" s="14" t="str">
        <x:v>es-kingdom-thebes-palatial-mthv-715d665b63b5-geometry</x:v>
      </x:c>
      <x:c r="B1093" s="14" t="str">
        <x:v>kingdom-thebes-palatial</x:v>
      </x:c>
      <x:c r="C1093" s="14" t="str">
        <x:v>src-mthv-715d665b63b5</x:v>
      </x:c>
      <x:c r="D1093" s="14" t="str">
        <x:v>geometry</x:v>
      </x:c>
      <x:c r="E1093" s="20" t="b">
        <x:v>1</x:v>
      </x:c>
    </x:row>
    <x:row r="1094" ht="24" customHeight="1">
      <x:c r="A1094" s="14" t="str">
        <x:v>es-kingdom-thebes-palatial-mthv-715d665b63b5-identity</x:v>
      </x:c>
      <x:c r="B1094" s="14" t="str">
        <x:v>kingdom-thebes-palatial</x:v>
      </x:c>
      <x:c r="C1094" s="14" t="str">
        <x:v>src-mthv-715d665b63b5</x:v>
      </x:c>
      <x:c r="D1094" s="14" t="str">
        <x:v>identity</x:v>
      </x:c>
      <x:c r="E1094" s="20" t="b">
        <x:v>1</x:v>
      </x:c>
    </x:row>
    <x:row r="1095" ht="24" customHeight="1">
      <x:c r="A1095" s="14" t="str">
        <x:v>es-kingdom-thebes-palatial-mthv-715d665b63b5-names</x:v>
      </x:c>
      <x:c r="B1095" s="14" t="str">
        <x:v>kingdom-thebes-palatial</x:v>
      </x:c>
      <x:c r="C1095" s="14" t="str">
        <x:v>src-mthv-715d665b63b5</x:v>
      </x:c>
      <x:c r="D1095" s="14" t="str">
        <x:v>names</x:v>
      </x:c>
      <x:c r="E1095" s="20" t="b">
        <x:v>1</x:v>
      </x:c>
    </x:row>
    <x:row r="1096" ht="24" customHeight="1">
      <x:c r="A1096" s="14" t="str">
        <x:v>es-kingdom-thebes-palatial-mthv-715d665b63b5-relationships</x:v>
      </x:c>
      <x:c r="B1096" s="14" t="str">
        <x:v>kingdom-thebes-palatial</x:v>
      </x:c>
      <x:c r="C1096" s="14" t="str">
        <x:v>src-mthv-715d665b63b5</x:v>
      </x:c>
      <x:c r="D1096" s="14" t="str">
        <x:v>relationships</x:v>
      </x:c>
      <x:c r="E1096" s="20" t="b">
        <x:v>1</x:v>
      </x:c>
    </x:row>
    <x:row r="1097" ht="24" customHeight="1">
      <x:c r="A1097" s="14" t="str">
        <x:v>es-kingdom-tiryns-palatial-whc-6306f630553d-chronology</x:v>
      </x:c>
      <x:c r="B1097" s="14" t="str">
        <x:v>kingdom-tiryns-palatial</x:v>
      </x:c>
      <x:c r="C1097" s="14" t="str">
        <x:v>src-whc-6306f630553d</x:v>
      </x:c>
      <x:c r="D1097" s="14" t="str">
        <x:v>chronology</x:v>
      </x:c>
      <x:c r="E1097" s="20" t="b">
        <x:v>1</x:v>
      </x:c>
    </x:row>
    <x:row r="1098" ht="24" customHeight="1">
      <x:c r="A1098" s="14" t="str">
        <x:v>es-kingdom-tiryns-palatial-whc-6306f630553d-classification</x:v>
      </x:c>
      <x:c r="B1098" s="14" t="str">
        <x:v>kingdom-tiryns-palatial</x:v>
      </x:c>
      <x:c r="C1098" s="14" t="str">
        <x:v>src-whc-6306f630553d</x:v>
      </x:c>
      <x:c r="D1098" s="14" t="str">
        <x:v>classification</x:v>
      </x:c>
      <x:c r="E1098" s="20" t="b">
        <x:v>1</x:v>
      </x:c>
    </x:row>
    <x:row r="1099" ht="24" customHeight="1">
      <x:c r="A1099" s="14" t="str">
        <x:v>es-kingdom-tiryns-palatial-whc-6306f630553d-description</x:v>
      </x:c>
      <x:c r="B1099" s="14" t="str">
        <x:v>kingdom-tiryns-palatial</x:v>
      </x:c>
      <x:c r="C1099" s="14" t="str">
        <x:v>src-whc-6306f630553d</x:v>
      </x:c>
      <x:c r="D1099" s="14" t="str">
        <x:v>description</x:v>
      </x:c>
      <x:c r="E1099" s="20" t="b">
        <x:v>1</x:v>
      </x:c>
    </x:row>
    <x:row r="1100" ht="24" customHeight="1">
      <x:c r="A1100" s="14" t="str">
        <x:v>es-kingdom-tiryns-palatial-whc-6306f630553d-geometry</x:v>
      </x:c>
      <x:c r="B1100" s="14" t="str">
        <x:v>kingdom-tiryns-palatial</x:v>
      </x:c>
      <x:c r="C1100" s="14" t="str">
        <x:v>src-whc-6306f630553d</x:v>
      </x:c>
      <x:c r="D1100" s="14" t="str">
        <x:v>geometry</x:v>
      </x:c>
      <x:c r="E1100" s="20" t="b">
        <x:v>1</x:v>
      </x:c>
    </x:row>
    <x:row r="1101" ht="24" customHeight="1">
      <x:c r="A1101" s="14" t="str">
        <x:v>es-kingdom-tiryns-palatial-whc-6306f630553d-identity</x:v>
      </x:c>
      <x:c r="B1101" s="14" t="str">
        <x:v>kingdom-tiryns-palatial</x:v>
      </x:c>
      <x:c r="C1101" s="14" t="str">
        <x:v>src-whc-6306f630553d</x:v>
      </x:c>
      <x:c r="D1101" s="14" t="str">
        <x:v>identity</x:v>
      </x:c>
      <x:c r="E1101" s="20" t="b">
        <x:v>1</x:v>
      </x:c>
    </x:row>
    <x:row r="1102" ht="24" customHeight="1">
      <x:c r="A1102" s="14" t="str">
        <x:v>es-kingdom-tiryns-palatial-whc-6306f630553d-names</x:v>
      </x:c>
      <x:c r="B1102" s="14" t="str">
        <x:v>kingdom-tiryns-palatial</x:v>
      </x:c>
      <x:c r="C1102" s="14" t="str">
        <x:v>src-whc-6306f630553d</x:v>
      </x:c>
      <x:c r="D1102" s="14" t="str">
        <x:v>names</x:v>
      </x:c>
      <x:c r="E1102" s="20" t="b">
        <x:v>1</x:v>
      </x:c>
    </x:row>
    <x:row r="1103" ht="24" customHeight="1">
      <x:c r="A1103" s="14" t="str">
        <x:v>es-kingdom-tiryns-palatial-whc-6306f630553d-relationships</x:v>
      </x:c>
      <x:c r="B1103" s="14" t="str">
        <x:v>kingdom-tiryns-palatial</x:v>
      </x:c>
      <x:c r="C1103" s="14" t="str">
        <x:v>src-whc-6306f630553d</x:v>
      </x:c>
      <x:c r="D1103" s="14" t="str">
        <x:v>relationships</x:v>
      </x:c>
      <x:c r="E1103" s="20" t="b">
        <x:v>1</x:v>
      </x:c>
    </x:row>
    <x:row r="1104" ht="24" customHeight="1">
      <x:c r="A1104" s="14" t="str">
        <x:v>es-sanctuary-aegina-aphaia-sanctuary-pleiades-579872-chronology</x:v>
      </x:c>
      <x:c r="B1104" s="14" t="str">
        <x:v>sanctuary-aegina-aphaia-sanctuary</x:v>
      </x:c>
      <x:c r="C1104" s="14" t="str">
        <x:v>src-pleiades-579872</x:v>
      </x:c>
      <x:c r="D1104" s="14" t="str">
        <x:v>chronology</x:v>
      </x:c>
      <x:c r="E1104" s="20" t="b">
        <x:v>1</x:v>
      </x:c>
    </x:row>
    <x:row r="1105" ht="24" customHeight="1">
      <x:c r="A1105" s="14" t="str">
        <x:v>es-sanctuary-aegina-aphaia-sanctuary-pleiades-579872-classification</x:v>
      </x:c>
      <x:c r="B1105" s="14" t="str">
        <x:v>sanctuary-aegina-aphaia-sanctuary</x:v>
      </x:c>
      <x:c r="C1105" s="14" t="str">
        <x:v>src-pleiades-579872</x:v>
      </x:c>
      <x:c r="D1105" s="14" t="str">
        <x:v>classification</x:v>
      </x:c>
      <x:c r="E1105" s="20" t="b">
        <x:v>1</x:v>
      </x:c>
    </x:row>
    <x:row r="1106" ht="24" customHeight="1">
      <x:c r="A1106" s="14" t="str">
        <x:v>es-sanctuary-aegina-aphaia-sanctuary-pleiades-579872-description</x:v>
      </x:c>
      <x:c r="B1106" s="14" t="str">
        <x:v>sanctuary-aegina-aphaia-sanctuary</x:v>
      </x:c>
      <x:c r="C1106" s="14" t="str">
        <x:v>src-pleiades-579872</x:v>
      </x:c>
      <x:c r="D1106" s="14" t="str">
        <x:v>description</x:v>
      </x:c>
      <x:c r="E1106" s="20" t="b">
        <x:v>1</x:v>
      </x:c>
    </x:row>
    <x:row r="1107" ht="24" customHeight="1">
      <x:c r="A1107" s="14" t="str">
        <x:v>es-sanctuary-aegina-aphaia-sanctuary-pleiades-579872-geometry</x:v>
      </x:c>
      <x:c r="B1107" s="14" t="str">
        <x:v>sanctuary-aegina-aphaia-sanctuary</x:v>
      </x:c>
      <x:c r="C1107" s="14" t="str">
        <x:v>src-pleiades-579872</x:v>
      </x:c>
      <x:c r="D1107" s="14" t="str">
        <x:v>geometry</x:v>
      </x:c>
      <x:c r="E1107" s="20" t="b">
        <x:v>1</x:v>
      </x:c>
    </x:row>
    <x:row r="1108" ht="24" customHeight="1">
      <x:c r="A1108" s="14" t="str">
        <x:v>es-sanctuary-aegina-aphaia-sanctuary-pleiades-579872-identity</x:v>
      </x:c>
      <x:c r="B1108" s="14" t="str">
        <x:v>sanctuary-aegina-aphaia-sanctuary</x:v>
      </x:c>
      <x:c r="C1108" s="14" t="str">
        <x:v>src-pleiades-579872</x:v>
      </x:c>
      <x:c r="D1108" s="14" t="str">
        <x:v>identity</x:v>
      </x:c>
      <x:c r="E1108" s="20" t="b">
        <x:v>1</x:v>
      </x:c>
    </x:row>
    <x:row r="1109" ht="24" customHeight="1">
      <x:c r="A1109" s="14" t="str">
        <x:v>es-sanctuary-aegina-aphaia-sanctuary-pleiades-579872-names</x:v>
      </x:c>
      <x:c r="B1109" s="14" t="str">
        <x:v>sanctuary-aegina-aphaia-sanctuary</x:v>
      </x:c>
      <x:c r="C1109" s="14" t="str">
        <x:v>src-pleiades-579872</x:v>
      </x:c>
      <x:c r="D1109" s="14" t="str">
        <x:v>names</x:v>
      </x:c>
      <x:c r="E1109" s="20" t="b">
        <x:v>1</x:v>
      </x:c>
    </x:row>
    <x:row r="1110" ht="24" customHeight="1">
      <x:c r="A1110" s="14" t="str">
        <x:v>es-sanctuary-aegina-aphaia-sanctuary-pleiades-579872-relationships</x:v>
      </x:c>
      <x:c r="B1110" s="14" t="str">
        <x:v>sanctuary-aegina-aphaia-sanctuary</x:v>
      </x:c>
      <x:c r="C1110" s="14" t="str">
        <x:v>src-pleiades-579872</x:v>
      </x:c>
      <x:c r="D1110" s="14" t="str">
        <x:v>relationships</x:v>
      </x:c>
      <x:c r="E1110" s="20" t="b">
        <x:v>1</x:v>
      </x:c>
    </x:row>
    <x:row r="1111" ht="24" customHeight="1">
      <x:c r="A1111" s="14" t="str">
        <x:v>es-sanctuary-akragas-concordia-temple-sanctuary-pleiades-943504072-chronology</x:v>
      </x:c>
      <x:c r="B1111" s="14" t="str">
        <x:v>sanctuary-akragas-concordia-temple-sanctuary</x:v>
      </x:c>
      <x:c r="C1111" s="14" t="str">
        <x:v>src-pleiades-943504072</x:v>
      </x:c>
      <x:c r="D1111" s="14" t="str">
        <x:v>chronology</x:v>
      </x:c>
      <x:c r="E1111" s="20" t="b">
        <x:v>1</x:v>
      </x:c>
    </x:row>
    <x:row r="1112" ht="24" customHeight="1">
      <x:c r="A1112" s="14" t="str">
        <x:v>es-sanctuary-akragas-concordia-temple-sanctuary-pleiades-943504072-classification</x:v>
      </x:c>
      <x:c r="B1112" s="14" t="str">
        <x:v>sanctuary-akragas-concordia-temple-sanctuary</x:v>
      </x:c>
      <x:c r="C1112" s="14" t="str">
        <x:v>src-pleiades-943504072</x:v>
      </x:c>
      <x:c r="D1112" s="14" t="str">
        <x:v>classification</x:v>
      </x:c>
      <x:c r="E1112" s="20" t="b">
        <x:v>1</x:v>
      </x:c>
    </x:row>
    <x:row r="1113" ht="24" customHeight="1">
      <x:c r="A1113" s="14" t="str">
        <x:v>es-sanctuary-akragas-concordia-temple-sanctuary-pleiades-943504072-description</x:v>
      </x:c>
      <x:c r="B1113" s="14" t="str">
        <x:v>sanctuary-akragas-concordia-temple-sanctuary</x:v>
      </x:c>
      <x:c r="C1113" s="14" t="str">
        <x:v>src-pleiades-943504072</x:v>
      </x:c>
      <x:c r="D1113" s="14" t="str">
        <x:v>description</x:v>
      </x:c>
      <x:c r="E1113" s="20" t="b">
        <x:v>1</x:v>
      </x:c>
    </x:row>
    <x:row r="1114" ht="24" customHeight="1">
      <x:c r="A1114" s="14" t="str">
        <x:v>es-sanctuary-akragas-concordia-temple-sanctuary-pleiades-943504072-geometry</x:v>
      </x:c>
      <x:c r="B1114" s="14" t="str">
        <x:v>sanctuary-akragas-concordia-temple-sanctuary</x:v>
      </x:c>
      <x:c r="C1114" s="14" t="str">
        <x:v>src-pleiades-943504072</x:v>
      </x:c>
      <x:c r="D1114" s="14" t="str">
        <x:v>geometry</x:v>
      </x:c>
      <x:c r="E1114" s="20" t="b">
        <x:v>1</x:v>
      </x:c>
    </x:row>
    <x:row r="1115" ht="24" customHeight="1">
      <x:c r="A1115" s="14" t="str">
        <x:v>es-sanctuary-akragas-concordia-temple-sanctuary-pleiades-943504072-identity</x:v>
      </x:c>
      <x:c r="B1115" s="14" t="str">
        <x:v>sanctuary-akragas-concordia-temple-sanctuary</x:v>
      </x:c>
      <x:c r="C1115" s="14" t="str">
        <x:v>src-pleiades-943504072</x:v>
      </x:c>
      <x:c r="D1115" s="14" t="str">
        <x:v>identity</x:v>
      </x:c>
      <x:c r="E1115" s="20" t="b">
        <x:v>1</x:v>
      </x:c>
    </x:row>
    <x:row r="1116" ht="24" customHeight="1">
      <x:c r="A1116" s="14" t="str">
        <x:v>es-sanctuary-akragas-concordia-temple-sanctuary-pleiades-943504072-names</x:v>
      </x:c>
      <x:c r="B1116" s="14" t="str">
        <x:v>sanctuary-akragas-concordia-temple-sanctuary</x:v>
      </x:c>
      <x:c r="C1116" s="14" t="str">
        <x:v>src-pleiades-943504072</x:v>
      </x:c>
      <x:c r="D1116" s="14" t="str">
        <x:v>names</x:v>
      </x:c>
      <x:c r="E1116" s="20" t="b">
        <x:v>1</x:v>
      </x:c>
    </x:row>
    <x:row r="1117" ht="24" customHeight="1">
      <x:c r="A1117" s="14" t="str">
        <x:v>es-sanctuary-akragas-concordia-temple-sanctuary-pleiades-943504072-relationships</x:v>
      </x:c>
      <x:c r="B1117" s="14" t="str">
        <x:v>sanctuary-akragas-concordia-temple-sanctuary</x:v>
      </x:c>
      <x:c r="C1117" s="14" t="str">
        <x:v>src-pleiades-943504072</x:v>
      </x:c>
      <x:c r="D1117" s="14" t="str">
        <x:v>relationships</x:v>
      </x:c>
      <x:c r="E1117" s="20" t="b">
        <x:v>1</x:v>
      </x:c>
    </x:row>
    <x:row r="1118" ht="24" customHeight="1">
      <x:c r="A1118" s="14" t="str">
        <x:v>es-sanctuary-alexandria-serapeum-pleiades-182618516-chronology</x:v>
      </x:c>
      <x:c r="B1118" s="14" t="str">
        <x:v>sanctuary-alexandria-serapeum</x:v>
      </x:c>
      <x:c r="C1118" s="14" t="str">
        <x:v>src-pleiades-182618516</x:v>
      </x:c>
      <x:c r="D1118" s="14" t="str">
        <x:v>chronology</x:v>
      </x:c>
      <x:c r="E1118" s="20" t="b">
        <x:v>1</x:v>
      </x:c>
    </x:row>
    <x:row r="1119" ht="24" customHeight="1">
      <x:c r="A1119" s="14" t="str">
        <x:v>es-sanctuary-alexandria-serapeum-pleiades-182618516-classification</x:v>
      </x:c>
      <x:c r="B1119" s="14" t="str">
        <x:v>sanctuary-alexandria-serapeum</x:v>
      </x:c>
      <x:c r="C1119" s="14" t="str">
        <x:v>src-pleiades-182618516</x:v>
      </x:c>
      <x:c r="D1119" s="14" t="str">
        <x:v>classification</x:v>
      </x:c>
      <x:c r="E1119" s="20" t="b">
        <x:v>1</x:v>
      </x:c>
    </x:row>
    <x:row r="1120" ht="24" customHeight="1">
      <x:c r="A1120" s="14" t="str">
        <x:v>es-sanctuary-alexandria-serapeum-pleiades-182618516-description</x:v>
      </x:c>
      <x:c r="B1120" s="14" t="str">
        <x:v>sanctuary-alexandria-serapeum</x:v>
      </x:c>
      <x:c r="C1120" s="14" t="str">
        <x:v>src-pleiades-182618516</x:v>
      </x:c>
      <x:c r="D1120" s="14" t="str">
        <x:v>description</x:v>
      </x:c>
      <x:c r="E1120" s="20" t="b">
        <x:v>1</x:v>
      </x:c>
    </x:row>
    <x:row r="1121" ht="24" customHeight="1">
      <x:c r="A1121" s="14" t="str">
        <x:v>es-sanctuary-alexandria-serapeum-pleiades-182618516-geometry</x:v>
      </x:c>
      <x:c r="B1121" s="14" t="str">
        <x:v>sanctuary-alexandria-serapeum</x:v>
      </x:c>
      <x:c r="C1121" s="14" t="str">
        <x:v>src-pleiades-182618516</x:v>
      </x:c>
      <x:c r="D1121" s="14" t="str">
        <x:v>geometry</x:v>
      </x:c>
      <x:c r="E1121" s="20" t="b">
        <x:v>1</x:v>
      </x:c>
    </x:row>
    <x:row r="1122" ht="24" customHeight="1">
      <x:c r="A1122" s="14" t="str">
        <x:v>es-sanctuary-alexandria-serapeum-pleiades-182618516-identity</x:v>
      </x:c>
      <x:c r="B1122" s="14" t="str">
        <x:v>sanctuary-alexandria-serapeum</x:v>
      </x:c>
      <x:c r="C1122" s="14" t="str">
        <x:v>src-pleiades-182618516</x:v>
      </x:c>
      <x:c r="D1122" s="14" t="str">
        <x:v>identity</x:v>
      </x:c>
      <x:c r="E1122" s="20" t="b">
        <x:v>1</x:v>
      </x:c>
    </x:row>
    <x:row r="1123" ht="24" customHeight="1">
      <x:c r="A1123" s="14" t="str">
        <x:v>es-sanctuary-alexandria-serapeum-pleiades-182618516-names</x:v>
      </x:c>
      <x:c r="B1123" s="14" t="str">
        <x:v>sanctuary-alexandria-serapeum</x:v>
      </x:c>
      <x:c r="C1123" s="14" t="str">
        <x:v>src-pleiades-182618516</x:v>
      </x:c>
      <x:c r="D1123" s="14" t="str">
        <x:v>names</x:v>
      </x:c>
      <x:c r="E1123" s="20" t="b">
        <x:v>1</x:v>
      </x:c>
    </x:row>
    <x:row r="1124" ht="24" customHeight="1">
      <x:c r="A1124" s="14" t="str">
        <x:v>es-sanctuary-alexandria-serapeum-pleiades-182618516-relationships</x:v>
      </x:c>
      <x:c r="B1124" s="14" t="str">
        <x:v>sanctuary-alexandria-serapeum</x:v>
      </x:c>
      <x:c r="C1124" s="14" t="str">
        <x:v>src-pleiades-182618516</x:v>
      </x:c>
      <x:c r="D1124" s="14" t="str">
        <x:v>relationships</x:v>
      </x:c>
      <x:c r="E1124" s="20" t="b">
        <x:v>1</x:v>
      </x:c>
    </x:row>
    <x:row r="1125" ht="24" customHeight="1">
      <x:c r="A1125" s="14" t="str">
        <x:v>es-sanctuary-amyklaion-apollo-sanctuary-pleiades-73644851-chronology</x:v>
      </x:c>
      <x:c r="B1125" s="14" t="str">
        <x:v>sanctuary-amyklaion-apollo-sanctuary</x:v>
      </x:c>
      <x:c r="C1125" s="14" t="str">
        <x:v>src-pleiades-73644851</x:v>
      </x:c>
      <x:c r="D1125" s="14" t="str">
        <x:v>chronology</x:v>
      </x:c>
      <x:c r="E1125" s="20" t="b">
        <x:v>1</x:v>
      </x:c>
    </x:row>
    <x:row r="1126" ht="24" customHeight="1">
      <x:c r="A1126" s="14" t="str">
        <x:v>es-sanctuary-amyklaion-apollo-sanctuary-pleiades-73644851-classification</x:v>
      </x:c>
      <x:c r="B1126" s="14" t="str">
        <x:v>sanctuary-amyklaion-apollo-sanctuary</x:v>
      </x:c>
      <x:c r="C1126" s="14" t="str">
        <x:v>src-pleiades-73644851</x:v>
      </x:c>
      <x:c r="D1126" s="14" t="str">
        <x:v>classification</x:v>
      </x:c>
      <x:c r="E1126" s="20" t="b">
        <x:v>1</x:v>
      </x:c>
    </x:row>
    <x:row r="1127" ht="24" customHeight="1">
      <x:c r="A1127" s="14" t="str">
        <x:v>es-sanctuary-amyklaion-apollo-sanctuary-pleiades-73644851-description</x:v>
      </x:c>
      <x:c r="B1127" s="14" t="str">
        <x:v>sanctuary-amyklaion-apollo-sanctuary</x:v>
      </x:c>
      <x:c r="C1127" s="14" t="str">
        <x:v>src-pleiades-73644851</x:v>
      </x:c>
      <x:c r="D1127" s="14" t="str">
        <x:v>description</x:v>
      </x:c>
      <x:c r="E1127" s="20" t="b">
        <x:v>1</x:v>
      </x:c>
    </x:row>
    <x:row r="1128" ht="24" customHeight="1">
      <x:c r="A1128" s="14" t="str">
        <x:v>es-sanctuary-amyklaion-apollo-sanctuary-pleiades-73644851-geometry</x:v>
      </x:c>
      <x:c r="B1128" s="14" t="str">
        <x:v>sanctuary-amyklaion-apollo-sanctuary</x:v>
      </x:c>
      <x:c r="C1128" s="14" t="str">
        <x:v>src-pleiades-73644851</x:v>
      </x:c>
      <x:c r="D1128" s="14" t="str">
        <x:v>geometry</x:v>
      </x:c>
      <x:c r="E1128" s="20" t="b">
        <x:v>1</x:v>
      </x:c>
    </x:row>
    <x:row r="1129" ht="24" customHeight="1">
      <x:c r="A1129" s="14" t="str">
        <x:v>es-sanctuary-amyklaion-apollo-sanctuary-pleiades-73644851-identity</x:v>
      </x:c>
      <x:c r="B1129" s="14" t="str">
        <x:v>sanctuary-amyklaion-apollo-sanctuary</x:v>
      </x:c>
      <x:c r="C1129" s="14" t="str">
        <x:v>src-pleiades-73644851</x:v>
      </x:c>
      <x:c r="D1129" s="14" t="str">
        <x:v>identity</x:v>
      </x:c>
      <x:c r="E1129" s="20" t="b">
        <x:v>1</x:v>
      </x:c>
    </x:row>
    <x:row r="1130" ht="24" customHeight="1">
      <x:c r="A1130" s="14" t="str">
        <x:v>es-sanctuary-amyklaion-apollo-sanctuary-pleiades-73644851-names</x:v>
      </x:c>
      <x:c r="B1130" s="14" t="str">
        <x:v>sanctuary-amyklaion-apollo-sanctuary</x:v>
      </x:c>
      <x:c r="C1130" s="14" t="str">
        <x:v>src-pleiades-73644851</x:v>
      </x:c>
      <x:c r="D1130" s="14" t="str">
        <x:v>names</x:v>
      </x:c>
      <x:c r="E1130" s="20" t="b">
        <x:v>1</x:v>
      </x:c>
    </x:row>
    <x:row r="1131" ht="24" customHeight="1">
      <x:c r="A1131" s="14" t="str">
        <x:v>es-sanctuary-amyklaion-apollo-sanctuary-pleiades-73644851-relationships</x:v>
      </x:c>
      <x:c r="B1131" s="14" t="str">
        <x:v>sanctuary-amyklaion-apollo-sanctuary</x:v>
      </x:c>
      <x:c r="C1131" s="14" t="str">
        <x:v>src-pleiades-73644851</x:v>
      </x:c>
      <x:c r="D1131" s="14" t="str">
        <x:v>relationships</x:v>
      </x:c>
      <x:c r="E1131" s="20" t="b">
        <x:v>1</x:v>
      </x:c>
    </x:row>
    <x:row r="1132" ht="24" customHeight="1">
      <x:c r="A1132" s="14" t="str">
        <x:v>es-sanctuary-aphrodisias-aphrodite-sanctuary-aphrodisias-excavations-68b8b8553e48-chronology</x:v>
      </x:c>
      <x:c r="B1132" s="14" t="str">
        <x:v>sanctuary-aphrodisias-aphrodite-sanctuary</x:v>
      </x:c>
      <x:c r="C1132" s="14" t="str">
        <x:v>src-aphrodisias-excavations-68b8b8553e48</x:v>
      </x:c>
      <x:c r="D1132" s="14" t="str">
        <x:v>chronology</x:v>
      </x:c>
      <x:c r="E1132" s="20" t="b">
        <x:v>1</x:v>
      </x:c>
    </x:row>
    <x:row r="1133" ht="24" customHeight="1">
      <x:c r="A1133" s="14" t="str">
        <x:v>es-sanctuary-aphrodisias-aphrodite-sanctuary-aphrodisias-excavations-68b8b8553e48-classification</x:v>
      </x:c>
      <x:c r="B1133" s="14" t="str">
        <x:v>sanctuary-aphrodisias-aphrodite-sanctuary</x:v>
      </x:c>
      <x:c r="C1133" s="14" t="str">
        <x:v>src-aphrodisias-excavations-68b8b8553e48</x:v>
      </x:c>
      <x:c r="D1133" s="14" t="str">
        <x:v>classification</x:v>
      </x:c>
      <x:c r="E1133" s="20" t="b">
        <x:v>1</x:v>
      </x:c>
    </x:row>
    <x:row r="1134" ht="24" customHeight="1">
      <x:c r="A1134" s="14" t="str">
        <x:v>es-sanctuary-aphrodisias-aphrodite-sanctuary-aphrodisias-excavations-68b8b8553e48-description</x:v>
      </x:c>
      <x:c r="B1134" s="14" t="str">
        <x:v>sanctuary-aphrodisias-aphrodite-sanctuary</x:v>
      </x:c>
      <x:c r="C1134" s="14" t="str">
        <x:v>src-aphrodisias-excavations-68b8b8553e48</x:v>
      </x:c>
      <x:c r="D1134" s="14" t="str">
        <x:v>description</x:v>
      </x:c>
      <x:c r="E1134" s="20" t="b">
        <x:v>1</x:v>
      </x:c>
    </x:row>
    <x:row r="1135" ht="24" customHeight="1">
      <x:c r="A1135" s="14" t="str">
        <x:v>es-sanctuary-aphrodisias-aphrodite-sanctuary-aphrodisias-excavations-68b8b8553e48-geometry</x:v>
      </x:c>
      <x:c r="B1135" s="14" t="str">
        <x:v>sanctuary-aphrodisias-aphrodite-sanctuary</x:v>
      </x:c>
      <x:c r="C1135" s="14" t="str">
        <x:v>src-aphrodisias-excavations-68b8b8553e48</x:v>
      </x:c>
      <x:c r="D1135" s="14" t="str">
        <x:v>geometry</x:v>
      </x:c>
      <x:c r="E1135" s="20" t="b">
        <x:v>1</x:v>
      </x:c>
    </x:row>
    <x:row r="1136" ht="24" customHeight="1">
      <x:c r="A1136" s="14" t="str">
        <x:v>es-sanctuary-aphrodisias-aphrodite-sanctuary-aphrodisias-excavations-68b8b8553e48-identity</x:v>
      </x:c>
      <x:c r="B1136" s="14" t="str">
        <x:v>sanctuary-aphrodisias-aphrodite-sanctuary</x:v>
      </x:c>
      <x:c r="C1136" s="14" t="str">
        <x:v>src-aphrodisias-excavations-68b8b8553e48</x:v>
      </x:c>
      <x:c r="D1136" s="14" t="str">
        <x:v>identity</x:v>
      </x:c>
      <x:c r="E1136" s="20" t="b">
        <x:v>1</x:v>
      </x:c>
    </x:row>
    <x:row r="1137" ht="24" customHeight="1">
      <x:c r="A1137" s="14" t="str">
        <x:v>es-sanctuary-aphrodisias-aphrodite-sanctuary-aphrodisias-excavations-68b8b8553e48-names</x:v>
      </x:c>
      <x:c r="B1137" s="14" t="str">
        <x:v>sanctuary-aphrodisias-aphrodite-sanctuary</x:v>
      </x:c>
      <x:c r="C1137" s="14" t="str">
        <x:v>src-aphrodisias-excavations-68b8b8553e48</x:v>
      </x:c>
      <x:c r="D1137" s="14" t="str">
        <x:v>names</x:v>
      </x:c>
      <x:c r="E1137" s="20" t="b">
        <x:v>1</x:v>
      </x:c>
    </x:row>
    <x:row r="1138" ht="24" customHeight="1">
      <x:c r="A1138" s="14" t="str">
        <x:v>es-sanctuary-aphrodisias-aphrodite-sanctuary-aphrodisias-excavations-68b8b8553e48-relationships</x:v>
      </x:c>
      <x:c r="B1138" s="14" t="str">
        <x:v>sanctuary-aphrodisias-aphrodite-sanctuary</x:v>
      </x:c>
      <x:c r="C1138" s="14" t="str">
        <x:v>src-aphrodisias-excavations-68b8b8553e48</x:v>
      </x:c>
      <x:c r="D1138" s="14" t="str">
        <x:v>relationships</x:v>
      </x:c>
      <x:c r="E1138" s="20" t="b">
        <x:v>1</x:v>
      </x:c>
    </x:row>
    <x:row r="1139" ht="24" customHeight="1">
      <x:c r="A1139" s="14" t="str">
        <x:v>es-sanctuary-apollonia-pontica-apollo-ietros-sanctuary-pleiades-216706-chronology</x:v>
      </x:c>
      <x:c r="B1139" s="14" t="str">
        <x:v>sanctuary-apollonia-pontica-apollo-ietros-sanctuary</x:v>
      </x:c>
      <x:c r="C1139" s="14" t="str">
        <x:v>src-pleiades-216706</x:v>
      </x:c>
      <x:c r="D1139" s="14" t="str">
        <x:v>chronology</x:v>
      </x:c>
      <x:c r="E1139" s="20" t="b">
        <x:v>1</x:v>
      </x:c>
    </x:row>
    <x:row r="1140" ht="24" customHeight="1">
      <x:c r="A1140" s="14" t="str">
        <x:v>es-sanctuary-apollonia-pontica-apollo-ietros-sanctuary-pleiades-216706-classification</x:v>
      </x:c>
      <x:c r="B1140" s="14" t="str">
        <x:v>sanctuary-apollonia-pontica-apollo-ietros-sanctuary</x:v>
      </x:c>
      <x:c r="C1140" s="14" t="str">
        <x:v>src-pleiades-216706</x:v>
      </x:c>
      <x:c r="D1140" s="14" t="str">
        <x:v>classification</x:v>
      </x:c>
      <x:c r="E1140" s="20" t="b">
        <x:v>1</x:v>
      </x:c>
    </x:row>
    <x:row r="1141" ht="24" customHeight="1">
      <x:c r="A1141" s="14" t="str">
        <x:v>es-sanctuary-apollonia-pontica-apollo-ietros-sanctuary-pleiades-216706-description</x:v>
      </x:c>
      <x:c r="B1141" s="14" t="str">
        <x:v>sanctuary-apollonia-pontica-apollo-ietros-sanctuary</x:v>
      </x:c>
      <x:c r="C1141" s="14" t="str">
        <x:v>src-pleiades-216706</x:v>
      </x:c>
      <x:c r="D1141" s="14" t="str">
        <x:v>description</x:v>
      </x:c>
      <x:c r="E1141" s="20" t="b">
        <x:v>1</x:v>
      </x:c>
    </x:row>
    <x:row r="1142" ht="24" customHeight="1">
      <x:c r="A1142" s="14" t="str">
        <x:v>es-sanctuary-apollonia-pontica-apollo-ietros-sanctuary-pleiades-216706-geometry</x:v>
      </x:c>
      <x:c r="B1142" s="14" t="str">
        <x:v>sanctuary-apollonia-pontica-apollo-ietros-sanctuary</x:v>
      </x:c>
      <x:c r="C1142" s="14" t="str">
        <x:v>src-pleiades-216706</x:v>
      </x:c>
      <x:c r="D1142" s="14" t="str">
        <x:v>geometry</x:v>
      </x:c>
      <x:c r="E1142" s="20" t="b">
        <x:v>1</x:v>
      </x:c>
    </x:row>
    <x:row r="1143" ht="24" customHeight="1">
      <x:c r="A1143" s="14" t="str">
        <x:v>es-sanctuary-apollonia-pontica-apollo-ietros-sanctuary-pleiades-216706-identity</x:v>
      </x:c>
      <x:c r="B1143" s="14" t="str">
        <x:v>sanctuary-apollonia-pontica-apollo-ietros-sanctuary</x:v>
      </x:c>
      <x:c r="C1143" s="14" t="str">
        <x:v>src-pleiades-216706</x:v>
      </x:c>
      <x:c r="D1143" s="14" t="str">
        <x:v>identity</x:v>
      </x:c>
      <x:c r="E1143" s="20" t="b">
        <x:v>1</x:v>
      </x:c>
    </x:row>
    <x:row r="1144" ht="24" customHeight="1">
      <x:c r="A1144" s="14" t="str">
        <x:v>es-sanctuary-apollonia-pontica-apollo-ietros-sanctuary-pleiades-216706-names</x:v>
      </x:c>
      <x:c r="B1144" s="14" t="str">
        <x:v>sanctuary-apollonia-pontica-apollo-ietros-sanctuary</x:v>
      </x:c>
      <x:c r="C1144" s="14" t="str">
        <x:v>src-pleiades-216706</x:v>
      </x:c>
      <x:c r="D1144" s="14" t="str">
        <x:v>names</x:v>
      </x:c>
      <x:c r="E1144" s="20" t="b">
        <x:v>1</x:v>
      </x:c>
    </x:row>
    <x:row r="1145" ht="24" customHeight="1">
      <x:c r="A1145" s="14" t="str">
        <x:v>es-sanctuary-apollonia-pontica-apollo-ietros-sanctuary-pleiades-216706-relationships</x:v>
      </x:c>
      <x:c r="B1145" s="14" t="str">
        <x:v>sanctuary-apollonia-pontica-apollo-ietros-sanctuary</x:v>
      </x:c>
      <x:c r="C1145" s="14" t="str">
        <x:v>src-pleiades-216706</x:v>
      </x:c>
      <x:c r="D1145" s="14" t="str">
        <x:v>relationships</x:v>
      </x:c>
      <x:c r="E1145" s="20" t="b">
        <x:v>1</x:v>
      </x:c>
    </x:row>
    <x:row r="1146" ht="24" customHeight="1">
      <x:c r="A1146" s="14" t="str">
        <x:v>es-sanctuary-argive-heraion-pleiades-570289-chronology</x:v>
      </x:c>
      <x:c r="B1146" s="14" t="str">
        <x:v>sanctuary-argive-heraion</x:v>
      </x:c>
      <x:c r="C1146" s="14" t="str">
        <x:v>src-pleiades-570289</x:v>
      </x:c>
      <x:c r="D1146" s="14" t="str">
        <x:v>chronology</x:v>
      </x:c>
      <x:c r="E1146" s="20" t="b">
        <x:v>1</x:v>
      </x:c>
    </x:row>
    <x:row r="1147" ht="24" customHeight="1">
      <x:c r="A1147" s="14" t="str">
        <x:v>es-sanctuary-argive-heraion-pleiades-570289-classification</x:v>
      </x:c>
      <x:c r="B1147" s="14" t="str">
        <x:v>sanctuary-argive-heraion</x:v>
      </x:c>
      <x:c r="C1147" s="14" t="str">
        <x:v>src-pleiades-570289</x:v>
      </x:c>
      <x:c r="D1147" s="14" t="str">
        <x:v>classification</x:v>
      </x:c>
      <x:c r="E1147" s="20" t="b">
        <x:v>1</x:v>
      </x:c>
    </x:row>
    <x:row r="1148" ht="24" customHeight="1">
      <x:c r="A1148" s="14" t="str">
        <x:v>es-sanctuary-argive-heraion-pleiades-570289-description</x:v>
      </x:c>
      <x:c r="B1148" s="14" t="str">
        <x:v>sanctuary-argive-heraion</x:v>
      </x:c>
      <x:c r="C1148" s="14" t="str">
        <x:v>src-pleiades-570289</x:v>
      </x:c>
      <x:c r="D1148" s="14" t="str">
        <x:v>description</x:v>
      </x:c>
      <x:c r="E1148" s="20" t="b">
        <x:v>1</x:v>
      </x:c>
    </x:row>
    <x:row r="1149" ht="24" customHeight="1">
      <x:c r="A1149" s="14" t="str">
        <x:v>es-sanctuary-argive-heraion-pleiades-570289-geometry</x:v>
      </x:c>
      <x:c r="B1149" s="14" t="str">
        <x:v>sanctuary-argive-heraion</x:v>
      </x:c>
      <x:c r="C1149" s="14" t="str">
        <x:v>src-pleiades-570289</x:v>
      </x:c>
      <x:c r="D1149" s="14" t="str">
        <x:v>geometry</x:v>
      </x:c>
      <x:c r="E1149" s="20" t="b">
        <x:v>1</x:v>
      </x:c>
    </x:row>
    <x:row r="1150" ht="24" customHeight="1">
      <x:c r="A1150" s="14" t="str">
        <x:v>es-sanctuary-argive-heraion-pleiades-570289-identity</x:v>
      </x:c>
      <x:c r="B1150" s="14" t="str">
        <x:v>sanctuary-argive-heraion</x:v>
      </x:c>
      <x:c r="C1150" s="14" t="str">
        <x:v>src-pleiades-570289</x:v>
      </x:c>
      <x:c r="D1150" s="14" t="str">
        <x:v>identity</x:v>
      </x:c>
      <x:c r="E1150" s="20" t="b">
        <x:v>1</x:v>
      </x:c>
    </x:row>
    <x:row r="1151" ht="24" customHeight="1">
      <x:c r="A1151" s="14" t="str">
        <x:v>es-sanctuary-argive-heraion-pleiades-570289-names</x:v>
      </x:c>
      <x:c r="B1151" s="14" t="str">
        <x:v>sanctuary-argive-heraion</x:v>
      </x:c>
      <x:c r="C1151" s="14" t="str">
        <x:v>src-pleiades-570289</x:v>
      </x:c>
      <x:c r="D1151" s="14" t="str">
        <x:v>names</x:v>
      </x:c>
      <x:c r="E1151" s="20" t="b">
        <x:v>1</x:v>
      </x:c>
    </x:row>
    <x:row r="1152" ht="24" customHeight="1">
      <x:c r="A1152" s="14" t="str">
        <x:v>es-sanctuary-argive-heraion-pleiades-570289-relationships</x:v>
      </x:c>
      <x:c r="B1152" s="14" t="str">
        <x:v>sanctuary-argive-heraion</x:v>
      </x:c>
      <x:c r="C1152" s="14" t="str">
        <x:v>src-pleiades-570289</x:v>
      </x:c>
      <x:c r="D1152" s="14" t="str">
        <x:v>relationships</x:v>
      </x:c>
      <x:c r="E1152" s="20" t="b">
        <x:v>1</x:v>
      </x:c>
    </x:row>
    <x:row r="1153" ht="24" customHeight="1">
      <x:c r="A1153" s="14" t="str">
        <x:v>es-sanctuary-athens-acropolis-sacred-center-pleiades-638356144-chronology</x:v>
      </x:c>
      <x:c r="B1153" s="14" t="str">
        <x:v>sanctuary-athens-acropolis-sacred-center</x:v>
      </x:c>
      <x:c r="C1153" s="14" t="str">
        <x:v>src-pleiades-638356144</x:v>
      </x:c>
      <x:c r="D1153" s="14" t="str">
        <x:v>chronology</x:v>
      </x:c>
      <x:c r="E1153" s="20" t="b">
        <x:v>1</x:v>
      </x:c>
    </x:row>
    <x:row r="1154" ht="24" customHeight="1">
      <x:c r="A1154" s="14" t="str">
        <x:v>es-sanctuary-athens-acropolis-sacred-center-pleiades-638356144-classification</x:v>
      </x:c>
      <x:c r="B1154" s="14" t="str">
        <x:v>sanctuary-athens-acropolis-sacred-center</x:v>
      </x:c>
      <x:c r="C1154" s="14" t="str">
        <x:v>src-pleiades-638356144</x:v>
      </x:c>
      <x:c r="D1154" s="14" t="str">
        <x:v>classification</x:v>
      </x:c>
      <x:c r="E1154" s="20" t="b">
        <x:v>1</x:v>
      </x:c>
    </x:row>
    <x:row r="1155" ht="24" customHeight="1">
      <x:c r="A1155" s="14" t="str">
        <x:v>es-sanctuary-athens-acropolis-sacred-center-pleiades-638356144-description</x:v>
      </x:c>
      <x:c r="B1155" s="14" t="str">
        <x:v>sanctuary-athens-acropolis-sacred-center</x:v>
      </x:c>
      <x:c r="C1155" s="14" t="str">
        <x:v>src-pleiades-638356144</x:v>
      </x:c>
      <x:c r="D1155" s="14" t="str">
        <x:v>description</x:v>
      </x:c>
      <x:c r="E1155" s="20" t="b">
        <x:v>1</x:v>
      </x:c>
    </x:row>
    <x:row r="1156" ht="24" customHeight="1">
      <x:c r="A1156" s="14" t="str">
        <x:v>es-sanctuary-athens-acropolis-sacred-center-pleiades-638356144-geometry</x:v>
      </x:c>
      <x:c r="B1156" s="14" t="str">
        <x:v>sanctuary-athens-acropolis-sacred-center</x:v>
      </x:c>
      <x:c r="C1156" s="14" t="str">
        <x:v>src-pleiades-638356144</x:v>
      </x:c>
      <x:c r="D1156" s="14" t="str">
        <x:v>geometry</x:v>
      </x:c>
      <x:c r="E1156" s="20" t="b">
        <x:v>1</x:v>
      </x:c>
    </x:row>
    <x:row r="1157" ht="24" customHeight="1">
      <x:c r="A1157" s="14" t="str">
        <x:v>es-sanctuary-athens-acropolis-sacred-center-pleiades-638356144-identity</x:v>
      </x:c>
      <x:c r="B1157" s="14" t="str">
        <x:v>sanctuary-athens-acropolis-sacred-center</x:v>
      </x:c>
      <x:c r="C1157" s="14" t="str">
        <x:v>src-pleiades-638356144</x:v>
      </x:c>
      <x:c r="D1157" s="14" t="str">
        <x:v>identity</x:v>
      </x:c>
      <x:c r="E1157" s="20" t="b">
        <x:v>1</x:v>
      </x:c>
    </x:row>
    <x:row r="1158" ht="24" customHeight="1">
      <x:c r="A1158" s="14" t="str">
        <x:v>es-sanctuary-athens-acropolis-sacred-center-pleiades-638356144-names</x:v>
      </x:c>
      <x:c r="B1158" s="14" t="str">
        <x:v>sanctuary-athens-acropolis-sacred-center</x:v>
      </x:c>
      <x:c r="C1158" s="14" t="str">
        <x:v>src-pleiades-638356144</x:v>
      </x:c>
      <x:c r="D1158" s="14" t="str">
        <x:v>names</x:v>
      </x:c>
      <x:c r="E1158" s="20" t="b">
        <x:v>1</x:v>
      </x:c>
    </x:row>
    <x:row r="1159" ht="24" customHeight="1">
      <x:c r="A1159" s="14" t="str">
        <x:v>es-sanctuary-athens-acropolis-sacred-center-pleiades-638356144-relationships</x:v>
      </x:c>
      <x:c r="B1159" s="14" t="str">
        <x:v>sanctuary-athens-acropolis-sacred-center</x:v>
      </x:c>
      <x:c r="C1159" s="14" t="str">
        <x:v>src-pleiades-638356144</x:v>
      </x:c>
      <x:c r="D1159" s="14" t="str">
        <x:v>relationships</x:v>
      </x:c>
      <x:c r="E1159" s="20" t="b">
        <x:v>1</x:v>
      </x:c>
    </x:row>
    <x:row r="1160" ht="24" customHeight="1">
      <x:c r="A1160" s="14" t="str">
        <x:v>es-sanctuary-bassae-apollo-epikourios-pleiades-570148-chronology</x:v>
      </x:c>
      <x:c r="B1160" s="14" t="str">
        <x:v>sanctuary-bassae-apollo-epikourios</x:v>
      </x:c>
      <x:c r="C1160" s="14" t="str">
        <x:v>src-pleiades-570148</x:v>
      </x:c>
      <x:c r="D1160" s="14" t="str">
        <x:v>chronology</x:v>
      </x:c>
      <x:c r="E1160" s="20" t="b">
        <x:v>1</x:v>
      </x:c>
    </x:row>
    <x:row r="1161" ht="24" customHeight="1">
      <x:c r="A1161" s="14" t="str">
        <x:v>es-sanctuary-bassae-apollo-epikourios-pleiades-570148-classification</x:v>
      </x:c>
      <x:c r="B1161" s="14" t="str">
        <x:v>sanctuary-bassae-apollo-epikourios</x:v>
      </x:c>
      <x:c r="C1161" s="14" t="str">
        <x:v>src-pleiades-570148</x:v>
      </x:c>
      <x:c r="D1161" s="14" t="str">
        <x:v>classification</x:v>
      </x:c>
      <x:c r="E1161" s="20" t="b">
        <x:v>1</x:v>
      </x:c>
    </x:row>
    <x:row r="1162" ht="24" customHeight="1">
      <x:c r="A1162" s="14" t="str">
        <x:v>es-sanctuary-bassae-apollo-epikourios-pleiades-570148-description</x:v>
      </x:c>
      <x:c r="B1162" s="14" t="str">
        <x:v>sanctuary-bassae-apollo-epikourios</x:v>
      </x:c>
      <x:c r="C1162" s="14" t="str">
        <x:v>src-pleiades-570148</x:v>
      </x:c>
      <x:c r="D1162" s="14" t="str">
        <x:v>description</x:v>
      </x:c>
      <x:c r="E1162" s="20" t="b">
        <x:v>1</x:v>
      </x:c>
    </x:row>
    <x:row r="1163" ht="24" customHeight="1">
      <x:c r="A1163" s="14" t="str">
        <x:v>es-sanctuary-bassae-apollo-epikourios-pleiades-570148-geometry</x:v>
      </x:c>
      <x:c r="B1163" s="14" t="str">
        <x:v>sanctuary-bassae-apollo-epikourios</x:v>
      </x:c>
      <x:c r="C1163" s="14" t="str">
        <x:v>src-pleiades-570148</x:v>
      </x:c>
      <x:c r="D1163" s="14" t="str">
        <x:v>geometry</x:v>
      </x:c>
      <x:c r="E1163" s="20" t="b">
        <x:v>1</x:v>
      </x:c>
    </x:row>
    <x:row r="1164" ht="24" customHeight="1">
      <x:c r="A1164" s="14" t="str">
        <x:v>es-sanctuary-bassae-apollo-epikourios-pleiades-570148-identity</x:v>
      </x:c>
      <x:c r="B1164" s="14" t="str">
        <x:v>sanctuary-bassae-apollo-epikourios</x:v>
      </x:c>
      <x:c r="C1164" s="14" t="str">
        <x:v>src-pleiades-570148</x:v>
      </x:c>
      <x:c r="D1164" s="14" t="str">
        <x:v>identity</x:v>
      </x:c>
      <x:c r="E1164" s="20" t="b">
        <x:v>1</x:v>
      </x:c>
    </x:row>
    <x:row r="1165" ht="24" customHeight="1">
      <x:c r="A1165" s="14" t="str">
        <x:v>es-sanctuary-bassae-apollo-epikourios-pleiades-570148-names</x:v>
      </x:c>
      <x:c r="B1165" s="14" t="str">
        <x:v>sanctuary-bassae-apollo-epikourios</x:v>
      </x:c>
      <x:c r="C1165" s="14" t="str">
        <x:v>src-pleiades-570148</x:v>
      </x:c>
      <x:c r="D1165" s="14" t="str">
        <x:v>names</x:v>
      </x:c>
      <x:c r="E1165" s="20" t="b">
        <x:v>1</x:v>
      </x:c>
    </x:row>
    <x:row r="1166" ht="24" customHeight="1">
      <x:c r="A1166" s="14" t="str">
        <x:v>es-sanctuary-bassae-apollo-epikourios-pleiades-570148-relationships</x:v>
      </x:c>
      <x:c r="B1166" s="14" t="str">
        <x:v>sanctuary-bassae-apollo-epikourios</x:v>
      </x:c>
      <x:c r="C1166" s="14" t="str">
        <x:v>src-pleiades-570148</x:v>
      </x:c>
      <x:c r="D1166" s="14" t="str">
        <x:v>relationships</x:v>
      </x:c>
      <x:c r="E1166" s="20" t="b">
        <x:v>1</x:v>
      </x:c>
    </x:row>
    <x:row r="1167" ht="24" customHeight="1">
      <x:c r="A1167" s="14" t="str">
        <x:v>es-sanctuary-brauron-artemis-sanctuary-pleiades-579879-chronology</x:v>
      </x:c>
      <x:c r="B1167" s="14" t="str">
        <x:v>sanctuary-brauron-artemis-sanctuary</x:v>
      </x:c>
      <x:c r="C1167" s="14" t="str">
        <x:v>src-pleiades-579879</x:v>
      </x:c>
      <x:c r="D1167" s="14" t="str">
        <x:v>chronology</x:v>
      </x:c>
      <x:c r="E1167" s="20" t="b">
        <x:v>1</x:v>
      </x:c>
    </x:row>
    <x:row r="1168" ht="24" customHeight="1">
      <x:c r="A1168" s="14" t="str">
        <x:v>es-sanctuary-brauron-artemis-sanctuary-pleiades-579879-classification</x:v>
      </x:c>
      <x:c r="B1168" s="14" t="str">
        <x:v>sanctuary-brauron-artemis-sanctuary</x:v>
      </x:c>
      <x:c r="C1168" s="14" t="str">
        <x:v>src-pleiades-579879</x:v>
      </x:c>
      <x:c r="D1168" s="14" t="str">
        <x:v>classification</x:v>
      </x:c>
      <x:c r="E1168" s="20" t="b">
        <x:v>1</x:v>
      </x:c>
    </x:row>
    <x:row r="1169" ht="24" customHeight="1">
      <x:c r="A1169" s="14" t="str">
        <x:v>es-sanctuary-brauron-artemis-sanctuary-pleiades-579879-description</x:v>
      </x:c>
      <x:c r="B1169" s="14" t="str">
        <x:v>sanctuary-brauron-artemis-sanctuary</x:v>
      </x:c>
      <x:c r="C1169" s="14" t="str">
        <x:v>src-pleiades-579879</x:v>
      </x:c>
      <x:c r="D1169" s="14" t="str">
        <x:v>description</x:v>
      </x:c>
      <x:c r="E1169" s="20" t="b">
        <x:v>1</x:v>
      </x:c>
    </x:row>
    <x:row r="1170" ht="24" customHeight="1">
      <x:c r="A1170" s="14" t="str">
        <x:v>es-sanctuary-brauron-artemis-sanctuary-pleiades-579879-geometry</x:v>
      </x:c>
      <x:c r="B1170" s="14" t="str">
        <x:v>sanctuary-brauron-artemis-sanctuary</x:v>
      </x:c>
      <x:c r="C1170" s="14" t="str">
        <x:v>src-pleiades-579879</x:v>
      </x:c>
      <x:c r="D1170" s="14" t="str">
        <x:v>geometry</x:v>
      </x:c>
      <x:c r="E1170" s="20" t="b">
        <x:v>1</x:v>
      </x:c>
    </x:row>
    <x:row r="1171" ht="24" customHeight="1">
      <x:c r="A1171" s="14" t="str">
        <x:v>es-sanctuary-brauron-artemis-sanctuary-pleiades-579879-identity</x:v>
      </x:c>
      <x:c r="B1171" s="14" t="str">
        <x:v>sanctuary-brauron-artemis-sanctuary</x:v>
      </x:c>
      <x:c r="C1171" s="14" t="str">
        <x:v>src-pleiades-579879</x:v>
      </x:c>
      <x:c r="D1171" s="14" t="str">
        <x:v>identity</x:v>
      </x:c>
      <x:c r="E1171" s="20" t="b">
        <x:v>1</x:v>
      </x:c>
    </x:row>
    <x:row r="1172" ht="24" customHeight="1">
      <x:c r="A1172" s="14" t="str">
        <x:v>es-sanctuary-brauron-artemis-sanctuary-pleiades-579879-names</x:v>
      </x:c>
      <x:c r="B1172" s="14" t="str">
        <x:v>sanctuary-brauron-artemis-sanctuary</x:v>
      </x:c>
      <x:c r="C1172" s="14" t="str">
        <x:v>src-pleiades-579879</x:v>
      </x:c>
      <x:c r="D1172" s="14" t="str">
        <x:v>names</x:v>
      </x:c>
      <x:c r="E1172" s="20" t="b">
        <x:v>1</x:v>
      </x:c>
    </x:row>
    <x:row r="1173" ht="24" customHeight="1">
      <x:c r="A1173" s="14" t="str">
        <x:v>es-sanctuary-brauron-artemis-sanctuary-pleiades-579879-relationships</x:v>
      </x:c>
      <x:c r="B1173" s="14" t="str">
        <x:v>sanctuary-brauron-artemis-sanctuary</x:v>
      </x:c>
      <x:c r="C1173" s="14" t="str">
        <x:v>src-pleiades-579879</x:v>
      </x:c>
      <x:c r="D1173" s="14" t="str">
        <x:v>relationships</x:v>
      </x:c>
      <x:c r="E1173" s="20" t="b">
        <x:v>1</x:v>
      </x:c>
    </x:row>
    <x:row r="1174" ht="24" customHeight="1">
      <x:c r="A1174" s="14" t="str">
        <x:v>es-sanctuary-chersonesos-parthenos-sanctuary-whc-329a28f5c851-chronology</x:v>
      </x:c>
      <x:c r="B1174" s="14" t="str">
        <x:v>sanctuary-chersonesos-parthenos-sanctuary</x:v>
      </x:c>
      <x:c r="C1174" s="14" t="str">
        <x:v>src-whc-329a28f5c851</x:v>
      </x:c>
      <x:c r="D1174" s="14" t="str">
        <x:v>chronology</x:v>
      </x:c>
      <x:c r="E1174" s="20" t="b">
        <x:v>1</x:v>
      </x:c>
    </x:row>
    <x:row r="1175" ht="24" customHeight="1">
      <x:c r="A1175" s="14" t="str">
        <x:v>es-sanctuary-chersonesos-parthenos-sanctuary-whc-329a28f5c851-classification</x:v>
      </x:c>
      <x:c r="B1175" s="14" t="str">
        <x:v>sanctuary-chersonesos-parthenos-sanctuary</x:v>
      </x:c>
      <x:c r="C1175" s="14" t="str">
        <x:v>src-whc-329a28f5c851</x:v>
      </x:c>
      <x:c r="D1175" s="14" t="str">
        <x:v>classification</x:v>
      </x:c>
      <x:c r="E1175" s="20" t="b">
        <x:v>1</x:v>
      </x:c>
    </x:row>
    <x:row r="1176" ht="24" customHeight="1">
      <x:c r="A1176" s="14" t="str">
        <x:v>es-sanctuary-chersonesos-parthenos-sanctuary-whc-329a28f5c851-description</x:v>
      </x:c>
      <x:c r="B1176" s="14" t="str">
        <x:v>sanctuary-chersonesos-parthenos-sanctuary</x:v>
      </x:c>
      <x:c r="C1176" s="14" t="str">
        <x:v>src-whc-329a28f5c851</x:v>
      </x:c>
      <x:c r="D1176" s="14" t="str">
        <x:v>description</x:v>
      </x:c>
      <x:c r="E1176" s="20" t="b">
        <x:v>1</x:v>
      </x:c>
    </x:row>
    <x:row r="1177" ht="24" customHeight="1">
      <x:c r="A1177" s="14" t="str">
        <x:v>es-sanctuary-chersonesos-parthenos-sanctuary-whc-329a28f5c851-geometry</x:v>
      </x:c>
      <x:c r="B1177" s="14" t="str">
        <x:v>sanctuary-chersonesos-parthenos-sanctuary</x:v>
      </x:c>
      <x:c r="C1177" s="14" t="str">
        <x:v>src-whc-329a28f5c851</x:v>
      </x:c>
      <x:c r="D1177" s="14" t="str">
        <x:v>geometry</x:v>
      </x:c>
      <x:c r="E1177" s="20" t="b">
        <x:v>1</x:v>
      </x:c>
    </x:row>
    <x:row r="1178" ht="24" customHeight="1">
      <x:c r="A1178" s="14" t="str">
        <x:v>es-sanctuary-chersonesos-parthenos-sanctuary-whc-329a28f5c851-identity</x:v>
      </x:c>
      <x:c r="B1178" s="14" t="str">
        <x:v>sanctuary-chersonesos-parthenos-sanctuary</x:v>
      </x:c>
      <x:c r="C1178" s="14" t="str">
        <x:v>src-whc-329a28f5c851</x:v>
      </x:c>
      <x:c r="D1178" s="14" t="str">
        <x:v>identity</x:v>
      </x:c>
      <x:c r="E1178" s="20" t="b">
        <x:v>1</x:v>
      </x:c>
    </x:row>
    <x:row r="1179" ht="24" customHeight="1">
      <x:c r="A1179" s="14" t="str">
        <x:v>es-sanctuary-chersonesos-parthenos-sanctuary-whc-329a28f5c851-names</x:v>
      </x:c>
      <x:c r="B1179" s="14" t="str">
        <x:v>sanctuary-chersonesos-parthenos-sanctuary</x:v>
      </x:c>
      <x:c r="C1179" s="14" t="str">
        <x:v>src-whc-329a28f5c851</x:v>
      </x:c>
      <x:c r="D1179" s="14" t="str">
        <x:v>names</x:v>
      </x:c>
      <x:c r="E1179" s="20" t="b">
        <x:v>1</x:v>
      </x:c>
    </x:row>
    <x:row r="1180" ht="24" customHeight="1">
      <x:c r="A1180" s="14" t="str">
        <x:v>es-sanctuary-chersonesos-parthenos-sanctuary-whc-329a28f5c851-relationships</x:v>
      </x:c>
      <x:c r="B1180" s="14" t="str">
        <x:v>sanctuary-chersonesos-parthenos-sanctuary</x:v>
      </x:c>
      <x:c r="C1180" s="14" t="str">
        <x:v>src-whc-329a28f5c851</x:v>
      </x:c>
      <x:c r="D1180" s="14" t="str">
        <x:v>relationships</x:v>
      </x:c>
      <x:c r="E1180" s="20" t="b">
        <x:v>1</x:v>
      </x:c>
    </x:row>
    <x:row r="1181" ht="24" customHeight="1">
      <x:c r="A1181" s="14" t="str">
        <x:v>es-sanctuary-claros-apollo-oracle-pleiades-599719-chronology</x:v>
      </x:c>
      <x:c r="B1181" s="14" t="str">
        <x:v>sanctuary-claros-apollo-oracle</x:v>
      </x:c>
      <x:c r="C1181" s="14" t="str">
        <x:v>src-pleiades-599719</x:v>
      </x:c>
      <x:c r="D1181" s="14" t="str">
        <x:v>chronology</x:v>
      </x:c>
      <x:c r="E1181" s="20" t="b">
        <x:v>1</x:v>
      </x:c>
    </x:row>
    <x:row r="1182" ht="24" customHeight="1">
      <x:c r="A1182" s="14" t="str">
        <x:v>es-sanctuary-claros-apollo-oracle-pleiades-599719-classification</x:v>
      </x:c>
      <x:c r="B1182" s="14" t="str">
        <x:v>sanctuary-claros-apollo-oracle</x:v>
      </x:c>
      <x:c r="C1182" s="14" t="str">
        <x:v>src-pleiades-599719</x:v>
      </x:c>
      <x:c r="D1182" s="14" t="str">
        <x:v>classification</x:v>
      </x:c>
      <x:c r="E1182" s="20" t="b">
        <x:v>1</x:v>
      </x:c>
    </x:row>
    <x:row r="1183" ht="24" customHeight="1">
      <x:c r="A1183" s="14" t="str">
        <x:v>es-sanctuary-claros-apollo-oracle-pleiades-599719-description</x:v>
      </x:c>
      <x:c r="B1183" s="14" t="str">
        <x:v>sanctuary-claros-apollo-oracle</x:v>
      </x:c>
      <x:c r="C1183" s="14" t="str">
        <x:v>src-pleiades-599719</x:v>
      </x:c>
      <x:c r="D1183" s="14" t="str">
        <x:v>description</x:v>
      </x:c>
      <x:c r="E1183" s="20" t="b">
        <x:v>1</x:v>
      </x:c>
    </x:row>
    <x:row r="1184" ht="24" customHeight="1">
      <x:c r="A1184" s="14" t="str">
        <x:v>es-sanctuary-claros-apollo-oracle-pleiades-599719-geometry</x:v>
      </x:c>
      <x:c r="B1184" s="14" t="str">
        <x:v>sanctuary-claros-apollo-oracle</x:v>
      </x:c>
      <x:c r="C1184" s="14" t="str">
        <x:v>src-pleiades-599719</x:v>
      </x:c>
      <x:c r="D1184" s="14" t="str">
        <x:v>geometry</x:v>
      </x:c>
      <x:c r="E1184" s="20" t="b">
        <x:v>1</x:v>
      </x:c>
    </x:row>
    <x:row r="1185" ht="24" customHeight="1">
      <x:c r="A1185" s="14" t="str">
        <x:v>es-sanctuary-claros-apollo-oracle-pleiades-599719-identity</x:v>
      </x:c>
      <x:c r="B1185" s="14" t="str">
        <x:v>sanctuary-claros-apollo-oracle</x:v>
      </x:c>
      <x:c r="C1185" s="14" t="str">
        <x:v>src-pleiades-599719</x:v>
      </x:c>
      <x:c r="D1185" s="14" t="str">
        <x:v>identity</x:v>
      </x:c>
      <x:c r="E1185" s="20" t="b">
        <x:v>1</x:v>
      </x:c>
    </x:row>
    <x:row r="1186" ht="24" customHeight="1">
      <x:c r="A1186" s="14" t="str">
        <x:v>es-sanctuary-claros-apollo-oracle-pleiades-599719-names</x:v>
      </x:c>
      <x:c r="B1186" s="14" t="str">
        <x:v>sanctuary-claros-apollo-oracle</x:v>
      </x:c>
      <x:c r="C1186" s="14" t="str">
        <x:v>src-pleiades-599719</x:v>
      </x:c>
      <x:c r="D1186" s="14" t="str">
        <x:v>names</x:v>
      </x:c>
      <x:c r="E1186" s="20" t="b">
        <x:v>1</x:v>
      </x:c>
    </x:row>
    <x:row r="1187" ht="24" customHeight="1">
      <x:c r="A1187" s="14" t="str">
        <x:v>es-sanctuary-claros-apollo-oracle-pleiades-599719-relationships</x:v>
      </x:c>
      <x:c r="B1187" s="14" t="str">
        <x:v>sanctuary-claros-apollo-oracle</x:v>
      </x:c>
      <x:c r="C1187" s="14" t="str">
        <x:v>src-pleiades-599719</x:v>
      </x:c>
      <x:c r="D1187" s="14" t="str">
        <x:v>relationships</x:v>
      </x:c>
      <x:c r="E1187" s="20" t="b">
        <x:v>1</x:v>
      </x:c>
    </x:row>
    <x:row r="1188" ht="24" customHeight="1">
      <x:c r="A1188" s="14" t="str">
        <x:v>es-sanctuary-crete-idaion-antron-pleiades-589817-chronology</x:v>
      </x:c>
      <x:c r="B1188" s="14" t="str">
        <x:v>sanctuary-crete-idaion-antron</x:v>
      </x:c>
      <x:c r="C1188" s="14" t="str">
        <x:v>src-pleiades-589817</x:v>
      </x:c>
      <x:c r="D1188" s="14" t="str">
        <x:v>chronology</x:v>
      </x:c>
      <x:c r="E1188" s="20" t="b">
        <x:v>1</x:v>
      </x:c>
    </x:row>
    <x:row r="1189" ht="24" customHeight="1">
      <x:c r="A1189" s="14" t="str">
        <x:v>es-sanctuary-crete-idaion-antron-pleiades-589817-classification</x:v>
      </x:c>
      <x:c r="B1189" s="14" t="str">
        <x:v>sanctuary-crete-idaion-antron</x:v>
      </x:c>
      <x:c r="C1189" s="14" t="str">
        <x:v>src-pleiades-589817</x:v>
      </x:c>
      <x:c r="D1189" s="14" t="str">
        <x:v>classification</x:v>
      </x:c>
      <x:c r="E1189" s="20" t="b">
        <x:v>1</x:v>
      </x:c>
    </x:row>
    <x:row r="1190" ht="24" customHeight="1">
      <x:c r="A1190" s="14" t="str">
        <x:v>es-sanctuary-crete-idaion-antron-pleiades-589817-description</x:v>
      </x:c>
      <x:c r="B1190" s="14" t="str">
        <x:v>sanctuary-crete-idaion-antron</x:v>
      </x:c>
      <x:c r="C1190" s="14" t="str">
        <x:v>src-pleiades-589817</x:v>
      </x:c>
      <x:c r="D1190" s="14" t="str">
        <x:v>description</x:v>
      </x:c>
      <x:c r="E1190" s="20" t="b">
        <x:v>1</x:v>
      </x:c>
    </x:row>
    <x:row r="1191" ht="24" customHeight="1">
      <x:c r="A1191" s="14" t="str">
        <x:v>es-sanctuary-crete-idaion-antron-pleiades-589817-geometry</x:v>
      </x:c>
      <x:c r="B1191" s="14" t="str">
        <x:v>sanctuary-crete-idaion-antron</x:v>
      </x:c>
      <x:c r="C1191" s="14" t="str">
        <x:v>src-pleiades-589817</x:v>
      </x:c>
      <x:c r="D1191" s="14" t="str">
        <x:v>geometry</x:v>
      </x:c>
      <x:c r="E1191" s="20" t="b">
        <x:v>1</x:v>
      </x:c>
    </x:row>
    <x:row r="1192" ht="24" customHeight="1">
      <x:c r="A1192" s="14" t="str">
        <x:v>es-sanctuary-crete-idaion-antron-pleiades-589817-identity</x:v>
      </x:c>
      <x:c r="B1192" s="14" t="str">
        <x:v>sanctuary-crete-idaion-antron</x:v>
      </x:c>
      <x:c r="C1192" s="14" t="str">
        <x:v>src-pleiades-589817</x:v>
      </x:c>
      <x:c r="D1192" s="14" t="str">
        <x:v>identity</x:v>
      </x:c>
      <x:c r="E1192" s="20" t="b">
        <x:v>1</x:v>
      </x:c>
    </x:row>
    <x:row r="1193" ht="24" customHeight="1">
      <x:c r="A1193" s="14" t="str">
        <x:v>es-sanctuary-crete-idaion-antron-pleiades-589817-names</x:v>
      </x:c>
      <x:c r="B1193" s="14" t="str">
        <x:v>sanctuary-crete-idaion-antron</x:v>
      </x:c>
      <x:c r="C1193" s="14" t="str">
        <x:v>src-pleiades-589817</x:v>
      </x:c>
      <x:c r="D1193" s="14" t="str">
        <x:v>names</x:v>
      </x:c>
      <x:c r="E1193" s="20" t="b">
        <x:v>1</x:v>
      </x:c>
    </x:row>
    <x:row r="1194" ht="24" customHeight="1">
      <x:c r="A1194" s="14" t="str">
        <x:v>es-sanctuary-crete-idaion-antron-pleiades-589817-relationships</x:v>
      </x:c>
      <x:c r="B1194" s="14" t="str">
        <x:v>sanctuary-crete-idaion-antron</x:v>
      </x:c>
      <x:c r="C1194" s="14" t="str">
        <x:v>src-pleiades-589817</x:v>
      </x:c>
      <x:c r="D1194" s="14" t="str">
        <x:v>relationships</x:v>
      </x:c>
      <x:c r="E1194" s="20" t="b">
        <x:v>1</x:v>
      </x:c>
    </x:row>
    <x:row r="1195" ht="24" customHeight="1">
      <x:c r="A1195" s="14" t="str">
        <x:v>es-sanctuary-crete-iuktas-peak-sanctuary-pleiades-559217802-chronology</x:v>
      </x:c>
      <x:c r="B1195" s="14" t="str">
        <x:v>sanctuary-crete-iuktas-peak-sanctuary</x:v>
      </x:c>
      <x:c r="C1195" s="14" t="str">
        <x:v>src-pleiades-559217802</x:v>
      </x:c>
      <x:c r="D1195" s="14" t="str">
        <x:v>chronology</x:v>
      </x:c>
      <x:c r="E1195" s="20" t="b">
        <x:v>1</x:v>
      </x:c>
    </x:row>
    <x:row r="1196" ht="24" customHeight="1">
      <x:c r="A1196" s="14" t="str">
        <x:v>es-sanctuary-crete-iuktas-peak-sanctuary-pleiades-559217802-classification</x:v>
      </x:c>
      <x:c r="B1196" s="14" t="str">
        <x:v>sanctuary-crete-iuktas-peak-sanctuary</x:v>
      </x:c>
      <x:c r="C1196" s="14" t="str">
        <x:v>src-pleiades-559217802</x:v>
      </x:c>
      <x:c r="D1196" s="14" t="str">
        <x:v>classification</x:v>
      </x:c>
      <x:c r="E1196" s="20" t="b">
        <x:v>1</x:v>
      </x:c>
    </x:row>
    <x:row r="1197" ht="24" customHeight="1">
      <x:c r="A1197" s="14" t="str">
        <x:v>es-sanctuary-crete-iuktas-peak-sanctuary-pleiades-559217802-description</x:v>
      </x:c>
      <x:c r="B1197" s="14" t="str">
        <x:v>sanctuary-crete-iuktas-peak-sanctuary</x:v>
      </x:c>
      <x:c r="C1197" s="14" t="str">
        <x:v>src-pleiades-559217802</x:v>
      </x:c>
      <x:c r="D1197" s="14" t="str">
        <x:v>description</x:v>
      </x:c>
      <x:c r="E1197" s="20" t="b">
        <x:v>1</x:v>
      </x:c>
    </x:row>
    <x:row r="1198" ht="24" customHeight="1">
      <x:c r="A1198" s="14" t="str">
        <x:v>es-sanctuary-crete-iuktas-peak-sanctuary-pleiades-559217802-geometry</x:v>
      </x:c>
      <x:c r="B1198" s="14" t="str">
        <x:v>sanctuary-crete-iuktas-peak-sanctuary</x:v>
      </x:c>
      <x:c r="C1198" s="14" t="str">
        <x:v>src-pleiades-559217802</x:v>
      </x:c>
      <x:c r="D1198" s="14" t="str">
        <x:v>geometry</x:v>
      </x:c>
      <x:c r="E1198" s="20" t="b">
        <x:v>1</x:v>
      </x:c>
    </x:row>
    <x:row r="1199" ht="24" customHeight="1">
      <x:c r="A1199" s="14" t="str">
        <x:v>es-sanctuary-crete-iuktas-peak-sanctuary-pleiades-559217802-identity</x:v>
      </x:c>
      <x:c r="B1199" s="14" t="str">
        <x:v>sanctuary-crete-iuktas-peak-sanctuary</x:v>
      </x:c>
      <x:c r="C1199" s="14" t="str">
        <x:v>src-pleiades-559217802</x:v>
      </x:c>
      <x:c r="D1199" s="14" t="str">
        <x:v>identity</x:v>
      </x:c>
      <x:c r="E1199" s="20" t="b">
        <x:v>1</x:v>
      </x:c>
    </x:row>
    <x:row r="1200" ht="24" customHeight="1">
      <x:c r="A1200" s="14" t="str">
        <x:v>es-sanctuary-crete-iuktas-peak-sanctuary-pleiades-559217802-names</x:v>
      </x:c>
      <x:c r="B1200" s="14" t="str">
        <x:v>sanctuary-crete-iuktas-peak-sanctuary</x:v>
      </x:c>
      <x:c r="C1200" s="14" t="str">
        <x:v>src-pleiades-559217802</x:v>
      </x:c>
      <x:c r="D1200" s="14" t="str">
        <x:v>names</x:v>
      </x:c>
      <x:c r="E1200" s="20" t="b">
        <x:v>1</x:v>
      </x:c>
    </x:row>
    <x:row r="1201" ht="24" customHeight="1">
      <x:c r="A1201" s="14" t="str">
        <x:v>es-sanctuary-crete-iuktas-peak-sanctuary-pleiades-559217802-relationships</x:v>
      </x:c>
      <x:c r="B1201" s="14" t="str">
        <x:v>sanctuary-crete-iuktas-peak-sanctuary</x:v>
      </x:c>
      <x:c r="C1201" s="14" t="str">
        <x:v>src-pleiades-559217802</x:v>
      </x:c>
      <x:c r="D1201" s="14" t="str">
        <x:v>relationships</x:v>
      </x:c>
      <x:c r="E1201" s="20" t="b">
        <x:v>1</x:v>
      </x:c>
    </x:row>
    <x:row r="1202" ht="24" customHeight="1">
      <x:c r="A1202" s="14" t="str">
        <x:v>es-sanctuary-croton-hera-lacinia-sanctuary-pleiades-452332-chronology</x:v>
      </x:c>
      <x:c r="B1202" s="14" t="str">
        <x:v>sanctuary-croton-hera-lacinia-sanctuary</x:v>
      </x:c>
      <x:c r="C1202" s="14" t="str">
        <x:v>src-pleiades-452332</x:v>
      </x:c>
      <x:c r="D1202" s="14" t="str">
        <x:v>chronology</x:v>
      </x:c>
      <x:c r="E1202" s="20" t="b">
        <x:v>1</x:v>
      </x:c>
    </x:row>
    <x:row r="1203" ht="24" customHeight="1">
      <x:c r="A1203" s="14" t="str">
        <x:v>es-sanctuary-croton-hera-lacinia-sanctuary-pleiades-452332-classification</x:v>
      </x:c>
      <x:c r="B1203" s="14" t="str">
        <x:v>sanctuary-croton-hera-lacinia-sanctuary</x:v>
      </x:c>
      <x:c r="C1203" s="14" t="str">
        <x:v>src-pleiades-452332</x:v>
      </x:c>
      <x:c r="D1203" s="14" t="str">
        <x:v>classification</x:v>
      </x:c>
      <x:c r="E1203" s="20" t="b">
        <x:v>1</x:v>
      </x:c>
    </x:row>
    <x:row r="1204" ht="24" customHeight="1">
      <x:c r="A1204" s="14" t="str">
        <x:v>es-sanctuary-croton-hera-lacinia-sanctuary-pleiades-452332-description</x:v>
      </x:c>
      <x:c r="B1204" s="14" t="str">
        <x:v>sanctuary-croton-hera-lacinia-sanctuary</x:v>
      </x:c>
      <x:c r="C1204" s="14" t="str">
        <x:v>src-pleiades-452332</x:v>
      </x:c>
      <x:c r="D1204" s="14" t="str">
        <x:v>description</x:v>
      </x:c>
      <x:c r="E1204" s="20" t="b">
        <x:v>1</x:v>
      </x:c>
    </x:row>
    <x:row r="1205" ht="24" customHeight="1">
      <x:c r="A1205" s="14" t="str">
        <x:v>es-sanctuary-croton-hera-lacinia-sanctuary-pleiades-452332-geometry</x:v>
      </x:c>
      <x:c r="B1205" s="14" t="str">
        <x:v>sanctuary-croton-hera-lacinia-sanctuary</x:v>
      </x:c>
      <x:c r="C1205" s="14" t="str">
        <x:v>src-pleiades-452332</x:v>
      </x:c>
      <x:c r="D1205" s="14" t="str">
        <x:v>geometry</x:v>
      </x:c>
      <x:c r="E1205" s="20" t="b">
        <x:v>1</x:v>
      </x:c>
    </x:row>
    <x:row r="1206" ht="24" customHeight="1">
      <x:c r="A1206" s="14" t="str">
        <x:v>es-sanctuary-croton-hera-lacinia-sanctuary-pleiades-452332-identity</x:v>
      </x:c>
      <x:c r="B1206" s="14" t="str">
        <x:v>sanctuary-croton-hera-lacinia-sanctuary</x:v>
      </x:c>
      <x:c r="C1206" s="14" t="str">
        <x:v>src-pleiades-452332</x:v>
      </x:c>
      <x:c r="D1206" s="14" t="str">
        <x:v>identity</x:v>
      </x:c>
      <x:c r="E1206" s="20" t="b">
        <x:v>1</x:v>
      </x:c>
    </x:row>
    <x:row r="1207" ht="24" customHeight="1">
      <x:c r="A1207" s="14" t="str">
        <x:v>es-sanctuary-croton-hera-lacinia-sanctuary-pleiades-452332-names</x:v>
      </x:c>
      <x:c r="B1207" s="14" t="str">
        <x:v>sanctuary-croton-hera-lacinia-sanctuary</x:v>
      </x:c>
      <x:c r="C1207" s="14" t="str">
        <x:v>src-pleiades-452332</x:v>
      </x:c>
      <x:c r="D1207" s="14" t="str">
        <x:v>names</x:v>
      </x:c>
      <x:c r="E1207" s="20" t="b">
        <x:v>1</x:v>
      </x:c>
    </x:row>
    <x:row r="1208" ht="24" customHeight="1">
      <x:c r="A1208" s="14" t="str">
        <x:v>es-sanctuary-croton-hera-lacinia-sanctuary-pleiades-452332-relationships</x:v>
      </x:c>
      <x:c r="B1208" s="14" t="str">
        <x:v>sanctuary-croton-hera-lacinia-sanctuary</x:v>
      </x:c>
      <x:c r="C1208" s="14" t="str">
        <x:v>src-pleiades-452332</x:v>
      </x:c>
      <x:c r="D1208" s="14" t="str">
        <x:v>relationships</x:v>
      </x:c>
      <x:c r="E1208" s="20" t="b">
        <x:v>1</x:v>
      </x:c>
    </x:row>
    <x:row r="1209" ht="24" customHeight="1">
      <x:c r="A1209" s="14" t="str">
        <x:v>es-sanctuary-cyrene-apollo-sanctuary-pleiades-464482220-chronology</x:v>
      </x:c>
      <x:c r="B1209" s="14" t="str">
        <x:v>sanctuary-cyrene-apollo-sanctuary</x:v>
      </x:c>
      <x:c r="C1209" s="14" t="str">
        <x:v>src-pleiades-464482220</x:v>
      </x:c>
      <x:c r="D1209" s="14" t="str">
        <x:v>chronology</x:v>
      </x:c>
      <x:c r="E1209" s="20" t="b">
        <x:v>1</x:v>
      </x:c>
    </x:row>
    <x:row r="1210" ht="24" customHeight="1">
      <x:c r="A1210" s="14" t="str">
        <x:v>es-sanctuary-cyrene-apollo-sanctuary-pleiades-464482220-classification</x:v>
      </x:c>
      <x:c r="B1210" s="14" t="str">
        <x:v>sanctuary-cyrene-apollo-sanctuary</x:v>
      </x:c>
      <x:c r="C1210" s="14" t="str">
        <x:v>src-pleiades-464482220</x:v>
      </x:c>
      <x:c r="D1210" s="14" t="str">
        <x:v>classification</x:v>
      </x:c>
      <x:c r="E1210" s="20" t="b">
        <x:v>1</x:v>
      </x:c>
    </x:row>
    <x:row r="1211" ht="24" customHeight="1">
      <x:c r="A1211" s="14" t="str">
        <x:v>es-sanctuary-cyrene-apollo-sanctuary-pleiades-464482220-description</x:v>
      </x:c>
      <x:c r="B1211" s="14" t="str">
        <x:v>sanctuary-cyrene-apollo-sanctuary</x:v>
      </x:c>
      <x:c r="C1211" s="14" t="str">
        <x:v>src-pleiades-464482220</x:v>
      </x:c>
      <x:c r="D1211" s="14" t="str">
        <x:v>description</x:v>
      </x:c>
      <x:c r="E1211" s="20" t="b">
        <x:v>1</x:v>
      </x:c>
    </x:row>
    <x:row r="1212" ht="24" customHeight="1">
      <x:c r="A1212" s="14" t="str">
        <x:v>es-sanctuary-cyrene-apollo-sanctuary-pleiades-464482220-geometry</x:v>
      </x:c>
      <x:c r="B1212" s="14" t="str">
        <x:v>sanctuary-cyrene-apollo-sanctuary</x:v>
      </x:c>
      <x:c r="C1212" s="14" t="str">
        <x:v>src-pleiades-464482220</x:v>
      </x:c>
      <x:c r="D1212" s="14" t="str">
        <x:v>geometry</x:v>
      </x:c>
      <x:c r="E1212" s="20" t="b">
        <x:v>1</x:v>
      </x:c>
    </x:row>
    <x:row r="1213" ht="24" customHeight="1">
      <x:c r="A1213" s="14" t="str">
        <x:v>es-sanctuary-cyrene-apollo-sanctuary-pleiades-464482220-identity</x:v>
      </x:c>
      <x:c r="B1213" s="14" t="str">
        <x:v>sanctuary-cyrene-apollo-sanctuary</x:v>
      </x:c>
      <x:c r="C1213" s="14" t="str">
        <x:v>src-pleiades-464482220</x:v>
      </x:c>
      <x:c r="D1213" s="14" t="str">
        <x:v>identity</x:v>
      </x:c>
      <x:c r="E1213" s="20" t="b">
        <x:v>1</x:v>
      </x:c>
    </x:row>
    <x:row r="1214" ht="24" customHeight="1">
      <x:c r="A1214" s="14" t="str">
        <x:v>es-sanctuary-cyrene-apollo-sanctuary-pleiades-464482220-names</x:v>
      </x:c>
      <x:c r="B1214" s="14" t="str">
        <x:v>sanctuary-cyrene-apollo-sanctuary</x:v>
      </x:c>
      <x:c r="C1214" s="14" t="str">
        <x:v>src-pleiades-464482220</x:v>
      </x:c>
      <x:c r="D1214" s="14" t="str">
        <x:v>names</x:v>
      </x:c>
      <x:c r="E1214" s="20" t="b">
        <x:v>1</x:v>
      </x:c>
    </x:row>
    <x:row r="1215" ht="24" customHeight="1">
      <x:c r="A1215" s="14" t="str">
        <x:v>es-sanctuary-cyrene-apollo-sanctuary-pleiades-464482220-relationships</x:v>
      </x:c>
      <x:c r="B1215" s="14" t="str">
        <x:v>sanctuary-cyrene-apollo-sanctuary</x:v>
      </x:c>
      <x:c r="C1215" s="14" t="str">
        <x:v>src-pleiades-464482220</x:v>
      </x:c>
      <x:c r="D1215" s="14" t="str">
        <x:v>relationships</x:v>
      </x:c>
      <x:c r="E1215" s="20" t="b">
        <x:v>1</x:v>
      </x:c>
    </x:row>
    <x:row r="1216" ht="24" customHeight="1">
      <x:c r="A1216" s="14" t="str">
        <x:v>es-sanctuary-cyrene-zeus-sanctuary-pleiades-103565779-chronology</x:v>
      </x:c>
      <x:c r="B1216" s="14" t="str">
        <x:v>sanctuary-cyrene-zeus-sanctuary</x:v>
      </x:c>
      <x:c r="C1216" s="14" t="str">
        <x:v>src-pleiades-103565779</x:v>
      </x:c>
      <x:c r="D1216" s="14" t="str">
        <x:v>chronology</x:v>
      </x:c>
      <x:c r="E1216" s="20" t="b">
        <x:v>1</x:v>
      </x:c>
    </x:row>
    <x:row r="1217" ht="24" customHeight="1">
      <x:c r="A1217" s="14" t="str">
        <x:v>es-sanctuary-cyrene-zeus-sanctuary-pleiades-103565779-classification</x:v>
      </x:c>
      <x:c r="B1217" s="14" t="str">
        <x:v>sanctuary-cyrene-zeus-sanctuary</x:v>
      </x:c>
      <x:c r="C1217" s="14" t="str">
        <x:v>src-pleiades-103565779</x:v>
      </x:c>
      <x:c r="D1217" s="14" t="str">
        <x:v>classification</x:v>
      </x:c>
      <x:c r="E1217" s="20" t="b">
        <x:v>1</x:v>
      </x:c>
    </x:row>
    <x:row r="1218" ht="24" customHeight="1">
      <x:c r="A1218" s="14" t="str">
        <x:v>es-sanctuary-cyrene-zeus-sanctuary-pleiades-103565779-description</x:v>
      </x:c>
      <x:c r="B1218" s="14" t="str">
        <x:v>sanctuary-cyrene-zeus-sanctuary</x:v>
      </x:c>
      <x:c r="C1218" s="14" t="str">
        <x:v>src-pleiades-103565779</x:v>
      </x:c>
      <x:c r="D1218" s="14" t="str">
        <x:v>description</x:v>
      </x:c>
      <x:c r="E1218" s="20" t="b">
        <x:v>1</x:v>
      </x:c>
    </x:row>
    <x:row r="1219" ht="24" customHeight="1">
      <x:c r="A1219" s="14" t="str">
        <x:v>es-sanctuary-cyrene-zeus-sanctuary-pleiades-103565779-geometry</x:v>
      </x:c>
      <x:c r="B1219" s="14" t="str">
        <x:v>sanctuary-cyrene-zeus-sanctuary</x:v>
      </x:c>
      <x:c r="C1219" s="14" t="str">
        <x:v>src-pleiades-103565779</x:v>
      </x:c>
      <x:c r="D1219" s="14" t="str">
        <x:v>geometry</x:v>
      </x:c>
      <x:c r="E1219" s="20" t="b">
        <x:v>1</x:v>
      </x:c>
    </x:row>
    <x:row r="1220" ht="24" customHeight="1">
      <x:c r="A1220" s="14" t="str">
        <x:v>es-sanctuary-cyrene-zeus-sanctuary-pleiades-103565779-identity</x:v>
      </x:c>
      <x:c r="B1220" s="14" t="str">
        <x:v>sanctuary-cyrene-zeus-sanctuary</x:v>
      </x:c>
      <x:c r="C1220" s="14" t="str">
        <x:v>src-pleiades-103565779</x:v>
      </x:c>
      <x:c r="D1220" s="14" t="str">
        <x:v>identity</x:v>
      </x:c>
      <x:c r="E1220" s="20" t="b">
        <x:v>1</x:v>
      </x:c>
    </x:row>
    <x:row r="1221" ht="24" customHeight="1">
      <x:c r="A1221" s="14" t="str">
        <x:v>es-sanctuary-cyrene-zeus-sanctuary-pleiades-103565779-names</x:v>
      </x:c>
      <x:c r="B1221" s="14" t="str">
        <x:v>sanctuary-cyrene-zeus-sanctuary</x:v>
      </x:c>
      <x:c r="C1221" s="14" t="str">
        <x:v>src-pleiades-103565779</x:v>
      </x:c>
      <x:c r="D1221" s="14" t="str">
        <x:v>names</x:v>
      </x:c>
      <x:c r="E1221" s="20" t="b">
        <x:v>1</x:v>
      </x:c>
    </x:row>
    <x:row r="1222" ht="24" customHeight="1">
      <x:c r="A1222" s="14" t="str">
        <x:v>es-sanctuary-cyrene-zeus-sanctuary-pleiades-103565779-relationships</x:v>
      </x:c>
      <x:c r="B1222" s="14" t="str">
        <x:v>sanctuary-cyrene-zeus-sanctuary</x:v>
      </x:c>
      <x:c r="C1222" s="14" t="str">
        <x:v>src-pleiades-103565779</x:v>
      </x:c>
      <x:c r="D1222" s="14" t="str">
        <x:v>relationships</x:v>
      </x:c>
      <x:c r="E1222" s="20" t="b">
        <x:v>1</x:v>
      </x:c>
    </x:row>
    <x:row r="1223" ht="24" customHeight="1">
      <x:c r="A1223" s="14" t="str">
        <x:v>es-sanctuary-delos-apollo-sanctuary-pleiades-599506-chronology</x:v>
      </x:c>
      <x:c r="B1223" s="14" t="str">
        <x:v>sanctuary-delos-apollo-sanctuary</x:v>
      </x:c>
      <x:c r="C1223" s="14" t="str">
        <x:v>src-pleiades-599506</x:v>
      </x:c>
      <x:c r="D1223" s="14" t="str">
        <x:v>chronology</x:v>
      </x:c>
      <x:c r="E1223" s="20" t="b">
        <x:v>1</x:v>
      </x:c>
    </x:row>
    <x:row r="1224" ht="24" customHeight="1">
      <x:c r="A1224" s="14" t="str">
        <x:v>es-sanctuary-delos-apollo-sanctuary-pleiades-599506-classification</x:v>
      </x:c>
      <x:c r="B1224" s="14" t="str">
        <x:v>sanctuary-delos-apollo-sanctuary</x:v>
      </x:c>
      <x:c r="C1224" s="14" t="str">
        <x:v>src-pleiades-599506</x:v>
      </x:c>
      <x:c r="D1224" s="14" t="str">
        <x:v>classification</x:v>
      </x:c>
      <x:c r="E1224" s="20" t="b">
        <x:v>1</x:v>
      </x:c>
    </x:row>
    <x:row r="1225" ht="24" customHeight="1">
      <x:c r="A1225" s="14" t="str">
        <x:v>es-sanctuary-delos-apollo-sanctuary-pleiades-599506-description</x:v>
      </x:c>
      <x:c r="B1225" s="14" t="str">
        <x:v>sanctuary-delos-apollo-sanctuary</x:v>
      </x:c>
      <x:c r="C1225" s="14" t="str">
        <x:v>src-pleiades-599506</x:v>
      </x:c>
      <x:c r="D1225" s="14" t="str">
        <x:v>description</x:v>
      </x:c>
      <x:c r="E1225" s="20" t="b">
        <x:v>1</x:v>
      </x:c>
    </x:row>
    <x:row r="1226" ht="24" customHeight="1">
      <x:c r="A1226" s="14" t="str">
        <x:v>es-sanctuary-delos-apollo-sanctuary-pleiades-599506-geometry</x:v>
      </x:c>
      <x:c r="B1226" s="14" t="str">
        <x:v>sanctuary-delos-apollo-sanctuary</x:v>
      </x:c>
      <x:c r="C1226" s="14" t="str">
        <x:v>src-pleiades-599506</x:v>
      </x:c>
      <x:c r="D1226" s="14" t="str">
        <x:v>geometry</x:v>
      </x:c>
      <x:c r="E1226" s="20" t="b">
        <x:v>1</x:v>
      </x:c>
    </x:row>
    <x:row r="1227" ht="24" customHeight="1">
      <x:c r="A1227" s="14" t="str">
        <x:v>es-sanctuary-delos-apollo-sanctuary-pleiades-599506-identity</x:v>
      </x:c>
      <x:c r="B1227" s="14" t="str">
        <x:v>sanctuary-delos-apollo-sanctuary</x:v>
      </x:c>
      <x:c r="C1227" s="14" t="str">
        <x:v>src-pleiades-599506</x:v>
      </x:c>
      <x:c r="D1227" s="14" t="str">
        <x:v>identity</x:v>
      </x:c>
      <x:c r="E1227" s="20" t="b">
        <x:v>1</x:v>
      </x:c>
    </x:row>
    <x:row r="1228" ht="24" customHeight="1">
      <x:c r="A1228" s="14" t="str">
        <x:v>es-sanctuary-delos-apollo-sanctuary-pleiades-599506-names</x:v>
      </x:c>
      <x:c r="B1228" s="14" t="str">
        <x:v>sanctuary-delos-apollo-sanctuary</x:v>
      </x:c>
      <x:c r="C1228" s="14" t="str">
        <x:v>src-pleiades-599506</x:v>
      </x:c>
      <x:c r="D1228" s="14" t="str">
        <x:v>names</x:v>
      </x:c>
      <x:c r="E1228" s="20" t="b">
        <x:v>1</x:v>
      </x:c>
    </x:row>
    <x:row r="1229" ht="24" customHeight="1">
      <x:c r="A1229" s="14" t="str">
        <x:v>es-sanctuary-delos-apollo-sanctuary-pleiades-599506-relationships</x:v>
      </x:c>
      <x:c r="B1229" s="14" t="str">
        <x:v>sanctuary-delos-apollo-sanctuary</x:v>
      </x:c>
      <x:c r="C1229" s="14" t="str">
        <x:v>src-pleiades-599506</x:v>
      </x:c>
      <x:c r="D1229" s="14" t="str">
        <x:v>relationships</x:v>
      </x:c>
      <x:c r="E1229" s="20" t="b">
        <x:v>1</x:v>
      </x:c>
    </x:row>
    <x:row r="1230" ht="24" customHeight="1">
      <x:c r="A1230" s="14" t="str">
        <x:v>es-sanctuary-delphi-apollo-sanctuary-pleiades-540726-chronology</x:v>
      </x:c>
      <x:c r="B1230" s="14" t="str">
        <x:v>sanctuary-delphi-apollo-sanctuary</x:v>
      </x:c>
      <x:c r="C1230" s="14" t="str">
        <x:v>src-pleiades-540726</x:v>
      </x:c>
      <x:c r="D1230" s="14" t="str">
        <x:v>chronology</x:v>
      </x:c>
      <x:c r="E1230" s="20" t="b">
        <x:v>1</x:v>
      </x:c>
    </x:row>
    <x:row r="1231" ht="24" customHeight="1">
      <x:c r="A1231" s="14" t="str">
        <x:v>es-sanctuary-delphi-apollo-sanctuary-pleiades-540726-classification</x:v>
      </x:c>
      <x:c r="B1231" s="14" t="str">
        <x:v>sanctuary-delphi-apollo-sanctuary</x:v>
      </x:c>
      <x:c r="C1231" s="14" t="str">
        <x:v>src-pleiades-540726</x:v>
      </x:c>
      <x:c r="D1231" s="14" t="str">
        <x:v>classification</x:v>
      </x:c>
      <x:c r="E1231" s="20" t="b">
        <x:v>1</x:v>
      </x:c>
    </x:row>
    <x:row r="1232" ht="24" customHeight="1">
      <x:c r="A1232" s="14" t="str">
        <x:v>es-sanctuary-delphi-apollo-sanctuary-pleiades-540726-description</x:v>
      </x:c>
      <x:c r="B1232" s="14" t="str">
        <x:v>sanctuary-delphi-apollo-sanctuary</x:v>
      </x:c>
      <x:c r="C1232" s="14" t="str">
        <x:v>src-pleiades-540726</x:v>
      </x:c>
      <x:c r="D1232" s="14" t="str">
        <x:v>description</x:v>
      </x:c>
      <x:c r="E1232" s="20" t="b">
        <x:v>1</x:v>
      </x:c>
    </x:row>
    <x:row r="1233" ht="24" customHeight="1">
      <x:c r="A1233" s="14" t="str">
        <x:v>es-sanctuary-delphi-apollo-sanctuary-pleiades-540726-geometry</x:v>
      </x:c>
      <x:c r="B1233" s="14" t="str">
        <x:v>sanctuary-delphi-apollo-sanctuary</x:v>
      </x:c>
      <x:c r="C1233" s="14" t="str">
        <x:v>src-pleiades-540726</x:v>
      </x:c>
      <x:c r="D1233" s="14" t="str">
        <x:v>geometry</x:v>
      </x:c>
      <x:c r="E1233" s="20" t="b">
        <x:v>1</x:v>
      </x:c>
    </x:row>
    <x:row r="1234" ht="24" customHeight="1">
      <x:c r="A1234" s="14" t="str">
        <x:v>es-sanctuary-delphi-apollo-sanctuary-pleiades-540726-identity</x:v>
      </x:c>
      <x:c r="B1234" s="14" t="str">
        <x:v>sanctuary-delphi-apollo-sanctuary</x:v>
      </x:c>
      <x:c r="C1234" s="14" t="str">
        <x:v>src-pleiades-540726</x:v>
      </x:c>
      <x:c r="D1234" s="14" t="str">
        <x:v>identity</x:v>
      </x:c>
      <x:c r="E1234" s="20" t="b">
        <x:v>1</x:v>
      </x:c>
    </x:row>
    <x:row r="1235" ht="24" customHeight="1">
      <x:c r="A1235" s="14" t="str">
        <x:v>es-sanctuary-delphi-apollo-sanctuary-pleiades-540726-names</x:v>
      </x:c>
      <x:c r="B1235" s="14" t="str">
        <x:v>sanctuary-delphi-apollo-sanctuary</x:v>
      </x:c>
      <x:c r="C1235" s="14" t="str">
        <x:v>src-pleiades-540726</x:v>
      </x:c>
      <x:c r="D1235" s="14" t="str">
        <x:v>names</x:v>
      </x:c>
      <x:c r="E1235" s="20" t="b">
        <x:v>1</x:v>
      </x:c>
    </x:row>
    <x:row r="1236" ht="24" customHeight="1">
      <x:c r="A1236" s="14" t="str">
        <x:v>es-sanctuary-delphi-apollo-sanctuary-pleiades-540726-relationships</x:v>
      </x:c>
      <x:c r="B1236" s="14" t="str">
        <x:v>sanctuary-delphi-apollo-sanctuary</x:v>
      </x:c>
      <x:c r="C1236" s="14" t="str">
        <x:v>src-pleiades-540726</x:v>
      </x:c>
      <x:c r="D1236" s="14" t="str">
        <x:v>relationships</x:v>
      </x:c>
      <x:c r="E1236" s="20" t="b">
        <x:v>1</x:v>
      </x:c>
    </x:row>
    <x:row r="1237" ht="24" customHeight="1">
      <x:c r="A1237" s="14" t="str">
        <x:v>es-sanctuary-delphi-athena-pronaia-sanctuary-pleiades-513711610-chronology</x:v>
      </x:c>
      <x:c r="B1237" s="14" t="str">
        <x:v>sanctuary-delphi-athena-pronaia-sanctuary</x:v>
      </x:c>
      <x:c r="C1237" s="14" t="str">
        <x:v>src-pleiades-513711610</x:v>
      </x:c>
      <x:c r="D1237" s="14" t="str">
        <x:v>chronology</x:v>
      </x:c>
      <x:c r="E1237" s="20" t="b">
        <x:v>1</x:v>
      </x:c>
    </x:row>
    <x:row r="1238" ht="24" customHeight="1">
      <x:c r="A1238" s="14" t="str">
        <x:v>es-sanctuary-delphi-athena-pronaia-sanctuary-pleiades-513711610-classification</x:v>
      </x:c>
      <x:c r="B1238" s="14" t="str">
        <x:v>sanctuary-delphi-athena-pronaia-sanctuary</x:v>
      </x:c>
      <x:c r="C1238" s="14" t="str">
        <x:v>src-pleiades-513711610</x:v>
      </x:c>
      <x:c r="D1238" s="14" t="str">
        <x:v>classification</x:v>
      </x:c>
      <x:c r="E1238" s="20" t="b">
        <x:v>1</x:v>
      </x:c>
    </x:row>
    <x:row r="1239" ht="24" customHeight="1">
      <x:c r="A1239" s="14" t="str">
        <x:v>es-sanctuary-delphi-athena-pronaia-sanctuary-pleiades-513711610-description</x:v>
      </x:c>
      <x:c r="B1239" s="14" t="str">
        <x:v>sanctuary-delphi-athena-pronaia-sanctuary</x:v>
      </x:c>
      <x:c r="C1239" s="14" t="str">
        <x:v>src-pleiades-513711610</x:v>
      </x:c>
      <x:c r="D1239" s="14" t="str">
        <x:v>description</x:v>
      </x:c>
      <x:c r="E1239" s="20" t="b">
        <x:v>1</x:v>
      </x:c>
    </x:row>
    <x:row r="1240" ht="24" customHeight="1">
      <x:c r="A1240" s="14" t="str">
        <x:v>es-sanctuary-delphi-athena-pronaia-sanctuary-pleiades-513711610-geometry</x:v>
      </x:c>
      <x:c r="B1240" s="14" t="str">
        <x:v>sanctuary-delphi-athena-pronaia-sanctuary</x:v>
      </x:c>
      <x:c r="C1240" s="14" t="str">
        <x:v>src-pleiades-513711610</x:v>
      </x:c>
      <x:c r="D1240" s="14" t="str">
        <x:v>geometry</x:v>
      </x:c>
      <x:c r="E1240" s="20" t="b">
        <x:v>1</x:v>
      </x:c>
    </x:row>
    <x:row r="1241" ht="24" customHeight="1">
      <x:c r="A1241" s="14" t="str">
        <x:v>es-sanctuary-delphi-athena-pronaia-sanctuary-pleiades-513711610-identity</x:v>
      </x:c>
      <x:c r="B1241" s="14" t="str">
        <x:v>sanctuary-delphi-athena-pronaia-sanctuary</x:v>
      </x:c>
      <x:c r="C1241" s="14" t="str">
        <x:v>src-pleiades-513711610</x:v>
      </x:c>
      <x:c r="D1241" s="14" t="str">
        <x:v>identity</x:v>
      </x:c>
      <x:c r="E1241" s="20" t="b">
        <x:v>1</x:v>
      </x:c>
    </x:row>
    <x:row r="1242" ht="24" customHeight="1">
      <x:c r="A1242" s="14" t="str">
        <x:v>es-sanctuary-delphi-athena-pronaia-sanctuary-pleiades-513711610-names</x:v>
      </x:c>
      <x:c r="B1242" s="14" t="str">
        <x:v>sanctuary-delphi-athena-pronaia-sanctuary</x:v>
      </x:c>
      <x:c r="C1242" s="14" t="str">
        <x:v>src-pleiades-513711610</x:v>
      </x:c>
      <x:c r="D1242" s="14" t="str">
        <x:v>names</x:v>
      </x:c>
      <x:c r="E1242" s="20" t="b">
        <x:v>1</x:v>
      </x:c>
    </x:row>
    <x:row r="1243" ht="24" customHeight="1">
      <x:c r="A1243" s="14" t="str">
        <x:v>es-sanctuary-delphi-athena-pronaia-sanctuary-pleiades-513711610-relationships</x:v>
      </x:c>
      <x:c r="B1243" s="14" t="str">
        <x:v>sanctuary-delphi-athena-pronaia-sanctuary</x:v>
      </x:c>
      <x:c r="C1243" s="14" t="str">
        <x:v>src-pleiades-513711610</x:v>
      </x:c>
      <x:c r="D1243" s="14" t="str">
        <x:v>relationships</x:v>
      </x:c>
      <x:c r="E1243" s="20" t="b">
        <x:v>1</x:v>
      </x:c>
    </x:row>
    <x:row r="1244" ht="24" customHeight="1">
      <x:c r="A1244" s="14" t="str">
        <x:v>es-sanctuary-despotiko-apollo-sanctuary-pleiades-854812387-chronology</x:v>
      </x:c>
      <x:c r="B1244" s="14" t="str">
        <x:v>sanctuary-despotiko-apollo-sanctuary</x:v>
      </x:c>
      <x:c r="C1244" s="14" t="str">
        <x:v>src-pleiades-854812387</x:v>
      </x:c>
      <x:c r="D1244" s="14" t="str">
        <x:v>chronology</x:v>
      </x:c>
      <x:c r="E1244" s="20" t="b">
        <x:v>1</x:v>
      </x:c>
    </x:row>
    <x:row r="1245" ht="24" customHeight="1">
      <x:c r="A1245" s="14" t="str">
        <x:v>es-sanctuary-despotiko-apollo-sanctuary-pleiades-854812387-classification</x:v>
      </x:c>
      <x:c r="B1245" s="14" t="str">
        <x:v>sanctuary-despotiko-apollo-sanctuary</x:v>
      </x:c>
      <x:c r="C1245" s="14" t="str">
        <x:v>src-pleiades-854812387</x:v>
      </x:c>
      <x:c r="D1245" s="14" t="str">
        <x:v>classification</x:v>
      </x:c>
      <x:c r="E1245" s="20" t="b">
        <x:v>1</x:v>
      </x:c>
    </x:row>
    <x:row r="1246" ht="24" customHeight="1">
      <x:c r="A1246" s="14" t="str">
        <x:v>es-sanctuary-despotiko-apollo-sanctuary-pleiades-854812387-description</x:v>
      </x:c>
      <x:c r="B1246" s="14" t="str">
        <x:v>sanctuary-despotiko-apollo-sanctuary</x:v>
      </x:c>
      <x:c r="C1246" s="14" t="str">
        <x:v>src-pleiades-854812387</x:v>
      </x:c>
      <x:c r="D1246" s="14" t="str">
        <x:v>description</x:v>
      </x:c>
      <x:c r="E1246" s="20" t="b">
        <x:v>1</x:v>
      </x:c>
    </x:row>
    <x:row r="1247" ht="24" customHeight="1">
      <x:c r="A1247" s="14" t="str">
        <x:v>es-sanctuary-despotiko-apollo-sanctuary-pleiades-854812387-geometry</x:v>
      </x:c>
      <x:c r="B1247" s="14" t="str">
        <x:v>sanctuary-despotiko-apollo-sanctuary</x:v>
      </x:c>
      <x:c r="C1247" s="14" t="str">
        <x:v>src-pleiades-854812387</x:v>
      </x:c>
      <x:c r="D1247" s="14" t="str">
        <x:v>geometry</x:v>
      </x:c>
      <x:c r="E1247" s="20" t="b">
        <x:v>1</x:v>
      </x:c>
    </x:row>
    <x:row r="1248" ht="24" customHeight="1">
      <x:c r="A1248" s="14" t="str">
        <x:v>es-sanctuary-despotiko-apollo-sanctuary-pleiades-854812387-identity</x:v>
      </x:c>
      <x:c r="B1248" s="14" t="str">
        <x:v>sanctuary-despotiko-apollo-sanctuary</x:v>
      </x:c>
      <x:c r="C1248" s="14" t="str">
        <x:v>src-pleiades-854812387</x:v>
      </x:c>
      <x:c r="D1248" s="14" t="str">
        <x:v>identity</x:v>
      </x:c>
      <x:c r="E1248" s="20" t="b">
        <x:v>1</x:v>
      </x:c>
    </x:row>
    <x:row r="1249" ht="24" customHeight="1">
      <x:c r="A1249" s="14" t="str">
        <x:v>es-sanctuary-despotiko-apollo-sanctuary-pleiades-854812387-names</x:v>
      </x:c>
      <x:c r="B1249" s="14" t="str">
        <x:v>sanctuary-despotiko-apollo-sanctuary</x:v>
      </x:c>
      <x:c r="C1249" s="14" t="str">
        <x:v>src-pleiades-854812387</x:v>
      </x:c>
      <x:c r="D1249" s="14" t="str">
        <x:v>names</x:v>
      </x:c>
      <x:c r="E1249" s="20" t="b">
        <x:v>1</x:v>
      </x:c>
    </x:row>
    <x:row r="1250" ht="24" customHeight="1">
      <x:c r="A1250" s="14" t="str">
        <x:v>es-sanctuary-despotiko-apollo-sanctuary-pleiades-854812387-relationships</x:v>
      </x:c>
      <x:c r="B1250" s="14" t="str">
        <x:v>sanctuary-despotiko-apollo-sanctuary</x:v>
      </x:c>
      <x:c r="C1250" s="14" t="str">
        <x:v>src-pleiades-854812387</x:v>
      </x:c>
      <x:c r="D1250" s="14" t="str">
        <x:v>relationships</x:v>
      </x:c>
      <x:c r="E1250" s="20" t="b">
        <x:v>1</x:v>
      </x:c>
    </x:row>
    <x:row r="1251" ht="24" customHeight="1">
      <x:c r="A1251" s="14" t="str">
        <x:v>es-sanctuary-didyma-apollo-oracle-pleiades-599593-chronology</x:v>
      </x:c>
      <x:c r="B1251" s="14" t="str">
        <x:v>sanctuary-didyma-apollo-oracle</x:v>
      </x:c>
      <x:c r="C1251" s="14" t="str">
        <x:v>src-pleiades-599593</x:v>
      </x:c>
      <x:c r="D1251" s="14" t="str">
        <x:v>chronology</x:v>
      </x:c>
      <x:c r="E1251" s="20" t="b">
        <x:v>1</x:v>
      </x:c>
    </x:row>
    <x:row r="1252" ht="24" customHeight="1">
      <x:c r="A1252" s="14" t="str">
        <x:v>es-sanctuary-didyma-apollo-oracle-pleiades-599593-classification</x:v>
      </x:c>
      <x:c r="B1252" s="14" t="str">
        <x:v>sanctuary-didyma-apollo-oracle</x:v>
      </x:c>
      <x:c r="C1252" s="14" t="str">
        <x:v>src-pleiades-599593</x:v>
      </x:c>
      <x:c r="D1252" s="14" t="str">
        <x:v>classification</x:v>
      </x:c>
      <x:c r="E1252" s="20" t="b">
        <x:v>1</x:v>
      </x:c>
    </x:row>
    <x:row r="1253" ht="24" customHeight="1">
      <x:c r="A1253" s="14" t="str">
        <x:v>es-sanctuary-didyma-apollo-oracle-pleiades-599593-description</x:v>
      </x:c>
      <x:c r="B1253" s="14" t="str">
        <x:v>sanctuary-didyma-apollo-oracle</x:v>
      </x:c>
      <x:c r="C1253" s="14" t="str">
        <x:v>src-pleiades-599593</x:v>
      </x:c>
      <x:c r="D1253" s="14" t="str">
        <x:v>description</x:v>
      </x:c>
      <x:c r="E1253" s="20" t="b">
        <x:v>1</x:v>
      </x:c>
    </x:row>
    <x:row r="1254" ht="24" customHeight="1">
      <x:c r="A1254" s="14" t="str">
        <x:v>es-sanctuary-didyma-apollo-oracle-pleiades-599593-geometry</x:v>
      </x:c>
      <x:c r="B1254" s="14" t="str">
        <x:v>sanctuary-didyma-apollo-oracle</x:v>
      </x:c>
      <x:c r="C1254" s="14" t="str">
        <x:v>src-pleiades-599593</x:v>
      </x:c>
      <x:c r="D1254" s="14" t="str">
        <x:v>geometry</x:v>
      </x:c>
      <x:c r="E1254" s="20" t="b">
        <x:v>1</x:v>
      </x:c>
    </x:row>
    <x:row r="1255" ht="24" customHeight="1">
      <x:c r="A1255" s="14" t="str">
        <x:v>es-sanctuary-didyma-apollo-oracle-pleiades-599593-identity</x:v>
      </x:c>
      <x:c r="B1255" s="14" t="str">
        <x:v>sanctuary-didyma-apollo-oracle</x:v>
      </x:c>
      <x:c r="C1255" s="14" t="str">
        <x:v>src-pleiades-599593</x:v>
      </x:c>
      <x:c r="D1255" s="14" t="str">
        <x:v>identity</x:v>
      </x:c>
      <x:c r="E1255" s="20" t="b">
        <x:v>1</x:v>
      </x:c>
    </x:row>
    <x:row r="1256" ht="24" customHeight="1">
      <x:c r="A1256" s="14" t="str">
        <x:v>es-sanctuary-didyma-apollo-oracle-pleiades-599593-names</x:v>
      </x:c>
      <x:c r="B1256" s="14" t="str">
        <x:v>sanctuary-didyma-apollo-oracle</x:v>
      </x:c>
      <x:c r="C1256" s="14" t="str">
        <x:v>src-pleiades-599593</x:v>
      </x:c>
      <x:c r="D1256" s="14" t="str">
        <x:v>names</x:v>
      </x:c>
      <x:c r="E1256" s="20" t="b">
        <x:v>1</x:v>
      </x:c>
    </x:row>
    <x:row r="1257" ht="24" customHeight="1">
      <x:c r="A1257" s="14" t="str">
        <x:v>es-sanctuary-didyma-apollo-oracle-pleiades-599593-relationships</x:v>
      </x:c>
      <x:c r="B1257" s="14" t="str">
        <x:v>sanctuary-didyma-apollo-oracle</x:v>
      </x:c>
      <x:c r="C1257" s="14" t="str">
        <x:v>src-pleiades-599593</x:v>
      </x:c>
      <x:c r="D1257" s="14" t="str">
        <x:v>relationships</x:v>
      </x:c>
      <x:c r="E1257" s="20" t="b">
        <x:v>1</x:v>
      </x:c>
    </x:row>
    <x:row r="1258" ht="24" customHeight="1">
      <x:c r="A1258" s="14" t="str">
        <x:v>es-sanctuary-dodona-zeus-oracle-pleiades-530843-chronology</x:v>
      </x:c>
      <x:c r="B1258" s="14" t="str">
        <x:v>sanctuary-dodona-zeus-oracle</x:v>
      </x:c>
      <x:c r="C1258" s="14" t="str">
        <x:v>src-pleiades-530843</x:v>
      </x:c>
      <x:c r="D1258" s="14" t="str">
        <x:v>chronology</x:v>
      </x:c>
      <x:c r="E1258" s="20" t="b">
        <x:v>1</x:v>
      </x:c>
    </x:row>
    <x:row r="1259" ht="24" customHeight="1">
      <x:c r="A1259" s="14" t="str">
        <x:v>es-sanctuary-dodona-zeus-oracle-pleiades-530843-classification</x:v>
      </x:c>
      <x:c r="B1259" s="14" t="str">
        <x:v>sanctuary-dodona-zeus-oracle</x:v>
      </x:c>
      <x:c r="C1259" s="14" t="str">
        <x:v>src-pleiades-530843</x:v>
      </x:c>
      <x:c r="D1259" s="14" t="str">
        <x:v>classification</x:v>
      </x:c>
      <x:c r="E1259" s="20" t="b">
        <x:v>1</x:v>
      </x:c>
    </x:row>
    <x:row r="1260" ht="24" customHeight="1">
      <x:c r="A1260" s="14" t="str">
        <x:v>es-sanctuary-dodona-zeus-oracle-pleiades-530843-description</x:v>
      </x:c>
      <x:c r="B1260" s="14" t="str">
        <x:v>sanctuary-dodona-zeus-oracle</x:v>
      </x:c>
      <x:c r="C1260" s="14" t="str">
        <x:v>src-pleiades-530843</x:v>
      </x:c>
      <x:c r="D1260" s="14" t="str">
        <x:v>description</x:v>
      </x:c>
      <x:c r="E1260" s="20" t="b">
        <x:v>1</x:v>
      </x:c>
    </x:row>
    <x:row r="1261" ht="24" customHeight="1">
      <x:c r="A1261" s="14" t="str">
        <x:v>es-sanctuary-dodona-zeus-oracle-pleiades-530843-geometry</x:v>
      </x:c>
      <x:c r="B1261" s="14" t="str">
        <x:v>sanctuary-dodona-zeus-oracle</x:v>
      </x:c>
      <x:c r="C1261" s="14" t="str">
        <x:v>src-pleiades-530843</x:v>
      </x:c>
      <x:c r="D1261" s="14" t="str">
        <x:v>geometry</x:v>
      </x:c>
      <x:c r="E1261" s="20" t="b">
        <x:v>1</x:v>
      </x:c>
    </x:row>
    <x:row r="1262" ht="24" customHeight="1">
      <x:c r="A1262" s="14" t="str">
        <x:v>es-sanctuary-dodona-zeus-oracle-pleiades-530843-identity</x:v>
      </x:c>
      <x:c r="B1262" s="14" t="str">
        <x:v>sanctuary-dodona-zeus-oracle</x:v>
      </x:c>
      <x:c r="C1262" s="14" t="str">
        <x:v>src-pleiades-530843</x:v>
      </x:c>
      <x:c r="D1262" s="14" t="str">
        <x:v>identity</x:v>
      </x:c>
      <x:c r="E1262" s="20" t="b">
        <x:v>1</x:v>
      </x:c>
    </x:row>
    <x:row r="1263" ht="24" customHeight="1">
      <x:c r="A1263" s="14" t="str">
        <x:v>es-sanctuary-dodona-zeus-oracle-pleiades-530843-names</x:v>
      </x:c>
      <x:c r="B1263" s="14" t="str">
        <x:v>sanctuary-dodona-zeus-oracle</x:v>
      </x:c>
      <x:c r="C1263" s="14" t="str">
        <x:v>src-pleiades-530843</x:v>
      </x:c>
      <x:c r="D1263" s="14" t="str">
        <x:v>names</x:v>
      </x:c>
      <x:c r="E1263" s="20" t="b">
        <x:v>1</x:v>
      </x:c>
    </x:row>
    <x:row r="1264" ht="24" customHeight="1">
      <x:c r="A1264" s="14" t="str">
        <x:v>es-sanctuary-dodona-zeus-oracle-pleiades-530843-relationships</x:v>
      </x:c>
      <x:c r="B1264" s="14" t="str">
        <x:v>sanctuary-dodona-zeus-oracle</x:v>
      </x:c>
      <x:c r="C1264" s="14" t="str">
        <x:v>src-pleiades-530843</x:v>
      </x:c>
      <x:c r="D1264" s="14" t="str">
        <x:v>relationships</x:v>
      </x:c>
      <x:c r="E1264" s="20" t="b">
        <x:v>1</x:v>
      </x:c>
    </x:row>
    <x:row r="1265" ht="24" customHeight="1">
      <x:c r="A1265" s="14" t="str">
        <x:v>es-sanctuary-eleusis-demeter-sanctuary-pleiades-579910-chronology</x:v>
      </x:c>
      <x:c r="B1265" s="14" t="str">
        <x:v>sanctuary-eleusis-demeter-sanctuary</x:v>
      </x:c>
      <x:c r="C1265" s="14" t="str">
        <x:v>src-pleiades-579910</x:v>
      </x:c>
      <x:c r="D1265" s="14" t="str">
        <x:v>chronology</x:v>
      </x:c>
      <x:c r="E1265" s="20" t="b">
        <x:v>1</x:v>
      </x:c>
    </x:row>
    <x:row r="1266" ht="24" customHeight="1">
      <x:c r="A1266" s="14" t="str">
        <x:v>es-sanctuary-eleusis-demeter-sanctuary-pleiades-579910-classification</x:v>
      </x:c>
      <x:c r="B1266" s="14" t="str">
        <x:v>sanctuary-eleusis-demeter-sanctuary</x:v>
      </x:c>
      <x:c r="C1266" s="14" t="str">
        <x:v>src-pleiades-579910</x:v>
      </x:c>
      <x:c r="D1266" s="14" t="str">
        <x:v>classification</x:v>
      </x:c>
      <x:c r="E1266" s="20" t="b">
        <x:v>1</x:v>
      </x:c>
    </x:row>
    <x:row r="1267" ht="24" customHeight="1">
      <x:c r="A1267" s="14" t="str">
        <x:v>es-sanctuary-eleusis-demeter-sanctuary-pleiades-579910-description</x:v>
      </x:c>
      <x:c r="B1267" s="14" t="str">
        <x:v>sanctuary-eleusis-demeter-sanctuary</x:v>
      </x:c>
      <x:c r="C1267" s="14" t="str">
        <x:v>src-pleiades-579910</x:v>
      </x:c>
      <x:c r="D1267" s="14" t="str">
        <x:v>description</x:v>
      </x:c>
      <x:c r="E1267" s="20" t="b">
        <x:v>1</x:v>
      </x:c>
    </x:row>
    <x:row r="1268" ht="24" customHeight="1">
      <x:c r="A1268" s="14" t="str">
        <x:v>es-sanctuary-eleusis-demeter-sanctuary-pleiades-579910-geometry</x:v>
      </x:c>
      <x:c r="B1268" s="14" t="str">
        <x:v>sanctuary-eleusis-demeter-sanctuary</x:v>
      </x:c>
      <x:c r="C1268" s="14" t="str">
        <x:v>src-pleiades-579910</x:v>
      </x:c>
      <x:c r="D1268" s="14" t="str">
        <x:v>geometry</x:v>
      </x:c>
      <x:c r="E1268" s="20" t="b">
        <x:v>1</x:v>
      </x:c>
    </x:row>
    <x:row r="1269" ht="24" customHeight="1">
      <x:c r="A1269" s="14" t="str">
        <x:v>es-sanctuary-eleusis-demeter-sanctuary-pleiades-579910-identity</x:v>
      </x:c>
      <x:c r="B1269" s="14" t="str">
        <x:v>sanctuary-eleusis-demeter-sanctuary</x:v>
      </x:c>
      <x:c r="C1269" s="14" t="str">
        <x:v>src-pleiades-579910</x:v>
      </x:c>
      <x:c r="D1269" s="14" t="str">
        <x:v>identity</x:v>
      </x:c>
      <x:c r="E1269" s="20" t="b">
        <x:v>1</x:v>
      </x:c>
    </x:row>
    <x:row r="1270" ht="24" customHeight="1">
      <x:c r="A1270" s="14" t="str">
        <x:v>es-sanctuary-eleusis-demeter-sanctuary-pleiades-579910-names</x:v>
      </x:c>
      <x:c r="B1270" s="14" t="str">
        <x:v>sanctuary-eleusis-demeter-sanctuary</x:v>
      </x:c>
      <x:c r="C1270" s="14" t="str">
        <x:v>src-pleiades-579910</x:v>
      </x:c>
      <x:c r="D1270" s="14" t="str">
        <x:v>names</x:v>
      </x:c>
      <x:c r="E1270" s="20" t="b">
        <x:v>1</x:v>
      </x:c>
    </x:row>
    <x:row r="1271" ht="24" customHeight="1">
      <x:c r="A1271" s="14" t="str">
        <x:v>es-sanctuary-eleusis-demeter-sanctuary-pleiades-579910-relationships</x:v>
      </x:c>
      <x:c r="B1271" s="14" t="str">
        <x:v>sanctuary-eleusis-demeter-sanctuary</x:v>
      </x:c>
      <x:c r="C1271" s="14" t="str">
        <x:v>src-pleiades-579910</x:v>
      </x:c>
      <x:c r="D1271" s="14" t="str">
        <x:v>relationships</x:v>
      </x:c>
      <x:c r="E1271" s="20" t="b">
        <x:v>1</x:v>
      </x:c>
    </x:row>
    <x:row r="1272" ht="24" customHeight="1">
      <x:c r="A1272" s="14" t="str">
        <x:v>es-sanctuary-ephesus-artemis-sanctuary-pleiades-873985034-chronology</x:v>
      </x:c>
      <x:c r="B1272" s="14" t="str">
        <x:v>sanctuary-ephesus-artemis-sanctuary</x:v>
      </x:c>
      <x:c r="C1272" s="14" t="str">
        <x:v>src-pleiades-873985034</x:v>
      </x:c>
      <x:c r="D1272" s="14" t="str">
        <x:v>chronology</x:v>
      </x:c>
      <x:c r="E1272" s="20" t="b">
        <x:v>1</x:v>
      </x:c>
    </x:row>
    <x:row r="1273" ht="24" customHeight="1">
      <x:c r="A1273" s="14" t="str">
        <x:v>es-sanctuary-ephesus-artemis-sanctuary-pleiades-873985034-classification</x:v>
      </x:c>
      <x:c r="B1273" s="14" t="str">
        <x:v>sanctuary-ephesus-artemis-sanctuary</x:v>
      </x:c>
      <x:c r="C1273" s="14" t="str">
        <x:v>src-pleiades-873985034</x:v>
      </x:c>
      <x:c r="D1273" s="14" t="str">
        <x:v>classification</x:v>
      </x:c>
      <x:c r="E1273" s="20" t="b">
        <x:v>1</x:v>
      </x:c>
    </x:row>
    <x:row r="1274" ht="24" customHeight="1">
      <x:c r="A1274" s="14" t="str">
        <x:v>es-sanctuary-ephesus-artemis-sanctuary-pleiades-873985034-description</x:v>
      </x:c>
      <x:c r="B1274" s="14" t="str">
        <x:v>sanctuary-ephesus-artemis-sanctuary</x:v>
      </x:c>
      <x:c r="C1274" s="14" t="str">
        <x:v>src-pleiades-873985034</x:v>
      </x:c>
      <x:c r="D1274" s="14" t="str">
        <x:v>description</x:v>
      </x:c>
      <x:c r="E1274" s="20" t="b">
        <x:v>1</x:v>
      </x:c>
    </x:row>
    <x:row r="1275" ht="24" customHeight="1">
      <x:c r="A1275" s="14" t="str">
        <x:v>es-sanctuary-ephesus-artemis-sanctuary-pleiades-873985034-geometry</x:v>
      </x:c>
      <x:c r="B1275" s="14" t="str">
        <x:v>sanctuary-ephesus-artemis-sanctuary</x:v>
      </x:c>
      <x:c r="C1275" s="14" t="str">
        <x:v>src-pleiades-873985034</x:v>
      </x:c>
      <x:c r="D1275" s="14" t="str">
        <x:v>geometry</x:v>
      </x:c>
      <x:c r="E1275" s="20" t="b">
        <x:v>1</x:v>
      </x:c>
    </x:row>
    <x:row r="1276" ht="24" customHeight="1">
      <x:c r="A1276" s="14" t="str">
        <x:v>es-sanctuary-ephesus-artemis-sanctuary-pleiades-873985034-identity</x:v>
      </x:c>
      <x:c r="B1276" s="14" t="str">
        <x:v>sanctuary-ephesus-artemis-sanctuary</x:v>
      </x:c>
      <x:c r="C1276" s="14" t="str">
        <x:v>src-pleiades-873985034</x:v>
      </x:c>
      <x:c r="D1276" s="14" t="str">
        <x:v>identity</x:v>
      </x:c>
      <x:c r="E1276" s="20" t="b">
        <x:v>1</x:v>
      </x:c>
    </x:row>
    <x:row r="1277" ht="24" customHeight="1">
      <x:c r="A1277" s="14" t="str">
        <x:v>es-sanctuary-ephesus-artemis-sanctuary-pleiades-873985034-names</x:v>
      </x:c>
      <x:c r="B1277" s="14" t="str">
        <x:v>sanctuary-ephesus-artemis-sanctuary</x:v>
      </x:c>
      <x:c r="C1277" s="14" t="str">
        <x:v>src-pleiades-873985034</x:v>
      </x:c>
      <x:c r="D1277" s="14" t="str">
        <x:v>names</x:v>
      </x:c>
      <x:c r="E1277" s="20" t="b">
        <x:v>1</x:v>
      </x:c>
    </x:row>
    <x:row r="1278" ht="24" customHeight="1">
      <x:c r="A1278" s="14" t="str">
        <x:v>es-sanctuary-ephesus-artemis-sanctuary-pleiades-873985034-relationships</x:v>
      </x:c>
      <x:c r="B1278" s="14" t="str">
        <x:v>sanctuary-ephesus-artemis-sanctuary</x:v>
      </x:c>
      <x:c r="C1278" s="14" t="str">
        <x:v>src-pleiades-873985034</x:v>
      </x:c>
      <x:c r="D1278" s="14" t="str">
        <x:v>relationships</x:v>
      </x:c>
      <x:c r="E1278" s="20" t="b">
        <x:v>1</x:v>
      </x:c>
    </x:row>
    <x:row r="1279" ht="24" customHeight="1">
      <x:c r="A1279" s="14" t="str">
        <x:v>es-sanctuary-epidauros-asklepios-sanctuary-pleiades-570127-chronology</x:v>
      </x:c>
      <x:c r="B1279" s="14" t="str">
        <x:v>sanctuary-epidauros-asklepios-sanctuary</x:v>
      </x:c>
      <x:c r="C1279" s="14" t="str">
        <x:v>src-pleiades-570127</x:v>
      </x:c>
      <x:c r="D1279" s="14" t="str">
        <x:v>chronology</x:v>
      </x:c>
      <x:c r="E1279" s="20" t="b">
        <x:v>1</x:v>
      </x:c>
    </x:row>
    <x:row r="1280" ht="24" customHeight="1">
      <x:c r="A1280" s="14" t="str">
        <x:v>es-sanctuary-epidauros-asklepios-sanctuary-pleiades-570127-classification</x:v>
      </x:c>
      <x:c r="B1280" s="14" t="str">
        <x:v>sanctuary-epidauros-asklepios-sanctuary</x:v>
      </x:c>
      <x:c r="C1280" s="14" t="str">
        <x:v>src-pleiades-570127</x:v>
      </x:c>
      <x:c r="D1280" s="14" t="str">
        <x:v>classification</x:v>
      </x:c>
      <x:c r="E1280" s="20" t="b">
        <x:v>1</x:v>
      </x:c>
    </x:row>
    <x:row r="1281" ht="24" customHeight="1">
      <x:c r="A1281" s="14" t="str">
        <x:v>es-sanctuary-epidauros-asklepios-sanctuary-pleiades-570127-description</x:v>
      </x:c>
      <x:c r="B1281" s="14" t="str">
        <x:v>sanctuary-epidauros-asklepios-sanctuary</x:v>
      </x:c>
      <x:c r="C1281" s="14" t="str">
        <x:v>src-pleiades-570127</x:v>
      </x:c>
      <x:c r="D1281" s="14" t="str">
        <x:v>description</x:v>
      </x:c>
      <x:c r="E1281" s="20" t="b">
        <x:v>1</x:v>
      </x:c>
    </x:row>
    <x:row r="1282" ht="24" customHeight="1">
      <x:c r="A1282" s="14" t="str">
        <x:v>es-sanctuary-epidauros-asklepios-sanctuary-pleiades-570127-geometry</x:v>
      </x:c>
      <x:c r="B1282" s="14" t="str">
        <x:v>sanctuary-epidauros-asklepios-sanctuary</x:v>
      </x:c>
      <x:c r="C1282" s="14" t="str">
        <x:v>src-pleiades-570127</x:v>
      </x:c>
      <x:c r="D1282" s="14" t="str">
        <x:v>geometry</x:v>
      </x:c>
      <x:c r="E1282" s="20" t="b">
        <x:v>1</x:v>
      </x:c>
    </x:row>
    <x:row r="1283" ht="24" customHeight="1">
      <x:c r="A1283" s="14" t="str">
        <x:v>es-sanctuary-epidauros-asklepios-sanctuary-pleiades-570127-identity</x:v>
      </x:c>
      <x:c r="B1283" s="14" t="str">
        <x:v>sanctuary-epidauros-asklepios-sanctuary</x:v>
      </x:c>
      <x:c r="C1283" s="14" t="str">
        <x:v>src-pleiades-570127</x:v>
      </x:c>
      <x:c r="D1283" s="14" t="str">
        <x:v>identity</x:v>
      </x:c>
      <x:c r="E1283" s="20" t="b">
        <x:v>1</x:v>
      </x:c>
    </x:row>
    <x:row r="1284" ht="24" customHeight="1">
      <x:c r="A1284" s="14" t="str">
        <x:v>es-sanctuary-epidauros-asklepios-sanctuary-pleiades-570127-names</x:v>
      </x:c>
      <x:c r="B1284" s="14" t="str">
        <x:v>sanctuary-epidauros-asklepios-sanctuary</x:v>
      </x:c>
      <x:c r="C1284" s="14" t="str">
        <x:v>src-pleiades-570127</x:v>
      </x:c>
      <x:c r="D1284" s="14" t="str">
        <x:v>names</x:v>
      </x:c>
      <x:c r="E1284" s="20" t="b">
        <x:v>1</x:v>
      </x:c>
    </x:row>
    <x:row r="1285" ht="24" customHeight="1">
      <x:c r="A1285" s="14" t="str">
        <x:v>es-sanctuary-epidauros-asklepios-sanctuary-pleiades-570127-relationships</x:v>
      </x:c>
      <x:c r="B1285" s="14" t="str">
        <x:v>sanctuary-epidauros-asklepios-sanctuary</x:v>
      </x:c>
      <x:c r="C1285" s="14" t="str">
        <x:v>src-pleiades-570127</x:v>
      </x:c>
      <x:c r="D1285" s="14" t="str">
        <x:v>relationships</x:v>
      </x:c>
      <x:c r="E1285" s="20" t="b">
        <x:v>1</x:v>
      </x:c>
    </x:row>
    <x:row r="1286" ht="24" customHeight="1">
      <x:c r="A1286" s="14" t="str">
        <x:v>es-sanctuary-foce-del-sele-heraion-pleiades-442610-chronology</x:v>
      </x:c>
      <x:c r="B1286" s="14" t="str">
        <x:v>sanctuary-foce-del-sele-heraion</x:v>
      </x:c>
      <x:c r="C1286" s="14" t="str">
        <x:v>src-pleiades-442610</x:v>
      </x:c>
      <x:c r="D1286" s="14" t="str">
        <x:v>chronology</x:v>
      </x:c>
      <x:c r="E1286" s="20" t="b">
        <x:v>1</x:v>
      </x:c>
    </x:row>
    <x:row r="1287" ht="24" customHeight="1">
      <x:c r="A1287" s="14" t="str">
        <x:v>es-sanctuary-foce-del-sele-heraion-pleiades-442610-classification</x:v>
      </x:c>
      <x:c r="B1287" s="14" t="str">
        <x:v>sanctuary-foce-del-sele-heraion</x:v>
      </x:c>
      <x:c r="C1287" s="14" t="str">
        <x:v>src-pleiades-442610</x:v>
      </x:c>
      <x:c r="D1287" s="14" t="str">
        <x:v>classification</x:v>
      </x:c>
      <x:c r="E1287" s="20" t="b">
        <x:v>1</x:v>
      </x:c>
    </x:row>
    <x:row r="1288" ht="24" customHeight="1">
      <x:c r="A1288" s="14" t="str">
        <x:v>es-sanctuary-foce-del-sele-heraion-pleiades-442610-description</x:v>
      </x:c>
      <x:c r="B1288" s="14" t="str">
        <x:v>sanctuary-foce-del-sele-heraion</x:v>
      </x:c>
      <x:c r="C1288" s="14" t="str">
        <x:v>src-pleiades-442610</x:v>
      </x:c>
      <x:c r="D1288" s="14" t="str">
        <x:v>description</x:v>
      </x:c>
      <x:c r="E1288" s="20" t="b">
        <x:v>1</x:v>
      </x:c>
    </x:row>
    <x:row r="1289" ht="24" customHeight="1">
      <x:c r="A1289" s="14" t="str">
        <x:v>es-sanctuary-foce-del-sele-heraion-pleiades-442610-geometry</x:v>
      </x:c>
      <x:c r="B1289" s="14" t="str">
        <x:v>sanctuary-foce-del-sele-heraion</x:v>
      </x:c>
      <x:c r="C1289" s="14" t="str">
        <x:v>src-pleiades-442610</x:v>
      </x:c>
      <x:c r="D1289" s="14" t="str">
        <x:v>geometry</x:v>
      </x:c>
      <x:c r="E1289" s="20" t="b">
        <x:v>1</x:v>
      </x:c>
    </x:row>
    <x:row r="1290" ht="24" customHeight="1">
      <x:c r="A1290" s="14" t="str">
        <x:v>es-sanctuary-foce-del-sele-heraion-pleiades-442610-identity</x:v>
      </x:c>
      <x:c r="B1290" s="14" t="str">
        <x:v>sanctuary-foce-del-sele-heraion</x:v>
      </x:c>
      <x:c r="C1290" s="14" t="str">
        <x:v>src-pleiades-442610</x:v>
      </x:c>
      <x:c r="D1290" s="14" t="str">
        <x:v>identity</x:v>
      </x:c>
      <x:c r="E1290" s="20" t="b">
        <x:v>1</x:v>
      </x:c>
    </x:row>
    <x:row r="1291" ht="24" customHeight="1">
      <x:c r="A1291" s="14" t="str">
        <x:v>es-sanctuary-foce-del-sele-heraion-pleiades-442610-names</x:v>
      </x:c>
      <x:c r="B1291" s="14" t="str">
        <x:v>sanctuary-foce-del-sele-heraion</x:v>
      </x:c>
      <x:c r="C1291" s="14" t="str">
        <x:v>src-pleiades-442610</x:v>
      </x:c>
      <x:c r="D1291" s="14" t="str">
        <x:v>names</x:v>
      </x:c>
      <x:c r="E1291" s="20" t="b">
        <x:v>1</x:v>
      </x:c>
    </x:row>
    <x:row r="1292" ht="24" customHeight="1">
      <x:c r="A1292" s="14" t="str">
        <x:v>es-sanctuary-foce-del-sele-heraion-pleiades-442610-relationships</x:v>
      </x:c>
      <x:c r="B1292" s="14" t="str">
        <x:v>sanctuary-foce-del-sele-heraion</x:v>
      </x:c>
      <x:c r="C1292" s="14" t="str">
        <x:v>src-pleiades-442610</x:v>
      </x:c>
      <x:c r="D1292" s="14" t="str">
        <x:v>relationships</x:v>
      </x:c>
      <x:c r="E1292" s="20" t="b">
        <x:v>1</x:v>
      </x:c>
    </x:row>
    <x:row r="1293" ht="24" customHeight="1">
      <x:c r="A1293" s="14" t="str">
        <x:v>es-sanctuary-golgoi-aphrodite-sanctuary-pleiades-707470-chronology</x:v>
      </x:c>
      <x:c r="B1293" s="14" t="str">
        <x:v>sanctuary-golgoi-aphrodite-sanctuary</x:v>
      </x:c>
      <x:c r="C1293" s="14" t="str">
        <x:v>src-pleiades-707470</x:v>
      </x:c>
      <x:c r="D1293" s="14" t="str">
        <x:v>chronology</x:v>
      </x:c>
      <x:c r="E1293" s="20" t="b">
        <x:v>1</x:v>
      </x:c>
    </x:row>
    <x:row r="1294" ht="24" customHeight="1">
      <x:c r="A1294" s="14" t="str">
        <x:v>es-sanctuary-golgoi-aphrodite-sanctuary-pleiades-707470-classification</x:v>
      </x:c>
      <x:c r="B1294" s="14" t="str">
        <x:v>sanctuary-golgoi-aphrodite-sanctuary</x:v>
      </x:c>
      <x:c r="C1294" s="14" t="str">
        <x:v>src-pleiades-707470</x:v>
      </x:c>
      <x:c r="D1294" s="14" t="str">
        <x:v>classification</x:v>
      </x:c>
      <x:c r="E1294" s="20" t="b">
        <x:v>1</x:v>
      </x:c>
    </x:row>
    <x:row r="1295" ht="24" customHeight="1">
      <x:c r="A1295" s="14" t="str">
        <x:v>es-sanctuary-golgoi-aphrodite-sanctuary-pleiades-707470-description</x:v>
      </x:c>
      <x:c r="B1295" s="14" t="str">
        <x:v>sanctuary-golgoi-aphrodite-sanctuary</x:v>
      </x:c>
      <x:c r="C1295" s="14" t="str">
        <x:v>src-pleiades-707470</x:v>
      </x:c>
      <x:c r="D1295" s="14" t="str">
        <x:v>description</x:v>
      </x:c>
      <x:c r="E1295" s="20" t="b">
        <x:v>1</x:v>
      </x:c>
    </x:row>
    <x:row r="1296" ht="24" customHeight="1">
      <x:c r="A1296" s="14" t="str">
        <x:v>es-sanctuary-golgoi-aphrodite-sanctuary-pleiades-707470-geometry</x:v>
      </x:c>
      <x:c r="B1296" s="14" t="str">
        <x:v>sanctuary-golgoi-aphrodite-sanctuary</x:v>
      </x:c>
      <x:c r="C1296" s="14" t="str">
        <x:v>src-pleiades-707470</x:v>
      </x:c>
      <x:c r="D1296" s="14" t="str">
        <x:v>geometry</x:v>
      </x:c>
      <x:c r="E1296" s="20" t="b">
        <x:v>1</x:v>
      </x:c>
    </x:row>
    <x:row r="1297" ht="24" customHeight="1">
      <x:c r="A1297" s="14" t="str">
        <x:v>es-sanctuary-golgoi-aphrodite-sanctuary-pleiades-707470-identity</x:v>
      </x:c>
      <x:c r="B1297" s="14" t="str">
        <x:v>sanctuary-golgoi-aphrodite-sanctuary</x:v>
      </x:c>
      <x:c r="C1297" s="14" t="str">
        <x:v>src-pleiades-707470</x:v>
      </x:c>
      <x:c r="D1297" s="14" t="str">
        <x:v>identity</x:v>
      </x:c>
      <x:c r="E1297" s="20" t="b">
        <x:v>1</x:v>
      </x:c>
    </x:row>
    <x:row r="1298" ht="24" customHeight="1">
      <x:c r="A1298" s="14" t="str">
        <x:v>es-sanctuary-golgoi-aphrodite-sanctuary-pleiades-707470-names</x:v>
      </x:c>
      <x:c r="B1298" s="14" t="str">
        <x:v>sanctuary-golgoi-aphrodite-sanctuary</x:v>
      </x:c>
      <x:c r="C1298" s="14" t="str">
        <x:v>src-pleiades-707470</x:v>
      </x:c>
      <x:c r="D1298" s="14" t="str">
        <x:v>names</x:v>
      </x:c>
      <x:c r="E1298" s="20" t="b">
        <x:v>1</x:v>
      </x:c>
    </x:row>
    <x:row r="1299" ht="24" customHeight="1">
      <x:c r="A1299" s="14" t="str">
        <x:v>es-sanctuary-golgoi-aphrodite-sanctuary-pleiades-707470-relationships</x:v>
      </x:c>
      <x:c r="B1299" s="14" t="str">
        <x:v>sanctuary-golgoi-aphrodite-sanctuary</x:v>
      </x:c>
      <x:c r="C1299" s="14" t="str">
        <x:v>src-pleiades-707470</x:v>
      </x:c>
      <x:c r="D1299" s="14" t="str">
        <x:v>relationships</x:v>
      </x:c>
      <x:c r="E1299" s="20" t="b">
        <x:v>1</x:v>
      </x:c>
    </x:row>
    <x:row r="1300" ht="24" customHeight="1">
      <x:c r="A1300" s="14" t="str">
        <x:v>es-sanctuary-gyroulas-demeter-sanctuary-pleiades-599631-chronology</x:v>
      </x:c>
      <x:c r="B1300" s="14" t="str">
        <x:v>sanctuary-gyroulas-demeter-sanctuary</x:v>
      </x:c>
      <x:c r="C1300" s="14" t="str">
        <x:v>src-pleiades-599631</x:v>
      </x:c>
      <x:c r="D1300" s="14" t="str">
        <x:v>chronology</x:v>
      </x:c>
      <x:c r="E1300" s="20" t="b">
        <x:v>1</x:v>
      </x:c>
    </x:row>
    <x:row r="1301" ht="24" customHeight="1">
      <x:c r="A1301" s="14" t="str">
        <x:v>es-sanctuary-gyroulas-demeter-sanctuary-pleiades-599631-classification</x:v>
      </x:c>
      <x:c r="B1301" s="14" t="str">
        <x:v>sanctuary-gyroulas-demeter-sanctuary</x:v>
      </x:c>
      <x:c r="C1301" s="14" t="str">
        <x:v>src-pleiades-599631</x:v>
      </x:c>
      <x:c r="D1301" s="14" t="str">
        <x:v>classification</x:v>
      </x:c>
      <x:c r="E1301" s="20" t="b">
        <x:v>1</x:v>
      </x:c>
    </x:row>
    <x:row r="1302" ht="24" customHeight="1">
      <x:c r="A1302" s="14" t="str">
        <x:v>es-sanctuary-gyroulas-demeter-sanctuary-pleiades-599631-description</x:v>
      </x:c>
      <x:c r="B1302" s="14" t="str">
        <x:v>sanctuary-gyroulas-demeter-sanctuary</x:v>
      </x:c>
      <x:c r="C1302" s="14" t="str">
        <x:v>src-pleiades-599631</x:v>
      </x:c>
      <x:c r="D1302" s="14" t="str">
        <x:v>description</x:v>
      </x:c>
      <x:c r="E1302" s="20" t="b">
        <x:v>1</x:v>
      </x:c>
    </x:row>
    <x:row r="1303" ht="24" customHeight="1">
      <x:c r="A1303" s="14" t="str">
        <x:v>es-sanctuary-gyroulas-demeter-sanctuary-pleiades-599631-geometry</x:v>
      </x:c>
      <x:c r="B1303" s="14" t="str">
        <x:v>sanctuary-gyroulas-demeter-sanctuary</x:v>
      </x:c>
      <x:c r="C1303" s="14" t="str">
        <x:v>src-pleiades-599631</x:v>
      </x:c>
      <x:c r="D1303" s="14" t="str">
        <x:v>geometry</x:v>
      </x:c>
      <x:c r="E1303" s="20" t="b">
        <x:v>1</x:v>
      </x:c>
    </x:row>
    <x:row r="1304" ht="24" customHeight="1">
      <x:c r="A1304" s="14" t="str">
        <x:v>es-sanctuary-gyroulas-demeter-sanctuary-pleiades-599631-identity</x:v>
      </x:c>
      <x:c r="B1304" s="14" t="str">
        <x:v>sanctuary-gyroulas-demeter-sanctuary</x:v>
      </x:c>
      <x:c r="C1304" s="14" t="str">
        <x:v>src-pleiades-599631</x:v>
      </x:c>
      <x:c r="D1304" s="14" t="str">
        <x:v>identity</x:v>
      </x:c>
      <x:c r="E1304" s="20" t="b">
        <x:v>1</x:v>
      </x:c>
    </x:row>
    <x:row r="1305" ht="24" customHeight="1">
      <x:c r="A1305" s="14" t="str">
        <x:v>es-sanctuary-gyroulas-demeter-sanctuary-pleiades-599631-names</x:v>
      </x:c>
      <x:c r="B1305" s="14" t="str">
        <x:v>sanctuary-gyroulas-demeter-sanctuary</x:v>
      </x:c>
      <x:c r="C1305" s="14" t="str">
        <x:v>src-pleiades-599631</x:v>
      </x:c>
      <x:c r="D1305" s="14" t="str">
        <x:v>names</x:v>
      </x:c>
      <x:c r="E1305" s="20" t="b">
        <x:v>1</x:v>
      </x:c>
    </x:row>
    <x:row r="1306" ht="24" customHeight="1">
      <x:c r="A1306" s="14" t="str">
        <x:v>es-sanctuary-gyroulas-demeter-sanctuary-pleiades-599631-relationships</x:v>
      </x:c>
      <x:c r="B1306" s="14" t="str">
        <x:v>sanctuary-gyroulas-demeter-sanctuary</x:v>
      </x:c>
      <x:c r="C1306" s="14" t="str">
        <x:v>src-pleiades-599631</x:v>
      </x:c>
      <x:c r="D1306" s="14" t="str">
        <x:v>relationships</x:v>
      </x:c>
      <x:c r="E1306" s="20" t="b">
        <x:v>1</x:v>
      </x:c>
    </x:row>
    <x:row r="1307" ht="24" customHeight="1">
      <x:c r="A1307" s="14" t="str">
        <x:v>es-sanctuary-hierapolis-ploutonion-pleiades-232079424-chronology</x:v>
      </x:c>
      <x:c r="B1307" s="14" t="str">
        <x:v>sanctuary-hierapolis-ploutonion</x:v>
      </x:c>
      <x:c r="C1307" s="14" t="str">
        <x:v>src-pleiades-232079424</x:v>
      </x:c>
      <x:c r="D1307" s="14" t="str">
        <x:v>chronology</x:v>
      </x:c>
      <x:c r="E1307" s="20" t="b">
        <x:v>1</x:v>
      </x:c>
    </x:row>
    <x:row r="1308" ht="24" customHeight="1">
      <x:c r="A1308" s="14" t="str">
        <x:v>es-sanctuary-hierapolis-ploutonion-pleiades-232079424-classification</x:v>
      </x:c>
      <x:c r="B1308" s="14" t="str">
        <x:v>sanctuary-hierapolis-ploutonion</x:v>
      </x:c>
      <x:c r="C1308" s="14" t="str">
        <x:v>src-pleiades-232079424</x:v>
      </x:c>
      <x:c r="D1308" s="14" t="str">
        <x:v>classification</x:v>
      </x:c>
      <x:c r="E1308" s="20" t="b">
        <x:v>1</x:v>
      </x:c>
    </x:row>
    <x:row r="1309" ht="24" customHeight="1">
      <x:c r="A1309" s="14" t="str">
        <x:v>es-sanctuary-hierapolis-ploutonion-pleiades-232079424-description</x:v>
      </x:c>
      <x:c r="B1309" s="14" t="str">
        <x:v>sanctuary-hierapolis-ploutonion</x:v>
      </x:c>
      <x:c r="C1309" s="14" t="str">
        <x:v>src-pleiades-232079424</x:v>
      </x:c>
      <x:c r="D1309" s="14" t="str">
        <x:v>description</x:v>
      </x:c>
      <x:c r="E1309" s="20" t="b">
        <x:v>1</x:v>
      </x:c>
    </x:row>
    <x:row r="1310" ht="24" customHeight="1">
      <x:c r="A1310" s="14" t="str">
        <x:v>es-sanctuary-hierapolis-ploutonion-pleiades-232079424-geometry</x:v>
      </x:c>
      <x:c r="B1310" s="14" t="str">
        <x:v>sanctuary-hierapolis-ploutonion</x:v>
      </x:c>
      <x:c r="C1310" s="14" t="str">
        <x:v>src-pleiades-232079424</x:v>
      </x:c>
      <x:c r="D1310" s="14" t="str">
        <x:v>geometry</x:v>
      </x:c>
      <x:c r="E1310" s="20" t="b">
        <x:v>1</x:v>
      </x:c>
    </x:row>
    <x:row r="1311" ht="24" customHeight="1">
      <x:c r="A1311" s="14" t="str">
        <x:v>es-sanctuary-hierapolis-ploutonion-pleiades-232079424-identity</x:v>
      </x:c>
      <x:c r="B1311" s="14" t="str">
        <x:v>sanctuary-hierapolis-ploutonion</x:v>
      </x:c>
      <x:c r="C1311" s="14" t="str">
        <x:v>src-pleiades-232079424</x:v>
      </x:c>
      <x:c r="D1311" s="14" t="str">
        <x:v>identity</x:v>
      </x:c>
      <x:c r="E1311" s="20" t="b">
        <x:v>1</x:v>
      </x:c>
    </x:row>
    <x:row r="1312" ht="24" customHeight="1">
      <x:c r="A1312" s="14" t="str">
        <x:v>es-sanctuary-hierapolis-ploutonion-pleiades-232079424-names</x:v>
      </x:c>
      <x:c r="B1312" s="14" t="str">
        <x:v>sanctuary-hierapolis-ploutonion</x:v>
      </x:c>
      <x:c r="C1312" s="14" t="str">
        <x:v>src-pleiades-232079424</x:v>
      </x:c>
      <x:c r="D1312" s="14" t="str">
        <x:v>names</x:v>
      </x:c>
      <x:c r="E1312" s="20" t="b">
        <x:v>1</x:v>
      </x:c>
    </x:row>
    <x:row r="1313" ht="24" customHeight="1">
      <x:c r="A1313" s="14" t="str">
        <x:v>es-sanctuary-hierapolis-ploutonion-pleiades-232079424-relationships</x:v>
      </x:c>
      <x:c r="B1313" s="14" t="str">
        <x:v>sanctuary-hierapolis-ploutonion</x:v>
      </x:c>
      <x:c r="C1313" s="14" t="str">
        <x:v>src-pleiades-232079424</x:v>
      </x:c>
      <x:c r="D1313" s="14" t="str">
        <x:v>relationships</x:v>
      </x:c>
      <x:c r="E1313" s="20" t="b">
        <x:v>1</x:v>
      </x:c>
    </x:row>
    <x:row r="1314" ht="24" customHeight="1">
      <x:c r="A1314" s="14" t="str">
        <x:v>es-sanctuary-histria-sacred-zone-pleiades-216839-chronology</x:v>
      </x:c>
      <x:c r="B1314" s="14" t="str">
        <x:v>sanctuary-histria-sacred-zone</x:v>
      </x:c>
      <x:c r="C1314" s="14" t="str">
        <x:v>src-pleiades-216839</x:v>
      </x:c>
      <x:c r="D1314" s="14" t="str">
        <x:v>chronology</x:v>
      </x:c>
      <x:c r="E1314" s="20" t="b">
        <x:v>1</x:v>
      </x:c>
    </x:row>
    <x:row r="1315" ht="24" customHeight="1">
      <x:c r="A1315" s="14" t="str">
        <x:v>es-sanctuary-histria-sacred-zone-pleiades-216839-classification</x:v>
      </x:c>
      <x:c r="B1315" s="14" t="str">
        <x:v>sanctuary-histria-sacred-zone</x:v>
      </x:c>
      <x:c r="C1315" s="14" t="str">
        <x:v>src-pleiades-216839</x:v>
      </x:c>
      <x:c r="D1315" s="14" t="str">
        <x:v>classification</x:v>
      </x:c>
      <x:c r="E1315" s="20" t="b">
        <x:v>1</x:v>
      </x:c>
    </x:row>
    <x:row r="1316" ht="24" customHeight="1">
      <x:c r="A1316" s="14" t="str">
        <x:v>es-sanctuary-histria-sacred-zone-pleiades-216839-description</x:v>
      </x:c>
      <x:c r="B1316" s="14" t="str">
        <x:v>sanctuary-histria-sacred-zone</x:v>
      </x:c>
      <x:c r="C1316" s="14" t="str">
        <x:v>src-pleiades-216839</x:v>
      </x:c>
      <x:c r="D1316" s="14" t="str">
        <x:v>description</x:v>
      </x:c>
      <x:c r="E1316" s="20" t="b">
        <x:v>1</x:v>
      </x:c>
    </x:row>
    <x:row r="1317" ht="24" customHeight="1">
      <x:c r="A1317" s="14" t="str">
        <x:v>es-sanctuary-histria-sacred-zone-pleiades-216839-geometry</x:v>
      </x:c>
      <x:c r="B1317" s="14" t="str">
        <x:v>sanctuary-histria-sacred-zone</x:v>
      </x:c>
      <x:c r="C1317" s="14" t="str">
        <x:v>src-pleiades-216839</x:v>
      </x:c>
      <x:c r="D1317" s="14" t="str">
        <x:v>geometry</x:v>
      </x:c>
      <x:c r="E1317" s="20" t="b">
        <x:v>1</x:v>
      </x:c>
    </x:row>
    <x:row r="1318" ht="24" customHeight="1">
      <x:c r="A1318" s="14" t="str">
        <x:v>es-sanctuary-histria-sacred-zone-pleiades-216839-identity</x:v>
      </x:c>
      <x:c r="B1318" s="14" t="str">
        <x:v>sanctuary-histria-sacred-zone</x:v>
      </x:c>
      <x:c r="C1318" s="14" t="str">
        <x:v>src-pleiades-216839</x:v>
      </x:c>
      <x:c r="D1318" s="14" t="str">
        <x:v>identity</x:v>
      </x:c>
      <x:c r="E1318" s="20" t="b">
        <x:v>1</x:v>
      </x:c>
    </x:row>
    <x:row r="1319" ht="24" customHeight="1">
      <x:c r="A1319" s="14" t="str">
        <x:v>es-sanctuary-histria-sacred-zone-pleiades-216839-names</x:v>
      </x:c>
      <x:c r="B1319" s="14" t="str">
        <x:v>sanctuary-histria-sacred-zone</x:v>
      </x:c>
      <x:c r="C1319" s="14" t="str">
        <x:v>src-pleiades-216839</x:v>
      </x:c>
      <x:c r="D1319" s="14" t="str">
        <x:v>names</x:v>
      </x:c>
      <x:c r="E1319" s="20" t="b">
        <x:v>1</x:v>
      </x:c>
    </x:row>
    <x:row r="1320" ht="24" customHeight="1">
      <x:c r="A1320" s="14" t="str">
        <x:v>es-sanctuary-histria-sacred-zone-pleiades-216839-relationships</x:v>
      </x:c>
      <x:c r="B1320" s="14" t="str">
        <x:v>sanctuary-histria-sacred-zone</x:v>
      </x:c>
      <x:c r="C1320" s="14" t="str">
        <x:v>src-pleiades-216839</x:v>
      </x:c>
      <x:c r="D1320" s="14" t="str">
        <x:v>relationships</x:v>
      </x:c>
      <x:c r="E1320" s="20" t="b">
        <x:v>1</x:v>
      </x:c>
    </x:row>
    <x:row r="1321" ht="24" customHeight="1">
      <x:c r="A1321" s="14" t="str">
        <x:v>es-sanctuary-hyria-dionysos-sanctuary-pleiades-599661-chronology</x:v>
      </x:c>
      <x:c r="B1321" s="14" t="str">
        <x:v>sanctuary-hyria-dionysos-sanctuary</x:v>
      </x:c>
      <x:c r="C1321" s="14" t="str">
        <x:v>src-pleiades-599661</x:v>
      </x:c>
      <x:c r="D1321" s="14" t="str">
        <x:v>chronology</x:v>
      </x:c>
      <x:c r="E1321" s="20" t="b">
        <x:v>1</x:v>
      </x:c>
    </x:row>
    <x:row r="1322" ht="24" customHeight="1">
      <x:c r="A1322" s="14" t="str">
        <x:v>es-sanctuary-hyria-dionysos-sanctuary-pleiades-599661-classification</x:v>
      </x:c>
      <x:c r="B1322" s="14" t="str">
        <x:v>sanctuary-hyria-dionysos-sanctuary</x:v>
      </x:c>
      <x:c r="C1322" s="14" t="str">
        <x:v>src-pleiades-599661</x:v>
      </x:c>
      <x:c r="D1322" s="14" t="str">
        <x:v>classification</x:v>
      </x:c>
      <x:c r="E1322" s="20" t="b">
        <x:v>1</x:v>
      </x:c>
    </x:row>
    <x:row r="1323" ht="24" customHeight="1">
      <x:c r="A1323" s="14" t="str">
        <x:v>es-sanctuary-hyria-dionysos-sanctuary-pleiades-599661-description</x:v>
      </x:c>
      <x:c r="B1323" s="14" t="str">
        <x:v>sanctuary-hyria-dionysos-sanctuary</x:v>
      </x:c>
      <x:c r="C1323" s="14" t="str">
        <x:v>src-pleiades-599661</x:v>
      </x:c>
      <x:c r="D1323" s="14" t="str">
        <x:v>description</x:v>
      </x:c>
      <x:c r="E1323" s="20" t="b">
        <x:v>1</x:v>
      </x:c>
    </x:row>
    <x:row r="1324" ht="24" customHeight="1">
      <x:c r="A1324" s="14" t="str">
        <x:v>es-sanctuary-hyria-dionysos-sanctuary-pleiades-599661-geometry</x:v>
      </x:c>
      <x:c r="B1324" s="14" t="str">
        <x:v>sanctuary-hyria-dionysos-sanctuary</x:v>
      </x:c>
      <x:c r="C1324" s="14" t="str">
        <x:v>src-pleiades-599661</x:v>
      </x:c>
      <x:c r="D1324" s="14" t="str">
        <x:v>geometry</x:v>
      </x:c>
      <x:c r="E1324" s="20" t="b">
        <x:v>1</x:v>
      </x:c>
    </x:row>
    <x:row r="1325" ht="24" customHeight="1">
      <x:c r="A1325" s="14" t="str">
        <x:v>es-sanctuary-hyria-dionysos-sanctuary-pleiades-599661-identity</x:v>
      </x:c>
      <x:c r="B1325" s="14" t="str">
        <x:v>sanctuary-hyria-dionysos-sanctuary</x:v>
      </x:c>
      <x:c r="C1325" s="14" t="str">
        <x:v>src-pleiades-599661</x:v>
      </x:c>
      <x:c r="D1325" s="14" t="str">
        <x:v>identity</x:v>
      </x:c>
      <x:c r="E1325" s="20" t="b">
        <x:v>1</x:v>
      </x:c>
    </x:row>
    <x:row r="1326" ht="24" customHeight="1">
      <x:c r="A1326" s="14" t="str">
        <x:v>es-sanctuary-hyria-dionysos-sanctuary-pleiades-599661-names</x:v>
      </x:c>
      <x:c r="B1326" s="14" t="str">
        <x:v>sanctuary-hyria-dionysos-sanctuary</x:v>
      </x:c>
      <x:c r="C1326" s="14" t="str">
        <x:v>src-pleiades-599661</x:v>
      </x:c>
      <x:c r="D1326" s="14" t="str">
        <x:v>names</x:v>
      </x:c>
      <x:c r="E1326" s="20" t="b">
        <x:v>1</x:v>
      </x:c>
    </x:row>
    <x:row r="1327" ht="24" customHeight="1">
      <x:c r="A1327" s="14" t="str">
        <x:v>es-sanctuary-hyria-dionysos-sanctuary-pleiades-599661-relationships</x:v>
      </x:c>
      <x:c r="B1327" s="14" t="str">
        <x:v>sanctuary-hyria-dionysos-sanctuary</x:v>
      </x:c>
      <x:c r="C1327" s="14" t="str">
        <x:v>src-pleiades-599661</x:v>
      </x:c>
      <x:c r="D1327" s="14" t="str">
        <x:v>relationships</x:v>
      </x:c>
      <x:c r="E1327" s="20" t="b">
        <x:v>1</x:v>
      </x:c>
    </x:row>
    <x:row r="1328" ht="24" customHeight="1">
      <x:c r="A1328" s="14" t="str">
        <x:v>es-sanctuary-isthmia-poseidon-sanctuary-pleiades-570316-chronology</x:v>
      </x:c>
      <x:c r="B1328" s="14" t="str">
        <x:v>sanctuary-isthmia-poseidon-sanctuary</x:v>
      </x:c>
      <x:c r="C1328" s="14" t="str">
        <x:v>src-pleiades-570316</x:v>
      </x:c>
      <x:c r="D1328" s="14" t="str">
        <x:v>chronology</x:v>
      </x:c>
      <x:c r="E1328" s="20" t="b">
        <x:v>1</x:v>
      </x:c>
    </x:row>
    <x:row r="1329" ht="24" customHeight="1">
      <x:c r="A1329" s="14" t="str">
        <x:v>es-sanctuary-isthmia-poseidon-sanctuary-pleiades-570316-classification</x:v>
      </x:c>
      <x:c r="B1329" s="14" t="str">
        <x:v>sanctuary-isthmia-poseidon-sanctuary</x:v>
      </x:c>
      <x:c r="C1329" s="14" t="str">
        <x:v>src-pleiades-570316</x:v>
      </x:c>
      <x:c r="D1329" s="14" t="str">
        <x:v>classification</x:v>
      </x:c>
      <x:c r="E1329" s="20" t="b">
        <x:v>1</x:v>
      </x:c>
    </x:row>
    <x:row r="1330" ht="24" customHeight="1">
      <x:c r="A1330" s="14" t="str">
        <x:v>es-sanctuary-isthmia-poseidon-sanctuary-pleiades-570316-description</x:v>
      </x:c>
      <x:c r="B1330" s="14" t="str">
        <x:v>sanctuary-isthmia-poseidon-sanctuary</x:v>
      </x:c>
      <x:c r="C1330" s="14" t="str">
        <x:v>src-pleiades-570316</x:v>
      </x:c>
      <x:c r="D1330" s="14" t="str">
        <x:v>description</x:v>
      </x:c>
      <x:c r="E1330" s="20" t="b">
        <x:v>1</x:v>
      </x:c>
    </x:row>
    <x:row r="1331" ht="24" customHeight="1">
      <x:c r="A1331" s="14" t="str">
        <x:v>es-sanctuary-isthmia-poseidon-sanctuary-pleiades-570316-geometry</x:v>
      </x:c>
      <x:c r="B1331" s="14" t="str">
        <x:v>sanctuary-isthmia-poseidon-sanctuary</x:v>
      </x:c>
      <x:c r="C1331" s="14" t="str">
        <x:v>src-pleiades-570316</x:v>
      </x:c>
      <x:c r="D1331" s="14" t="str">
        <x:v>geometry</x:v>
      </x:c>
      <x:c r="E1331" s="20" t="b">
        <x:v>1</x:v>
      </x:c>
    </x:row>
    <x:row r="1332" ht="24" customHeight="1">
      <x:c r="A1332" s="14" t="str">
        <x:v>es-sanctuary-isthmia-poseidon-sanctuary-pleiades-570316-identity</x:v>
      </x:c>
      <x:c r="B1332" s="14" t="str">
        <x:v>sanctuary-isthmia-poseidon-sanctuary</x:v>
      </x:c>
      <x:c r="C1332" s="14" t="str">
        <x:v>src-pleiades-570316</x:v>
      </x:c>
      <x:c r="D1332" s="14" t="str">
        <x:v>identity</x:v>
      </x:c>
      <x:c r="E1332" s="20" t="b">
        <x:v>1</x:v>
      </x:c>
    </x:row>
    <x:row r="1333" ht="24" customHeight="1">
      <x:c r="A1333" s="14" t="str">
        <x:v>es-sanctuary-isthmia-poseidon-sanctuary-pleiades-570316-names</x:v>
      </x:c>
      <x:c r="B1333" s="14" t="str">
        <x:v>sanctuary-isthmia-poseidon-sanctuary</x:v>
      </x:c>
      <x:c r="C1333" s="14" t="str">
        <x:v>src-pleiades-570316</x:v>
      </x:c>
      <x:c r="D1333" s="14" t="str">
        <x:v>names</x:v>
      </x:c>
      <x:c r="E1333" s="20" t="b">
        <x:v>1</x:v>
      </x:c>
    </x:row>
    <x:row r="1334" ht="24" customHeight="1">
      <x:c r="A1334" s="14" t="str">
        <x:v>es-sanctuary-isthmia-poseidon-sanctuary-pleiades-570316-relationships</x:v>
      </x:c>
      <x:c r="B1334" s="14" t="str">
        <x:v>sanctuary-isthmia-poseidon-sanctuary</x:v>
      </x:c>
      <x:c r="C1334" s="14" t="str">
        <x:v>src-pleiades-570316</x:v>
      </x:c>
      <x:c r="D1334" s="14" t="str">
        <x:v>relationships</x:v>
      </x:c>
      <x:c r="E1334" s="20" t="b">
        <x:v>1</x:v>
      </x:c>
    </x:row>
    <x:row r="1335" ht="24" customHeight="1">
      <x:c r="A1335" s="14" t="str">
        <x:v>es-sanctuary-kalapodi-artemis-apollo-sanctuary-pleiades-955675680-chronology</x:v>
      </x:c>
      <x:c r="B1335" s="14" t="str">
        <x:v>sanctuary-kalapodi-artemis-apollo-sanctuary</x:v>
      </x:c>
      <x:c r="C1335" s="14" t="str">
        <x:v>src-pleiades-955675680</x:v>
      </x:c>
      <x:c r="D1335" s="14" t="str">
        <x:v>chronology</x:v>
      </x:c>
      <x:c r="E1335" s="20" t="b">
        <x:v>1</x:v>
      </x:c>
    </x:row>
    <x:row r="1336" ht="24" customHeight="1">
      <x:c r="A1336" s="14" t="str">
        <x:v>es-sanctuary-kalapodi-artemis-apollo-sanctuary-pleiades-955675680-classification</x:v>
      </x:c>
      <x:c r="B1336" s="14" t="str">
        <x:v>sanctuary-kalapodi-artemis-apollo-sanctuary</x:v>
      </x:c>
      <x:c r="C1336" s="14" t="str">
        <x:v>src-pleiades-955675680</x:v>
      </x:c>
      <x:c r="D1336" s="14" t="str">
        <x:v>classification</x:v>
      </x:c>
      <x:c r="E1336" s="20" t="b">
        <x:v>1</x:v>
      </x:c>
    </x:row>
    <x:row r="1337" ht="24" customHeight="1">
      <x:c r="A1337" s="14" t="str">
        <x:v>es-sanctuary-kalapodi-artemis-apollo-sanctuary-pleiades-955675680-description</x:v>
      </x:c>
      <x:c r="B1337" s="14" t="str">
        <x:v>sanctuary-kalapodi-artemis-apollo-sanctuary</x:v>
      </x:c>
      <x:c r="C1337" s="14" t="str">
        <x:v>src-pleiades-955675680</x:v>
      </x:c>
      <x:c r="D1337" s="14" t="str">
        <x:v>description</x:v>
      </x:c>
      <x:c r="E1337" s="20" t="b">
        <x:v>1</x:v>
      </x:c>
    </x:row>
    <x:row r="1338" ht="24" customHeight="1">
      <x:c r="A1338" s="14" t="str">
        <x:v>es-sanctuary-kalapodi-artemis-apollo-sanctuary-pleiades-955675680-geometry</x:v>
      </x:c>
      <x:c r="B1338" s="14" t="str">
        <x:v>sanctuary-kalapodi-artemis-apollo-sanctuary</x:v>
      </x:c>
      <x:c r="C1338" s="14" t="str">
        <x:v>src-pleiades-955675680</x:v>
      </x:c>
      <x:c r="D1338" s="14" t="str">
        <x:v>geometry</x:v>
      </x:c>
      <x:c r="E1338" s="20" t="b">
        <x:v>1</x:v>
      </x:c>
    </x:row>
    <x:row r="1339" ht="24" customHeight="1">
      <x:c r="A1339" s="14" t="str">
        <x:v>es-sanctuary-kalapodi-artemis-apollo-sanctuary-pleiades-955675680-identity</x:v>
      </x:c>
      <x:c r="B1339" s="14" t="str">
        <x:v>sanctuary-kalapodi-artemis-apollo-sanctuary</x:v>
      </x:c>
      <x:c r="C1339" s="14" t="str">
        <x:v>src-pleiades-955675680</x:v>
      </x:c>
      <x:c r="D1339" s="14" t="str">
        <x:v>identity</x:v>
      </x:c>
      <x:c r="E1339" s="20" t="b">
        <x:v>1</x:v>
      </x:c>
    </x:row>
    <x:row r="1340" ht="24" customHeight="1">
      <x:c r="A1340" s="14" t="str">
        <x:v>es-sanctuary-kalapodi-artemis-apollo-sanctuary-pleiades-955675680-names</x:v>
      </x:c>
      <x:c r="B1340" s="14" t="str">
        <x:v>sanctuary-kalapodi-artemis-apollo-sanctuary</x:v>
      </x:c>
      <x:c r="C1340" s="14" t="str">
        <x:v>src-pleiades-955675680</x:v>
      </x:c>
      <x:c r="D1340" s="14" t="str">
        <x:v>names</x:v>
      </x:c>
      <x:c r="E1340" s="20" t="b">
        <x:v>1</x:v>
      </x:c>
    </x:row>
    <x:row r="1341" ht="24" customHeight="1">
      <x:c r="A1341" s="14" t="str">
        <x:v>es-sanctuary-kalapodi-artemis-apollo-sanctuary-pleiades-955675680-relationships</x:v>
      </x:c>
      <x:c r="B1341" s="14" t="str">
        <x:v>sanctuary-kalapodi-artemis-apollo-sanctuary</x:v>
      </x:c>
      <x:c r="C1341" s="14" t="str">
        <x:v>src-pleiades-955675680</x:v>
      </x:c>
      <x:c r="D1341" s="14" t="str">
        <x:v>relationships</x:v>
      </x:c>
      <x:c r="E1341" s="20" t="b">
        <x:v>1</x:v>
      </x:c>
    </x:row>
    <x:row r="1342" ht="24" customHeight="1">
      <x:c r="A1342" s="14" t="str">
        <x:v>es-sanctuary-kos-asklepieion-pleiades-599528-chronology</x:v>
      </x:c>
      <x:c r="B1342" s="14" t="str">
        <x:v>sanctuary-kos-asklepieion</x:v>
      </x:c>
      <x:c r="C1342" s="14" t="str">
        <x:v>src-pleiades-599528</x:v>
      </x:c>
      <x:c r="D1342" s="14" t="str">
        <x:v>chronology</x:v>
      </x:c>
      <x:c r="E1342" s="20" t="b">
        <x:v>1</x:v>
      </x:c>
    </x:row>
    <x:row r="1343" ht="24" customHeight="1">
      <x:c r="A1343" s="14" t="str">
        <x:v>es-sanctuary-kos-asklepieion-pleiades-599528-classification</x:v>
      </x:c>
      <x:c r="B1343" s="14" t="str">
        <x:v>sanctuary-kos-asklepieion</x:v>
      </x:c>
      <x:c r="C1343" s="14" t="str">
        <x:v>src-pleiades-599528</x:v>
      </x:c>
      <x:c r="D1343" s="14" t="str">
        <x:v>classification</x:v>
      </x:c>
      <x:c r="E1343" s="20" t="b">
        <x:v>1</x:v>
      </x:c>
    </x:row>
    <x:row r="1344" ht="24" customHeight="1">
      <x:c r="A1344" s="14" t="str">
        <x:v>es-sanctuary-kos-asklepieion-pleiades-599528-description</x:v>
      </x:c>
      <x:c r="B1344" s="14" t="str">
        <x:v>sanctuary-kos-asklepieion</x:v>
      </x:c>
      <x:c r="C1344" s="14" t="str">
        <x:v>src-pleiades-599528</x:v>
      </x:c>
      <x:c r="D1344" s="14" t="str">
        <x:v>description</x:v>
      </x:c>
      <x:c r="E1344" s="20" t="b">
        <x:v>1</x:v>
      </x:c>
    </x:row>
    <x:row r="1345" ht="24" customHeight="1">
      <x:c r="A1345" s="14" t="str">
        <x:v>es-sanctuary-kos-asklepieion-pleiades-599528-geometry</x:v>
      </x:c>
      <x:c r="B1345" s="14" t="str">
        <x:v>sanctuary-kos-asklepieion</x:v>
      </x:c>
      <x:c r="C1345" s="14" t="str">
        <x:v>src-pleiades-599528</x:v>
      </x:c>
      <x:c r="D1345" s="14" t="str">
        <x:v>geometry</x:v>
      </x:c>
      <x:c r="E1345" s="20" t="b">
        <x:v>1</x:v>
      </x:c>
    </x:row>
    <x:row r="1346" ht="24" customHeight="1">
      <x:c r="A1346" s="14" t="str">
        <x:v>es-sanctuary-kos-asklepieion-pleiades-599528-identity</x:v>
      </x:c>
      <x:c r="B1346" s="14" t="str">
        <x:v>sanctuary-kos-asklepieion</x:v>
      </x:c>
      <x:c r="C1346" s="14" t="str">
        <x:v>src-pleiades-599528</x:v>
      </x:c>
      <x:c r="D1346" s="14" t="str">
        <x:v>identity</x:v>
      </x:c>
      <x:c r="E1346" s="20" t="b">
        <x:v>1</x:v>
      </x:c>
    </x:row>
    <x:row r="1347" ht="24" customHeight="1">
      <x:c r="A1347" s="14" t="str">
        <x:v>es-sanctuary-kos-asklepieion-pleiades-599528-names</x:v>
      </x:c>
      <x:c r="B1347" s="14" t="str">
        <x:v>sanctuary-kos-asklepieion</x:v>
      </x:c>
      <x:c r="C1347" s="14" t="str">
        <x:v>src-pleiades-599528</x:v>
      </x:c>
      <x:c r="D1347" s="14" t="str">
        <x:v>names</x:v>
      </x:c>
      <x:c r="E1347" s="20" t="b">
        <x:v>1</x:v>
      </x:c>
    </x:row>
    <x:row r="1348" ht="24" customHeight="1">
      <x:c r="A1348" s="14" t="str">
        <x:v>es-sanctuary-kos-asklepieion-pleiades-599528-relationships</x:v>
      </x:c>
      <x:c r="B1348" s="14" t="str">
        <x:v>sanctuary-kos-asklepieion</x:v>
      </x:c>
      <x:c r="C1348" s="14" t="str">
        <x:v>src-pleiades-599528</x:v>
      </x:c>
      <x:c r="D1348" s="14" t="str">
        <x:v>relationships</x:v>
      </x:c>
      <x:c r="E1348" s="20" t="b">
        <x:v>1</x:v>
      </x:c>
    </x:row>
    <x:row r="1349" ht="24" customHeight="1">
      <x:c r="A1349" s="14" t="str">
        <x:v>es-sanctuary-kourion-apollo-hylates-sanctuary-pleiades-707476-chronology</x:v>
      </x:c>
      <x:c r="B1349" s="14" t="str">
        <x:v>sanctuary-kourion-apollo-hylates-sanctuary</x:v>
      </x:c>
      <x:c r="C1349" s="14" t="str">
        <x:v>src-pleiades-707476</x:v>
      </x:c>
      <x:c r="D1349" s="14" t="str">
        <x:v>chronology</x:v>
      </x:c>
      <x:c r="E1349" s="20" t="b">
        <x:v>1</x:v>
      </x:c>
    </x:row>
    <x:row r="1350" ht="24" customHeight="1">
      <x:c r="A1350" s="14" t="str">
        <x:v>es-sanctuary-kourion-apollo-hylates-sanctuary-pleiades-707476-classification</x:v>
      </x:c>
      <x:c r="B1350" s="14" t="str">
        <x:v>sanctuary-kourion-apollo-hylates-sanctuary</x:v>
      </x:c>
      <x:c r="C1350" s="14" t="str">
        <x:v>src-pleiades-707476</x:v>
      </x:c>
      <x:c r="D1350" s="14" t="str">
        <x:v>classification</x:v>
      </x:c>
      <x:c r="E1350" s="20" t="b">
        <x:v>1</x:v>
      </x:c>
    </x:row>
    <x:row r="1351" ht="24" customHeight="1">
      <x:c r="A1351" s="14" t="str">
        <x:v>es-sanctuary-kourion-apollo-hylates-sanctuary-pleiades-707476-description</x:v>
      </x:c>
      <x:c r="B1351" s="14" t="str">
        <x:v>sanctuary-kourion-apollo-hylates-sanctuary</x:v>
      </x:c>
      <x:c r="C1351" s="14" t="str">
        <x:v>src-pleiades-707476</x:v>
      </x:c>
      <x:c r="D1351" s="14" t="str">
        <x:v>description</x:v>
      </x:c>
      <x:c r="E1351" s="20" t="b">
        <x:v>1</x:v>
      </x:c>
    </x:row>
    <x:row r="1352" ht="24" customHeight="1">
      <x:c r="A1352" s="14" t="str">
        <x:v>es-sanctuary-kourion-apollo-hylates-sanctuary-pleiades-707476-geometry</x:v>
      </x:c>
      <x:c r="B1352" s="14" t="str">
        <x:v>sanctuary-kourion-apollo-hylates-sanctuary</x:v>
      </x:c>
      <x:c r="C1352" s="14" t="str">
        <x:v>src-pleiades-707476</x:v>
      </x:c>
      <x:c r="D1352" s="14" t="str">
        <x:v>geometry</x:v>
      </x:c>
      <x:c r="E1352" s="20" t="b">
        <x:v>1</x:v>
      </x:c>
    </x:row>
    <x:row r="1353" ht="24" customHeight="1">
      <x:c r="A1353" s="14" t="str">
        <x:v>es-sanctuary-kourion-apollo-hylates-sanctuary-pleiades-707476-identity</x:v>
      </x:c>
      <x:c r="B1353" s="14" t="str">
        <x:v>sanctuary-kourion-apollo-hylates-sanctuary</x:v>
      </x:c>
      <x:c r="C1353" s="14" t="str">
        <x:v>src-pleiades-707476</x:v>
      </x:c>
      <x:c r="D1353" s="14" t="str">
        <x:v>identity</x:v>
      </x:c>
      <x:c r="E1353" s="20" t="b">
        <x:v>1</x:v>
      </x:c>
    </x:row>
    <x:row r="1354" ht="24" customHeight="1">
      <x:c r="A1354" s="14" t="str">
        <x:v>es-sanctuary-kourion-apollo-hylates-sanctuary-pleiades-707476-names</x:v>
      </x:c>
      <x:c r="B1354" s="14" t="str">
        <x:v>sanctuary-kourion-apollo-hylates-sanctuary</x:v>
      </x:c>
      <x:c r="C1354" s="14" t="str">
        <x:v>src-pleiades-707476</x:v>
      </x:c>
      <x:c r="D1354" s="14" t="str">
        <x:v>names</x:v>
      </x:c>
      <x:c r="E1354" s="20" t="b">
        <x:v>1</x:v>
      </x:c>
    </x:row>
    <x:row r="1355" ht="24" customHeight="1">
      <x:c r="A1355" s="14" t="str">
        <x:v>es-sanctuary-kourion-apollo-hylates-sanctuary-pleiades-707476-relationships</x:v>
      </x:c>
      <x:c r="B1355" s="14" t="str">
        <x:v>sanctuary-kourion-apollo-hylates-sanctuary</x:v>
      </x:c>
      <x:c r="C1355" s="14" t="str">
        <x:v>src-pleiades-707476</x:v>
      </x:c>
      <x:c r="D1355" s="14" t="str">
        <x:v>relationships</x:v>
      </x:c>
      <x:c r="E1355" s="20" t="b">
        <x:v>1</x:v>
      </x:c>
    </x:row>
    <x:row r="1356" ht="24" customHeight="1">
      <x:c r="A1356" s="14" t="str">
        <x:v>es-sanctuary-labraunda-zeus-sanctuary-pleiades-599745-chronology</x:v>
      </x:c>
      <x:c r="B1356" s="14" t="str">
        <x:v>sanctuary-labraunda-zeus-sanctuary</x:v>
      </x:c>
      <x:c r="C1356" s="14" t="str">
        <x:v>src-pleiades-599745</x:v>
      </x:c>
      <x:c r="D1356" s="14" t="str">
        <x:v>chronology</x:v>
      </x:c>
      <x:c r="E1356" s="20" t="b">
        <x:v>1</x:v>
      </x:c>
    </x:row>
    <x:row r="1357" ht="24" customHeight="1">
      <x:c r="A1357" s="14" t="str">
        <x:v>es-sanctuary-labraunda-zeus-sanctuary-pleiades-599745-classification</x:v>
      </x:c>
      <x:c r="B1357" s="14" t="str">
        <x:v>sanctuary-labraunda-zeus-sanctuary</x:v>
      </x:c>
      <x:c r="C1357" s="14" t="str">
        <x:v>src-pleiades-599745</x:v>
      </x:c>
      <x:c r="D1357" s="14" t="str">
        <x:v>classification</x:v>
      </x:c>
      <x:c r="E1357" s="20" t="b">
        <x:v>1</x:v>
      </x:c>
    </x:row>
    <x:row r="1358" ht="24" customHeight="1">
      <x:c r="A1358" s="14" t="str">
        <x:v>es-sanctuary-labraunda-zeus-sanctuary-pleiades-599745-description</x:v>
      </x:c>
      <x:c r="B1358" s="14" t="str">
        <x:v>sanctuary-labraunda-zeus-sanctuary</x:v>
      </x:c>
      <x:c r="C1358" s="14" t="str">
        <x:v>src-pleiades-599745</x:v>
      </x:c>
      <x:c r="D1358" s="14" t="str">
        <x:v>description</x:v>
      </x:c>
      <x:c r="E1358" s="20" t="b">
        <x:v>1</x:v>
      </x:c>
    </x:row>
    <x:row r="1359" ht="24" customHeight="1">
      <x:c r="A1359" s="14" t="str">
        <x:v>es-sanctuary-labraunda-zeus-sanctuary-pleiades-599745-geometry</x:v>
      </x:c>
      <x:c r="B1359" s="14" t="str">
        <x:v>sanctuary-labraunda-zeus-sanctuary</x:v>
      </x:c>
      <x:c r="C1359" s="14" t="str">
        <x:v>src-pleiades-599745</x:v>
      </x:c>
      <x:c r="D1359" s="14" t="str">
        <x:v>geometry</x:v>
      </x:c>
      <x:c r="E1359" s="20" t="b">
        <x:v>1</x:v>
      </x:c>
    </x:row>
    <x:row r="1360" ht="24" customHeight="1">
      <x:c r="A1360" s="14" t="str">
        <x:v>es-sanctuary-labraunda-zeus-sanctuary-pleiades-599745-identity</x:v>
      </x:c>
      <x:c r="B1360" s="14" t="str">
        <x:v>sanctuary-labraunda-zeus-sanctuary</x:v>
      </x:c>
      <x:c r="C1360" s="14" t="str">
        <x:v>src-pleiades-599745</x:v>
      </x:c>
      <x:c r="D1360" s="14" t="str">
        <x:v>identity</x:v>
      </x:c>
      <x:c r="E1360" s="20" t="b">
        <x:v>1</x:v>
      </x:c>
    </x:row>
    <x:row r="1361" ht="24" customHeight="1">
      <x:c r="A1361" s="14" t="str">
        <x:v>es-sanctuary-labraunda-zeus-sanctuary-pleiades-599745-names</x:v>
      </x:c>
      <x:c r="B1361" s="14" t="str">
        <x:v>sanctuary-labraunda-zeus-sanctuary</x:v>
      </x:c>
      <x:c r="C1361" s="14" t="str">
        <x:v>src-pleiades-599745</x:v>
      </x:c>
      <x:c r="D1361" s="14" t="str">
        <x:v>names</x:v>
      </x:c>
      <x:c r="E1361" s="20" t="b">
        <x:v>1</x:v>
      </x:c>
    </x:row>
    <x:row r="1362" ht="24" customHeight="1">
      <x:c r="A1362" s="14" t="str">
        <x:v>es-sanctuary-labraunda-zeus-sanctuary-pleiades-599745-relationships</x:v>
      </x:c>
      <x:c r="B1362" s="14" t="str">
        <x:v>sanctuary-labraunda-zeus-sanctuary</x:v>
      </x:c>
      <x:c r="C1362" s="14" t="str">
        <x:v>src-pleiades-599745</x:v>
      </x:c>
      <x:c r="D1362" s="14" t="str">
        <x:v>relationships</x:v>
      </x:c>
      <x:c r="E1362" s="20" t="b">
        <x:v>1</x:v>
      </x:c>
    </x:row>
    <x:row r="1363" ht="24" customHeight="1">
      <x:c r="A1363" s="14" t="str">
        <x:v>es-sanctuary-lagina-hekate-sanctuary-pleiades-376215160-chronology</x:v>
      </x:c>
      <x:c r="B1363" s="14" t="str">
        <x:v>sanctuary-lagina-hekate-sanctuary</x:v>
      </x:c>
      <x:c r="C1363" s="14" t="str">
        <x:v>src-pleiades-376215160</x:v>
      </x:c>
      <x:c r="D1363" s="14" t="str">
        <x:v>chronology</x:v>
      </x:c>
      <x:c r="E1363" s="20" t="b">
        <x:v>1</x:v>
      </x:c>
    </x:row>
    <x:row r="1364" ht="24" customHeight="1">
      <x:c r="A1364" s="14" t="str">
        <x:v>es-sanctuary-lagina-hekate-sanctuary-pleiades-376215160-classification</x:v>
      </x:c>
      <x:c r="B1364" s="14" t="str">
        <x:v>sanctuary-lagina-hekate-sanctuary</x:v>
      </x:c>
      <x:c r="C1364" s="14" t="str">
        <x:v>src-pleiades-376215160</x:v>
      </x:c>
      <x:c r="D1364" s="14" t="str">
        <x:v>classification</x:v>
      </x:c>
      <x:c r="E1364" s="20" t="b">
        <x:v>1</x:v>
      </x:c>
    </x:row>
    <x:row r="1365" ht="24" customHeight="1">
      <x:c r="A1365" s="14" t="str">
        <x:v>es-sanctuary-lagina-hekate-sanctuary-pleiades-376215160-description</x:v>
      </x:c>
      <x:c r="B1365" s="14" t="str">
        <x:v>sanctuary-lagina-hekate-sanctuary</x:v>
      </x:c>
      <x:c r="C1365" s="14" t="str">
        <x:v>src-pleiades-376215160</x:v>
      </x:c>
      <x:c r="D1365" s="14" t="str">
        <x:v>description</x:v>
      </x:c>
      <x:c r="E1365" s="20" t="b">
        <x:v>1</x:v>
      </x:c>
    </x:row>
    <x:row r="1366" ht="24" customHeight="1">
      <x:c r="A1366" s="14" t="str">
        <x:v>es-sanctuary-lagina-hekate-sanctuary-pleiades-376215160-geometry</x:v>
      </x:c>
      <x:c r="B1366" s="14" t="str">
        <x:v>sanctuary-lagina-hekate-sanctuary</x:v>
      </x:c>
      <x:c r="C1366" s="14" t="str">
        <x:v>src-pleiades-376215160</x:v>
      </x:c>
      <x:c r="D1366" s="14" t="str">
        <x:v>geometry</x:v>
      </x:c>
      <x:c r="E1366" s="20" t="b">
        <x:v>1</x:v>
      </x:c>
    </x:row>
    <x:row r="1367" ht="24" customHeight="1">
      <x:c r="A1367" s="14" t="str">
        <x:v>es-sanctuary-lagina-hekate-sanctuary-pleiades-376215160-identity</x:v>
      </x:c>
      <x:c r="B1367" s="14" t="str">
        <x:v>sanctuary-lagina-hekate-sanctuary</x:v>
      </x:c>
      <x:c r="C1367" s="14" t="str">
        <x:v>src-pleiades-376215160</x:v>
      </x:c>
      <x:c r="D1367" s="14" t="str">
        <x:v>identity</x:v>
      </x:c>
      <x:c r="E1367" s="20" t="b">
        <x:v>1</x:v>
      </x:c>
    </x:row>
    <x:row r="1368" ht="24" customHeight="1">
      <x:c r="A1368" s="14" t="str">
        <x:v>es-sanctuary-lagina-hekate-sanctuary-pleiades-376215160-names</x:v>
      </x:c>
      <x:c r="B1368" s="14" t="str">
        <x:v>sanctuary-lagina-hekate-sanctuary</x:v>
      </x:c>
      <x:c r="C1368" s="14" t="str">
        <x:v>src-pleiades-376215160</x:v>
      </x:c>
      <x:c r="D1368" s="14" t="str">
        <x:v>names</x:v>
      </x:c>
      <x:c r="E1368" s="20" t="b">
        <x:v>1</x:v>
      </x:c>
    </x:row>
    <x:row r="1369" ht="24" customHeight="1">
      <x:c r="A1369" s="14" t="str">
        <x:v>es-sanctuary-lagina-hekate-sanctuary-pleiades-376215160-relationships</x:v>
      </x:c>
      <x:c r="B1369" s="14" t="str">
        <x:v>sanctuary-lagina-hekate-sanctuary</x:v>
      </x:c>
      <x:c r="C1369" s="14" t="str">
        <x:v>src-pleiades-376215160</x:v>
      </x:c>
      <x:c r="D1369" s="14" t="str">
        <x:v>relationships</x:v>
      </x:c>
      <x:c r="E1369" s="20" t="b">
        <x:v>1</x:v>
      </x:c>
    </x:row>
    <x:row r="1370" ht="24" customHeight="1">
      <x:c r="A1370" s="14" t="str">
        <x:v>es-sanctuary-lemnos-kabeirion-pleiades-550604-chronology</x:v>
      </x:c>
      <x:c r="B1370" s="14" t="str">
        <x:v>sanctuary-lemnos-kabeirion</x:v>
      </x:c>
      <x:c r="C1370" s="14" t="str">
        <x:v>src-pleiades-550604</x:v>
      </x:c>
      <x:c r="D1370" s="14" t="str">
        <x:v>chronology</x:v>
      </x:c>
      <x:c r="E1370" s="20" t="b">
        <x:v>1</x:v>
      </x:c>
    </x:row>
    <x:row r="1371" ht="24" customHeight="1">
      <x:c r="A1371" s="14" t="str">
        <x:v>es-sanctuary-lemnos-kabeirion-pleiades-550604-classification</x:v>
      </x:c>
      <x:c r="B1371" s="14" t="str">
        <x:v>sanctuary-lemnos-kabeirion</x:v>
      </x:c>
      <x:c r="C1371" s="14" t="str">
        <x:v>src-pleiades-550604</x:v>
      </x:c>
      <x:c r="D1371" s="14" t="str">
        <x:v>classification</x:v>
      </x:c>
      <x:c r="E1371" s="20" t="b">
        <x:v>1</x:v>
      </x:c>
    </x:row>
    <x:row r="1372" ht="24" customHeight="1">
      <x:c r="A1372" s="14" t="str">
        <x:v>es-sanctuary-lemnos-kabeirion-pleiades-550604-description</x:v>
      </x:c>
      <x:c r="B1372" s="14" t="str">
        <x:v>sanctuary-lemnos-kabeirion</x:v>
      </x:c>
      <x:c r="C1372" s="14" t="str">
        <x:v>src-pleiades-550604</x:v>
      </x:c>
      <x:c r="D1372" s="14" t="str">
        <x:v>description</x:v>
      </x:c>
      <x:c r="E1372" s="20" t="b">
        <x:v>1</x:v>
      </x:c>
    </x:row>
    <x:row r="1373" ht="24" customHeight="1">
      <x:c r="A1373" s="14" t="str">
        <x:v>es-sanctuary-lemnos-kabeirion-pleiades-550604-geometry</x:v>
      </x:c>
      <x:c r="B1373" s="14" t="str">
        <x:v>sanctuary-lemnos-kabeirion</x:v>
      </x:c>
      <x:c r="C1373" s="14" t="str">
        <x:v>src-pleiades-550604</x:v>
      </x:c>
      <x:c r="D1373" s="14" t="str">
        <x:v>geometry</x:v>
      </x:c>
      <x:c r="E1373" s="20" t="b">
        <x:v>1</x:v>
      </x:c>
    </x:row>
    <x:row r="1374" ht="24" customHeight="1">
      <x:c r="A1374" s="14" t="str">
        <x:v>es-sanctuary-lemnos-kabeirion-pleiades-550604-identity</x:v>
      </x:c>
      <x:c r="B1374" s="14" t="str">
        <x:v>sanctuary-lemnos-kabeirion</x:v>
      </x:c>
      <x:c r="C1374" s="14" t="str">
        <x:v>src-pleiades-550604</x:v>
      </x:c>
      <x:c r="D1374" s="14" t="str">
        <x:v>identity</x:v>
      </x:c>
      <x:c r="E1374" s="20" t="b">
        <x:v>1</x:v>
      </x:c>
    </x:row>
    <x:row r="1375" ht="24" customHeight="1">
      <x:c r="A1375" s="14" t="str">
        <x:v>es-sanctuary-lemnos-kabeirion-pleiades-550604-names</x:v>
      </x:c>
      <x:c r="B1375" s="14" t="str">
        <x:v>sanctuary-lemnos-kabeirion</x:v>
      </x:c>
      <x:c r="C1375" s="14" t="str">
        <x:v>src-pleiades-550604</x:v>
      </x:c>
      <x:c r="D1375" s="14" t="str">
        <x:v>names</x:v>
      </x:c>
      <x:c r="E1375" s="20" t="b">
        <x:v>1</x:v>
      </x:c>
    </x:row>
    <x:row r="1376" ht="24" customHeight="1">
      <x:c r="A1376" s="14" t="str">
        <x:v>es-sanctuary-lemnos-kabeirion-pleiades-550604-relationships</x:v>
      </x:c>
      <x:c r="B1376" s="14" t="str">
        <x:v>sanctuary-lemnos-kabeirion</x:v>
      </x:c>
      <x:c r="C1376" s="14" t="str">
        <x:v>src-pleiades-550604</x:v>
      </x:c>
      <x:c r="D1376" s="14" t="str">
        <x:v>relationships</x:v>
      </x:c>
      <x:c r="E1376" s="20" t="b">
        <x:v>1</x:v>
      </x:c>
    </x:row>
    <x:row r="1377" ht="24" customHeight="1">
      <x:c r="A1377" s="14" t="str">
        <x:v>es-sanctuary-letoon-lycian-sanctuary-pleiades-638958-chronology</x:v>
      </x:c>
      <x:c r="B1377" s="14" t="str">
        <x:v>sanctuary-letoon-lycian-sanctuary</x:v>
      </x:c>
      <x:c r="C1377" s="14" t="str">
        <x:v>src-pleiades-638958</x:v>
      </x:c>
      <x:c r="D1377" s="14" t="str">
        <x:v>chronology</x:v>
      </x:c>
      <x:c r="E1377" s="20" t="b">
        <x:v>1</x:v>
      </x:c>
    </x:row>
    <x:row r="1378" ht="24" customHeight="1">
      <x:c r="A1378" s="14" t="str">
        <x:v>es-sanctuary-letoon-lycian-sanctuary-pleiades-638958-classification</x:v>
      </x:c>
      <x:c r="B1378" s="14" t="str">
        <x:v>sanctuary-letoon-lycian-sanctuary</x:v>
      </x:c>
      <x:c r="C1378" s="14" t="str">
        <x:v>src-pleiades-638958</x:v>
      </x:c>
      <x:c r="D1378" s="14" t="str">
        <x:v>classification</x:v>
      </x:c>
      <x:c r="E1378" s="20" t="b">
        <x:v>1</x:v>
      </x:c>
    </x:row>
    <x:row r="1379" ht="24" customHeight="1">
      <x:c r="A1379" s="14" t="str">
        <x:v>es-sanctuary-letoon-lycian-sanctuary-pleiades-638958-description</x:v>
      </x:c>
      <x:c r="B1379" s="14" t="str">
        <x:v>sanctuary-letoon-lycian-sanctuary</x:v>
      </x:c>
      <x:c r="C1379" s="14" t="str">
        <x:v>src-pleiades-638958</x:v>
      </x:c>
      <x:c r="D1379" s="14" t="str">
        <x:v>description</x:v>
      </x:c>
      <x:c r="E1379" s="20" t="b">
        <x:v>1</x:v>
      </x:c>
    </x:row>
    <x:row r="1380" ht="24" customHeight="1">
      <x:c r="A1380" s="14" t="str">
        <x:v>es-sanctuary-letoon-lycian-sanctuary-pleiades-638958-geometry</x:v>
      </x:c>
      <x:c r="B1380" s="14" t="str">
        <x:v>sanctuary-letoon-lycian-sanctuary</x:v>
      </x:c>
      <x:c r="C1380" s="14" t="str">
        <x:v>src-pleiades-638958</x:v>
      </x:c>
      <x:c r="D1380" s="14" t="str">
        <x:v>geometry</x:v>
      </x:c>
      <x:c r="E1380" s="20" t="b">
        <x:v>1</x:v>
      </x:c>
    </x:row>
    <x:row r="1381" ht="24" customHeight="1">
      <x:c r="A1381" s="14" t="str">
        <x:v>es-sanctuary-letoon-lycian-sanctuary-pleiades-638958-identity</x:v>
      </x:c>
      <x:c r="B1381" s="14" t="str">
        <x:v>sanctuary-letoon-lycian-sanctuary</x:v>
      </x:c>
      <x:c r="C1381" s="14" t="str">
        <x:v>src-pleiades-638958</x:v>
      </x:c>
      <x:c r="D1381" s="14" t="str">
        <x:v>identity</x:v>
      </x:c>
      <x:c r="E1381" s="20" t="b">
        <x:v>1</x:v>
      </x:c>
    </x:row>
    <x:row r="1382" ht="24" customHeight="1">
      <x:c r="A1382" s="14" t="str">
        <x:v>es-sanctuary-letoon-lycian-sanctuary-pleiades-638958-names</x:v>
      </x:c>
      <x:c r="B1382" s="14" t="str">
        <x:v>sanctuary-letoon-lycian-sanctuary</x:v>
      </x:c>
      <x:c r="C1382" s="14" t="str">
        <x:v>src-pleiades-638958</x:v>
      </x:c>
      <x:c r="D1382" s="14" t="str">
        <x:v>names</x:v>
      </x:c>
      <x:c r="E1382" s="20" t="b">
        <x:v>1</x:v>
      </x:c>
    </x:row>
    <x:row r="1383" ht="24" customHeight="1">
      <x:c r="A1383" s="14" t="str">
        <x:v>es-sanctuary-letoon-lycian-sanctuary-pleiades-638958-relationships</x:v>
      </x:c>
      <x:c r="B1383" s="14" t="str">
        <x:v>sanctuary-letoon-lycian-sanctuary</x:v>
      </x:c>
      <x:c r="C1383" s="14" t="str">
        <x:v>src-pleiades-638958</x:v>
      </x:c>
      <x:c r="D1383" s="14" t="str">
        <x:v>relationships</x:v>
      </x:c>
      <x:c r="E1383" s="20" t="b">
        <x:v>1</x:v>
      </x:c>
    </x:row>
    <x:row r="1384" ht="24" customHeight="1">
      <x:c r="A1384" s="14" t="str">
        <x:v>es-sanctuary-lindos-athena-sanctuary-pleiades-414067217-chronology</x:v>
      </x:c>
      <x:c r="B1384" s="14" t="str">
        <x:v>sanctuary-lindos-athena-sanctuary</x:v>
      </x:c>
      <x:c r="C1384" s="14" t="str">
        <x:v>src-pleiades-414067217</x:v>
      </x:c>
      <x:c r="D1384" s="14" t="str">
        <x:v>chronology</x:v>
      </x:c>
      <x:c r="E1384" s="20" t="b">
        <x:v>1</x:v>
      </x:c>
    </x:row>
    <x:row r="1385" ht="24" customHeight="1">
      <x:c r="A1385" s="14" t="str">
        <x:v>es-sanctuary-lindos-athena-sanctuary-pleiades-414067217-classification</x:v>
      </x:c>
      <x:c r="B1385" s="14" t="str">
        <x:v>sanctuary-lindos-athena-sanctuary</x:v>
      </x:c>
      <x:c r="C1385" s="14" t="str">
        <x:v>src-pleiades-414067217</x:v>
      </x:c>
      <x:c r="D1385" s="14" t="str">
        <x:v>classification</x:v>
      </x:c>
      <x:c r="E1385" s="20" t="b">
        <x:v>1</x:v>
      </x:c>
    </x:row>
    <x:row r="1386" ht="24" customHeight="1">
      <x:c r="A1386" s="14" t="str">
        <x:v>es-sanctuary-lindos-athena-sanctuary-pleiades-414067217-description</x:v>
      </x:c>
      <x:c r="B1386" s="14" t="str">
        <x:v>sanctuary-lindos-athena-sanctuary</x:v>
      </x:c>
      <x:c r="C1386" s="14" t="str">
        <x:v>src-pleiades-414067217</x:v>
      </x:c>
      <x:c r="D1386" s="14" t="str">
        <x:v>description</x:v>
      </x:c>
      <x:c r="E1386" s="20" t="b">
        <x:v>1</x:v>
      </x:c>
    </x:row>
    <x:row r="1387" ht="24" customHeight="1">
      <x:c r="A1387" s="14" t="str">
        <x:v>es-sanctuary-lindos-athena-sanctuary-pleiades-414067217-geometry</x:v>
      </x:c>
      <x:c r="B1387" s="14" t="str">
        <x:v>sanctuary-lindos-athena-sanctuary</x:v>
      </x:c>
      <x:c r="C1387" s="14" t="str">
        <x:v>src-pleiades-414067217</x:v>
      </x:c>
      <x:c r="D1387" s="14" t="str">
        <x:v>geometry</x:v>
      </x:c>
      <x:c r="E1387" s="20" t="b">
        <x:v>1</x:v>
      </x:c>
    </x:row>
    <x:row r="1388" ht="24" customHeight="1">
      <x:c r="A1388" s="14" t="str">
        <x:v>es-sanctuary-lindos-athena-sanctuary-pleiades-414067217-identity</x:v>
      </x:c>
      <x:c r="B1388" s="14" t="str">
        <x:v>sanctuary-lindos-athena-sanctuary</x:v>
      </x:c>
      <x:c r="C1388" s="14" t="str">
        <x:v>src-pleiades-414067217</x:v>
      </x:c>
      <x:c r="D1388" s="14" t="str">
        <x:v>identity</x:v>
      </x:c>
      <x:c r="E1388" s="20" t="b">
        <x:v>1</x:v>
      </x:c>
    </x:row>
    <x:row r="1389" ht="24" customHeight="1">
      <x:c r="A1389" s="14" t="str">
        <x:v>es-sanctuary-lindos-athena-sanctuary-pleiades-414067217-names</x:v>
      </x:c>
      <x:c r="B1389" s="14" t="str">
        <x:v>sanctuary-lindos-athena-sanctuary</x:v>
      </x:c>
      <x:c r="C1389" s="14" t="str">
        <x:v>src-pleiades-414067217</x:v>
      </x:c>
      <x:c r="D1389" s="14" t="str">
        <x:v>names</x:v>
      </x:c>
      <x:c r="E1389" s="20" t="b">
        <x:v>1</x:v>
      </x:c>
    </x:row>
    <x:row r="1390" ht="24" customHeight="1">
      <x:c r="A1390" s="14" t="str">
        <x:v>es-sanctuary-lindos-athena-sanctuary-pleiades-414067217-relationships</x:v>
      </x:c>
      <x:c r="B1390" s="14" t="str">
        <x:v>sanctuary-lindos-athena-sanctuary</x:v>
      </x:c>
      <x:c r="C1390" s="14" t="str">
        <x:v>src-pleiades-414067217</x:v>
      </x:c>
      <x:c r="D1390" s="14" t="str">
        <x:v>relationships</x:v>
      </x:c>
      <x:c r="E1390" s="20" t="b">
        <x:v>1</x:v>
      </x:c>
    </x:row>
    <x:row r="1391" ht="24" customHeight="1">
      <x:c r="A1391" s="14" t="str">
        <x:v>es-sanctuary-locri-mannella-persephone-sanctuary-museoarcheologicoreggiocalabria-a34e7a2bfa16-chronology</x:v>
      </x:c>
      <x:c r="B1391" s="14" t="str">
        <x:v>sanctuary-locri-mannella-persephone-sanctuary</x:v>
      </x:c>
      <x:c r="C1391" s="14" t="str">
        <x:v>src-museoarcheologicoreggiocalabria-a34e7a2bfa16</x:v>
      </x:c>
      <x:c r="D1391" s="14" t="str">
        <x:v>chronology</x:v>
      </x:c>
      <x:c r="E1391" s="20" t="b">
        <x:v>1</x:v>
      </x:c>
    </x:row>
    <x:row r="1392" ht="24" customHeight="1">
      <x:c r="A1392" s="14" t="str">
        <x:v>es-sanctuary-locri-mannella-persephone-sanctuary-museoarcheologicoreggiocalabria-a34e7a2bfa16-classification</x:v>
      </x:c>
      <x:c r="B1392" s="14" t="str">
        <x:v>sanctuary-locri-mannella-persephone-sanctuary</x:v>
      </x:c>
      <x:c r="C1392" s="14" t="str">
        <x:v>src-museoarcheologicoreggiocalabria-a34e7a2bfa16</x:v>
      </x:c>
      <x:c r="D1392" s="14" t="str">
        <x:v>classification</x:v>
      </x:c>
      <x:c r="E1392" s="20" t="b">
        <x:v>1</x:v>
      </x:c>
    </x:row>
    <x:row r="1393" ht="24" customHeight="1">
      <x:c r="A1393" s="14" t="str">
        <x:v>es-sanctuary-locri-mannella-persephone-sanctuary-museoarcheologicoreggiocalabria-a34e7a2bfa16-description</x:v>
      </x:c>
      <x:c r="B1393" s="14" t="str">
        <x:v>sanctuary-locri-mannella-persephone-sanctuary</x:v>
      </x:c>
      <x:c r="C1393" s="14" t="str">
        <x:v>src-museoarcheologicoreggiocalabria-a34e7a2bfa16</x:v>
      </x:c>
      <x:c r="D1393" s="14" t="str">
        <x:v>description</x:v>
      </x:c>
      <x:c r="E1393" s="20" t="b">
        <x:v>1</x:v>
      </x:c>
    </x:row>
    <x:row r="1394" ht="24" customHeight="1">
      <x:c r="A1394" s="14" t="str">
        <x:v>es-sanctuary-locri-mannella-persephone-sanctuary-museoarcheologicoreggiocalabria-a34e7a2bfa16-geometry</x:v>
      </x:c>
      <x:c r="B1394" s="14" t="str">
        <x:v>sanctuary-locri-mannella-persephone-sanctuary</x:v>
      </x:c>
      <x:c r="C1394" s="14" t="str">
        <x:v>src-museoarcheologicoreggiocalabria-a34e7a2bfa16</x:v>
      </x:c>
      <x:c r="D1394" s="14" t="str">
        <x:v>geometry</x:v>
      </x:c>
      <x:c r="E1394" s="20" t="b">
        <x:v>1</x:v>
      </x:c>
    </x:row>
    <x:row r="1395" ht="24" customHeight="1">
      <x:c r="A1395" s="14" t="str">
        <x:v>es-sanctuary-locri-mannella-persephone-sanctuary-museoarcheologicoreggiocalabria-a34e7a2bfa16-identity</x:v>
      </x:c>
      <x:c r="B1395" s="14" t="str">
        <x:v>sanctuary-locri-mannella-persephone-sanctuary</x:v>
      </x:c>
      <x:c r="C1395" s="14" t="str">
        <x:v>src-museoarcheologicoreggiocalabria-a34e7a2bfa16</x:v>
      </x:c>
      <x:c r="D1395" s="14" t="str">
        <x:v>identity</x:v>
      </x:c>
      <x:c r="E1395" s="20" t="b">
        <x:v>1</x:v>
      </x:c>
    </x:row>
    <x:row r="1396" ht="24" customHeight="1">
      <x:c r="A1396" s="14" t="str">
        <x:v>es-sanctuary-locri-mannella-persephone-sanctuary-museoarcheologicoreggiocalabria-a34e7a2bfa16-names</x:v>
      </x:c>
      <x:c r="B1396" s="14" t="str">
        <x:v>sanctuary-locri-mannella-persephone-sanctuary</x:v>
      </x:c>
      <x:c r="C1396" s="14" t="str">
        <x:v>src-museoarcheologicoreggiocalabria-a34e7a2bfa16</x:v>
      </x:c>
      <x:c r="D1396" s="14" t="str">
        <x:v>names</x:v>
      </x:c>
      <x:c r="E1396" s="20" t="b">
        <x:v>1</x:v>
      </x:c>
    </x:row>
    <x:row r="1397" ht="24" customHeight="1">
      <x:c r="A1397" s="14" t="str">
        <x:v>es-sanctuary-locri-mannella-persephone-sanctuary-museoarcheologicoreggiocalabria-a34e7a2bfa16-relationships</x:v>
      </x:c>
      <x:c r="B1397" s="14" t="str">
        <x:v>sanctuary-locri-mannella-persephone-sanctuary</x:v>
      </x:c>
      <x:c r="C1397" s="14" t="str">
        <x:v>src-museoarcheologicoreggiocalabria-a34e7a2bfa16</x:v>
      </x:c>
      <x:c r="D1397" s="14" t="str">
        <x:v>relationships</x:v>
      </x:c>
      <x:c r="E1397" s="20" t="b">
        <x:v>1</x:v>
      </x:c>
    </x:row>
    <x:row r="1398" ht="24" customHeight="1">
      <x:c r="A1398" s="14" t="str">
        <x:v>es-sanctuary-magnesia-artemis-leukophryene-pleiades-599778-chronology</x:v>
      </x:c>
      <x:c r="B1398" s="14" t="str">
        <x:v>sanctuary-magnesia-artemis-leukophryene</x:v>
      </x:c>
      <x:c r="C1398" s="14" t="str">
        <x:v>src-pleiades-599778</x:v>
      </x:c>
      <x:c r="D1398" s="14" t="str">
        <x:v>chronology</x:v>
      </x:c>
      <x:c r="E1398" s="20" t="b">
        <x:v>1</x:v>
      </x:c>
    </x:row>
    <x:row r="1399" ht="24" customHeight="1">
      <x:c r="A1399" s="14" t="str">
        <x:v>es-sanctuary-magnesia-artemis-leukophryene-pleiades-599778-classification</x:v>
      </x:c>
      <x:c r="B1399" s="14" t="str">
        <x:v>sanctuary-magnesia-artemis-leukophryene</x:v>
      </x:c>
      <x:c r="C1399" s="14" t="str">
        <x:v>src-pleiades-599778</x:v>
      </x:c>
      <x:c r="D1399" s="14" t="str">
        <x:v>classification</x:v>
      </x:c>
      <x:c r="E1399" s="20" t="b">
        <x:v>1</x:v>
      </x:c>
    </x:row>
    <x:row r="1400" ht="24" customHeight="1">
      <x:c r="A1400" s="14" t="str">
        <x:v>es-sanctuary-magnesia-artemis-leukophryene-pleiades-599778-description</x:v>
      </x:c>
      <x:c r="B1400" s="14" t="str">
        <x:v>sanctuary-magnesia-artemis-leukophryene</x:v>
      </x:c>
      <x:c r="C1400" s="14" t="str">
        <x:v>src-pleiades-599778</x:v>
      </x:c>
      <x:c r="D1400" s="14" t="str">
        <x:v>description</x:v>
      </x:c>
      <x:c r="E1400" s="20" t="b">
        <x:v>1</x:v>
      </x:c>
    </x:row>
    <x:row r="1401" ht="24" customHeight="1">
      <x:c r="A1401" s="14" t="str">
        <x:v>es-sanctuary-magnesia-artemis-leukophryene-pleiades-599778-geometry</x:v>
      </x:c>
      <x:c r="B1401" s="14" t="str">
        <x:v>sanctuary-magnesia-artemis-leukophryene</x:v>
      </x:c>
      <x:c r="C1401" s="14" t="str">
        <x:v>src-pleiades-599778</x:v>
      </x:c>
      <x:c r="D1401" s="14" t="str">
        <x:v>geometry</x:v>
      </x:c>
      <x:c r="E1401" s="20" t="b">
        <x:v>1</x:v>
      </x:c>
    </x:row>
    <x:row r="1402" ht="24" customHeight="1">
      <x:c r="A1402" s="14" t="str">
        <x:v>es-sanctuary-magnesia-artemis-leukophryene-pleiades-599778-identity</x:v>
      </x:c>
      <x:c r="B1402" s="14" t="str">
        <x:v>sanctuary-magnesia-artemis-leukophryene</x:v>
      </x:c>
      <x:c r="C1402" s="14" t="str">
        <x:v>src-pleiades-599778</x:v>
      </x:c>
      <x:c r="D1402" s="14" t="str">
        <x:v>identity</x:v>
      </x:c>
      <x:c r="E1402" s="20" t="b">
        <x:v>1</x:v>
      </x:c>
    </x:row>
    <x:row r="1403" ht="24" customHeight="1">
      <x:c r="A1403" s="14" t="str">
        <x:v>es-sanctuary-magnesia-artemis-leukophryene-pleiades-599778-names</x:v>
      </x:c>
      <x:c r="B1403" s="14" t="str">
        <x:v>sanctuary-magnesia-artemis-leukophryene</x:v>
      </x:c>
      <x:c r="C1403" s="14" t="str">
        <x:v>src-pleiades-599778</x:v>
      </x:c>
      <x:c r="D1403" s="14" t="str">
        <x:v>names</x:v>
      </x:c>
      <x:c r="E1403" s="20" t="b">
        <x:v>1</x:v>
      </x:c>
    </x:row>
    <x:row r="1404" ht="24" customHeight="1">
      <x:c r="A1404" s="14" t="str">
        <x:v>es-sanctuary-magnesia-artemis-leukophryene-pleiades-599778-relationships</x:v>
      </x:c>
      <x:c r="B1404" s="14" t="str">
        <x:v>sanctuary-magnesia-artemis-leukophryene</x:v>
      </x:c>
      <x:c r="C1404" s="14" t="str">
        <x:v>src-pleiades-599778</x:v>
      </x:c>
      <x:c r="D1404" s="14" t="str">
        <x:v>relationships</x:v>
      </x:c>
      <x:c r="E1404" s="20" t="b">
        <x:v>1</x:v>
      </x:c>
    </x:row>
    <x:row r="1405" ht="24" customHeight="1">
      <x:c r="A1405" s="14" t="str">
        <x:v>es-sanctuary-menelaion-sparta-pleiades-570477-chronology</x:v>
      </x:c>
      <x:c r="B1405" s="14" t="str">
        <x:v>sanctuary-menelaion-sparta</x:v>
      </x:c>
      <x:c r="C1405" s="14" t="str">
        <x:v>src-pleiades-570477</x:v>
      </x:c>
      <x:c r="D1405" s="14" t="str">
        <x:v>chronology</x:v>
      </x:c>
      <x:c r="E1405" s="20" t="b">
        <x:v>1</x:v>
      </x:c>
    </x:row>
    <x:row r="1406" ht="24" customHeight="1">
      <x:c r="A1406" s="14" t="str">
        <x:v>es-sanctuary-menelaion-sparta-pleiades-570477-classification</x:v>
      </x:c>
      <x:c r="B1406" s="14" t="str">
        <x:v>sanctuary-menelaion-sparta</x:v>
      </x:c>
      <x:c r="C1406" s="14" t="str">
        <x:v>src-pleiades-570477</x:v>
      </x:c>
      <x:c r="D1406" s="14" t="str">
        <x:v>classification</x:v>
      </x:c>
      <x:c r="E1406" s="20" t="b">
        <x:v>1</x:v>
      </x:c>
    </x:row>
    <x:row r="1407" ht="24" customHeight="1">
      <x:c r="A1407" s="14" t="str">
        <x:v>es-sanctuary-menelaion-sparta-pleiades-570477-description</x:v>
      </x:c>
      <x:c r="B1407" s="14" t="str">
        <x:v>sanctuary-menelaion-sparta</x:v>
      </x:c>
      <x:c r="C1407" s="14" t="str">
        <x:v>src-pleiades-570477</x:v>
      </x:c>
      <x:c r="D1407" s="14" t="str">
        <x:v>description</x:v>
      </x:c>
      <x:c r="E1407" s="20" t="b">
        <x:v>1</x:v>
      </x:c>
    </x:row>
    <x:row r="1408" ht="24" customHeight="1">
      <x:c r="A1408" s="14" t="str">
        <x:v>es-sanctuary-menelaion-sparta-pleiades-570477-geometry</x:v>
      </x:c>
      <x:c r="B1408" s="14" t="str">
        <x:v>sanctuary-menelaion-sparta</x:v>
      </x:c>
      <x:c r="C1408" s="14" t="str">
        <x:v>src-pleiades-570477</x:v>
      </x:c>
      <x:c r="D1408" s="14" t="str">
        <x:v>geometry</x:v>
      </x:c>
      <x:c r="E1408" s="20" t="b">
        <x:v>1</x:v>
      </x:c>
    </x:row>
    <x:row r="1409" ht="24" customHeight="1">
      <x:c r="A1409" s="14" t="str">
        <x:v>es-sanctuary-menelaion-sparta-pleiades-570477-identity</x:v>
      </x:c>
      <x:c r="B1409" s="14" t="str">
        <x:v>sanctuary-menelaion-sparta</x:v>
      </x:c>
      <x:c r="C1409" s="14" t="str">
        <x:v>src-pleiades-570477</x:v>
      </x:c>
      <x:c r="D1409" s="14" t="str">
        <x:v>identity</x:v>
      </x:c>
      <x:c r="E1409" s="20" t="b">
        <x:v>1</x:v>
      </x:c>
    </x:row>
    <x:row r="1410" ht="24" customHeight="1">
      <x:c r="A1410" s="14" t="str">
        <x:v>es-sanctuary-menelaion-sparta-pleiades-570477-names</x:v>
      </x:c>
      <x:c r="B1410" s="14" t="str">
        <x:v>sanctuary-menelaion-sparta</x:v>
      </x:c>
      <x:c r="C1410" s="14" t="str">
        <x:v>src-pleiades-570477</x:v>
      </x:c>
      <x:c r="D1410" s="14" t="str">
        <x:v>names</x:v>
      </x:c>
      <x:c r="E1410" s="20" t="b">
        <x:v>1</x:v>
      </x:c>
    </x:row>
    <x:row r="1411" ht="24" customHeight="1">
      <x:c r="A1411" s="14" t="str">
        <x:v>es-sanctuary-menelaion-sparta-pleiades-570477-relationships</x:v>
      </x:c>
      <x:c r="B1411" s="14" t="str">
        <x:v>sanctuary-menelaion-sparta</x:v>
      </x:c>
      <x:c r="C1411" s="14" t="str">
        <x:v>src-pleiades-570477</x:v>
      </x:c>
      <x:c r="D1411" s="14" t="str">
        <x:v>relationships</x:v>
      </x:c>
      <x:c r="E1411" s="20" t="b">
        <x:v>1</x:v>
      </x:c>
    </x:row>
    <x:row r="1412" ht="24" customHeight="1">
      <x:c r="A1412" s="14" t="str">
        <x:v>es-sanctuary-metapontum-tavole-palatine-heraion-pleiades-442611-chronology</x:v>
      </x:c>
      <x:c r="B1412" s="14" t="str">
        <x:v>sanctuary-metapontum-tavole-palatine-heraion</x:v>
      </x:c>
      <x:c r="C1412" s="14" t="str">
        <x:v>src-pleiades-442611</x:v>
      </x:c>
      <x:c r="D1412" s="14" t="str">
        <x:v>chronology</x:v>
      </x:c>
      <x:c r="E1412" s="20" t="b">
        <x:v>1</x:v>
      </x:c>
    </x:row>
    <x:row r="1413" ht="24" customHeight="1">
      <x:c r="A1413" s="14" t="str">
        <x:v>es-sanctuary-metapontum-tavole-palatine-heraion-pleiades-442611-classification</x:v>
      </x:c>
      <x:c r="B1413" s="14" t="str">
        <x:v>sanctuary-metapontum-tavole-palatine-heraion</x:v>
      </x:c>
      <x:c r="C1413" s="14" t="str">
        <x:v>src-pleiades-442611</x:v>
      </x:c>
      <x:c r="D1413" s="14" t="str">
        <x:v>classification</x:v>
      </x:c>
      <x:c r="E1413" s="20" t="b">
        <x:v>1</x:v>
      </x:c>
    </x:row>
    <x:row r="1414" ht="24" customHeight="1">
      <x:c r="A1414" s="14" t="str">
        <x:v>es-sanctuary-metapontum-tavole-palatine-heraion-pleiades-442611-description</x:v>
      </x:c>
      <x:c r="B1414" s="14" t="str">
        <x:v>sanctuary-metapontum-tavole-palatine-heraion</x:v>
      </x:c>
      <x:c r="C1414" s="14" t="str">
        <x:v>src-pleiades-442611</x:v>
      </x:c>
      <x:c r="D1414" s="14" t="str">
        <x:v>description</x:v>
      </x:c>
      <x:c r="E1414" s="20" t="b">
        <x:v>1</x:v>
      </x:c>
    </x:row>
    <x:row r="1415" ht="24" customHeight="1">
      <x:c r="A1415" s="14" t="str">
        <x:v>es-sanctuary-metapontum-tavole-palatine-heraion-pleiades-442611-geometry</x:v>
      </x:c>
      <x:c r="B1415" s="14" t="str">
        <x:v>sanctuary-metapontum-tavole-palatine-heraion</x:v>
      </x:c>
      <x:c r="C1415" s="14" t="str">
        <x:v>src-pleiades-442611</x:v>
      </x:c>
      <x:c r="D1415" s="14" t="str">
        <x:v>geometry</x:v>
      </x:c>
      <x:c r="E1415" s="20" t="b">
        <x:v>1</x:v>
      </x:c>
    </x:row>
    <x:row r="1416" ht="24" customHeight="1">
      <x:c r="A1416" s="14" t="str">
        <x:v>es-sanctuary-metapontum-tavole-palatine-heraion-pleiades-442611-identity</x:v>
      </x:c>
      <x:c r="B1416" s="14" t="str">
        <x:v>sanctuary-metapontum-tavole-palatine-heraion</x:v>
      </x:c>
      <x:c r="C1416" s="14" t="str">
        <x:v>src-pleiades-442611</x:v>
      </x:c>
      <x:c r="D1416" s="14" t="str">
        <x:v>identity</x:v>
      </x:c>
      <x:c r="E1416" s="20" t="b">
        <x:v>1</x:v>
      </x:c>
    </x:row>
    <x:row r="1417" ht="24" customHeight="1">
      <x:c r="A1417" s="14" t="str">
        <x:v>es-sanctuary-metapontum-tavole-palatine-heraion-pleiades-442611-names</x:v>
      </x:c>
      <x:c r="B1417" s="14" t="str">
        <x:v>sanctuary-metapontum-tavole-palatine-heraion</x:v>
      </x:c>
      <x:c r="C1417" s="14" t="str">
        <x:v>src-pleiades-442611</x:v>
      </x:c>
      <x:c r="D1417" s="14" t="str">
        <x:v>names</x:v>
      </x:c>
      <x:c r="E1417" s="20" t="b">
        <x:v>1</x:v>
      </x:c>
    </x:row>
    <x:row r="1418" ht="24" customHeight="1">
      <x:c r="A1418" s="14" t="str">
        <x:v>es-sanctuary-metapontum-tavole-palatine-heraion-pleiades-442611-relationships</x:v>
      </x:c>
      <x:c r="B1418" s="14" t="str">
        <x:v>sanctuary-metapontum-tavole-palatine-heraion</x:v>
      </x:c>
      <x:c r="C1418" s="14" t="str">
        <x:v>src-pleiades-442611</x:v>
      </x:c>
      <x:c r="D1418" s="14" t="str">
        <x:v>relationships</x:v>
      </x:c>
      <x:c r="E1418" s="20" t="b">
        <x:v>1</x:v>
      </x:c>
    </x:row>
    <x:row r="1419" ht="24" customHeight="1">
      <x:c r="A1419" s="14" t="str">
        <x:v>es-sanctuary-mount-lykaion-zeus-sanctuary-pleiades-570764-chronology</x:v>
      </x:c>
      <x:c r="B1419" s="14" t="str">
        <x:v>sanctuary-mount-lykaion-zeus-sanctuary</x:v>
      </x:c>
      <x:c r="C1419" s="14" t="str">
        <x:v>src-pleiades-570764</x:v>
      </x:c>
      <x:c r="D1419" s="14" t="str">
        <x:v>chronology</x:v>
      </x:c>
      <x:c r="E1419" s="20" t="b">
        <x:v>1</x:v>
      </x:c>
    </x:row>
    <x:row r="1420" ht="24" customHeight="1">
      <x:c r="A1420" s="14" t="str">
        <x:v>es-sanctuary-mount-lykaion-zeus-sanctuary-pleiades-570764-classification</x:v>
      </x:c>
      <x:c r="B1420" s="14" t="str">
        <x:v>sanctuary-mount-lykaion-zeus-sanctuary</x:v>
      </x:c>
      <x:c r="C1420" s="14" t="str">
        <x:v>src-pleiades-570764</x:v>
      </x:c>
      <x:c r="D1420" s="14" t="str">
        <x:v>classification</x:v>
      </x:c>
      <x:c r="E1420" s="20" t="b">
        <x:v>1</x:v>
      </x:c>
    </x:row>
    <x:row r="1421" ht="24" customHeight="1">
      <x:c r="A1421" s="14" t="str">
        <x:v>es-sanctuary-mount-lykaion-zeus-sanctuary-pleiades-570764-description</x:v>
      </x:c>
      <x:c r="B1421" s="14" t="str">
        <x:v>sanctuary-mount-lykaion-zeus-sanctuary</x:v>
      </x:c>
      <x:c r="C1421" s="14" t="str">
        <x:v>src-pleiades-570764</x:v>
      </x:c>
      <x:c r="D1421" s="14" t="str">
        <x:v>description</x:v>
      </x:c>
      <x:c r="E1421" s="20" t="b">
        <x:v>1</x:v>
      </x:c>
    </x:row>
    <x:row r="1422" ht="24" customHeight="1">
      <x:c r="A1422" s="14" t="str">
        <x:v>es-sanctuary-mount-lykaion-zeus-sanctuary-pleiades-570764-geometry</x:v>
      </x:c>
      <x:c r="B1422" s="14" t="str">
        <x:v>sanctuary-mount-lykaion-zeus-sanctuary</x:v>
      </x:c>
      <x:c r="C1422" s="14" t="str">
        <x:v>src-pleiades-570764</x:v>
      </x:c>
      <x:c r="D1422" s="14" t="str">
        <x:v>geometry</x:v>
      </x:c>
      <x:c r="E1422" s="20" t="b">
        <x:v>1</x:v>
      </x:c>
    </x:row>
    <x:row r="1423" ht="24" customHeight="1">
      <x:c r="A1423" s="14" t="str">
        <x:v>es-sanctuary-mount-lykaion-zeus-sanctuary-pleiades-570764-identity</x:v>
      </x:c>
      <x:c r="B1423" s="14" t="str">
        <x:v>sanctuary-mount-lykaion-zeus-sanctuary</x:v>
      </x:c>
      <x:c r="C1423" s="14" t="str">
        <x:v>src-pleiades-570764</x:v>
      </x:c>
      <x:c r="D1423" s="14" t="str">
        <x:v>identity</x:v>
      </x:c>
      <x:c r="E1423" s="20" t="b">
        <x:v>1</x:v>
      </x:c>
    </x:row>
    <x:row r="1424" ht="24" customHeight="1">
      <x:c r="A1424" s="14" t="str">
        <x:v>es-sanctuary-mount-lykaion-zeus-sanctuary-pleiades-570764-names</x:v>
      </x:c>
      <x:c r="B1424" s="14" t="str">
        <x:v>sanctuary-mount-lykaion-zeus-sanctuary</x:v>
      </x:c>
      <x:c r="C1424" s="14" t="str">
        <x:v>src-pleiades-570764</x:v>
      </x:c>
      <x:c r="D1424" s="14" t="str">
        <x:v>names</x:v>
      </x:c>
      <x:c r="E1424" s="20" t="b">
        <x:v>1</x:v>
      </x:c>
    </x:row>
    <x:row r="1425" ht="24" customHeight="1">
      <x:c r="A1425" s="14" t="str">
        <x:v>es-sanctuary-mount-lykaion-zeus-sanctuary-pleiades-570764-relationships</x:v>
      </x:c>
      <x:c r="B1425" s="14" t="str">
        <x:v>sanctuary-mount-lykaion-zeus-sanctuary</x:v>
      </x:c>
      <x:c r="C1425" s="14" t="str">
        <x:v>src-pleiades-570764</x:v>
      </x:c>
      <x:c r="D1425" s="14" t="str">
        <x:v>relationships</x:v>
      </x:c>
      <x:c r="E1425" s="20" t="b">
        <x:v>1</x:v>
      </x:c>
    </x:row>
    <x:row r="1426" ht="24" customHeight="1">
      <x:c r="A1426" s="14" t="str">
        <x:v>es-sanctuary-naukratis-hellenion-britishmuseum-4626abd5cbdd-chronology</x:v>
      </x:c>
      <x:c r="B1426" s="14" t="str">
        <x:v>sanctuary-naukratis-hellenion</x:v>
      </x:c>
      <x:c r="C1426" s="14" t="str">
        <x:v>src-britishmuseum-4626abd5cbdd</x:v>
      </x:c>
      <x:c r="D1426" s="14" t="str">
        <x:v>chronology</x:v>
      </x:c>
      <x:c r="E1426" s="20" t="b">
        <x:v>1</x:v>
      </x:c>
    </x:row>
    <x:row r="1427" ht="24" customHeight="1">
      <x:c r="A1427" s="14" t="str">
        <x:v>es-sanctuary-naukratis-hellenion-britishmuseum-4626abd5cbdd-classification</x:v>
      </x:c>
      <x:c r="B1427" s="14" t="str">
        <x:v>sanctuary-naukratis-hellenion</x:v>
      </x:c>
      <x:c r="C1427" s="14" t="str">
        <x:v>src-britishmuseum-4626abd5cbdd</x:v>
      </x:c>
      <x:c r="D1427" s="14" t="str">
        <x:v>classification</x:v>
      </x:c>
      <x:c r="E1427" s="20" t="b">
        <x:v>1</x:v>
      </x:c>
    </x:row>
    <x:row r="1428" ht="24" customHeight="1">
      <x:c r="A1428" s="14" t="str">
        <x:v>es-sanctuary-naukratis-hellenion-britishmuseum-4626abd5cbdd-description</x:v>
      </x:c>
      <x:c r="B1428" s="14" t="str">
        <x:v>sanctuary-naukratis-hellenion</x:v>
      </x:c>
      <x:c r="C1428" s="14" t="str">
        <x:v>src-britishmuseum-4626abd5cbdd</x:v>
      </x:c>
      <x:c r="D1428" s="14" t="str">
        <x:v>description</x:v>
      </x:c>
      <x:c r="E1428" s="20" t="b">
        <x:v>1</x:v>
      </x:c>
    </x:row>
    <x:row r="1429" ht="24" customHeight="1">
      <x:c r="A1429" s="14" t="str">
        <x:v>es-sanctuary-naukratis-hellenion-britishmuseum-4626abd5cbdd-geometry</x:v>
      </x:c>
      <x:c r="B1429" s="14" t="str">
        <x:v>sanctuary-naukratis-hellenion</x:v>
      </x:c>
      <x:c r="C1429" s="14" t="str">
        <x:v>src-britishmuseum-4626abd5cbdd</x:v>
      </x:c>
      <x:c r="D1429" s="14" t="str">
        <x:v>geometry</x:v>
      </x:c>
      <x:c r="E1429" s="20" t="b">
        <x:v>1</x:v>
      </x:c>
    </x:row>
    <x:row r="1430" ht="24" customHeight="1">
      <x:c r="A1430" s="14" t="str">
        <x:v>es-sanctuary-naukratis-hellenion-britishmuseum-4626abd5cbdd-identity</x:v>
      </x:c>
      <x:c r="B1430" s="14" t="str">
        <x:v>sanctuary-naukratis-hellenion</x:v>
      </x:c>
      <x:c r="C1430" s="14" t="str">
        <x:v>src-britishmuseum-4626abd5cbdd</x:v>
      </x:c>
      <x:c r="D1430" s="14" t="str">
        <x:v>identity</x:v>
      </x:c>
      <x:c r="E1430" s="20" t="b">
        <x:v>1</x:v>
      </x:c>
    </x:row>
    <x:row r="1431" ht="24" customHeight="1">
      <x:c r="A1431" s="14" t="str">
        <x:v>es-sanctuary-naukratis-hellenion-britishmuseum-4626abd5cbdd-names</x:v>
      </x:c>
      <x:c r="B1431" s="14" t="str">
        <x:v>sanctuary-naukratis-hellenion</x:v>
      </x:c>
      <x:c r="C1431" s="14" t="str">
        <x:v>src-britishmuseum-4626abd5cbdd</x:v>
      </x:c>
      <x:c r="D1431" s="14" t="str">
        <x:v>names</x:v>
      </x:c>
      <x:c r="E1431" s="20" t="b">
        <x:v>1</x:v>
      </x:c>
    </x:row>
    <x:row r="1432" ht="24" customHeight="1">
      <x:c r="A1432" s="14" t="str">
        <x:v>es-sanctuary-naukratis-hellenion-britishmuseum-4626abd5cbdd-relationships</x:v>
      </x:c>
      <x:c r="B1432" s="14" t="str">
        <x:v>sanctuary-naukratis-hellenion</x:v>
      </x:c>
      <x:c r="C1432" s="14" t="str">
        <x:v>src-britishmuseum-4626abd5cbdd</x:v>
      </x:c>
      <x:c r="D1432" s="14" t="str">
        <x:v>relationships</x:v>
      </x:c>
      <x:c r="E1432" s="20" t="b">
        <x:v>1</x:v>
      </x:c>
    </x:row>
    <x:row r="1433" ht="24" customHeight="1">
      <x:c r="A1433" s="14" t="str">
        <x:v>es-sanctuary-nemea-zeus-sanctuary-pleiades-570504-chronology</x:v>
      </x:c>
      <x:c r="B1433" s="14" t="str">
        <x:v>sanctuary-nemea-zeus-sanctuary</x:v>
      </x:c>
      <x:c r="C1433" s="14" t="str">
        <x:v>src-pleiades-570504</x:v>
      </x:c>
      <x:c r="D1433" s="14" t="str">
        <x:v>chronology</x:v>
      </x:c>
      <x:c r="E1433" s="20" t="b">
        <x:v>1</x:v>
      </x:c>
    </x:row>
    <x:row r="1434" ht="24" customHeight="1">
      <x:c r="A1434" s="14" t="str">
        <x:v>es-sanctuary-nemea-zeus-sanctuary-pleiades-570504-classification</x:v>
      </x:c>
      <x:c r="B1434" s="14" t="str">
        <x:v>sanctuary-nemea-zeus-sanctuary</x:v>
      </x:c>
      <x:c r="C1434" s="14" t="str">
        <x:v>src-pleiades-570504</x:v>
      </x:c>
      <x:c r="D1434" s="14" t="str">
        <x:v>classification</x:v>
      </x:c>
      <x:c r="E1434" s="20" t="b">
        <x:v>1</x:v>
      </x:c>
    </x:row>
    <x:row r="1435" ht="24" customHeight="1">
      <x:c r="A1435" s="14" t="str">
        <x:v>es-sanctuary-nemea-zeus-sanctuary-pleiades-570504-description</x:v>
      </x:c>
      <x:c r="B1435" s="14" t="str">
        <x:v>sanctuary-nemea-zeus-sanctuary</x:v>
      </x:c>
      <x:c r="C1435" s="14" t="str">
        <x:v>src-pleiades-570504</x:v>
      </x:c>
      <x:c r="D1435" s="14" t="str">
        <x:v>description</x:v>
      </x:c>
      <x:c r="E1435" s="20" t="b">
        <x:v>1</x:v>
      </x:c>
    </x:row>
    <x:row r="1436" ht="24" customHeight="1">
      <x:c r="A1436" s="14" t="str">
        <x:v>es-sanctuary-nemea-zeus-sanctuary-pleiades-570504-geometry</x:v>
      </x:c>
      <x:c r="B1436" s="14" t="str">
        <x:v>sanctuary-nemea-zeus-sanctuary</x:v>
      </x:c>
      <x:c r="C1436" s="14" t="str">
        <x:v>src-pleiades-570504</x:v>
      </x:c>
      <x:c r="D1436" s="14" t="str">
        <x:v>geometry</x:v>
      </x:c>
      <x:c r="E1436" s="20" t="b">
        <x:v>1</x:v>
      </x:c>
    </x:row>
    <x:row r="1437" ht="24" customHeight="1">
      <x:c r="A1437" s="14" t="str">
        <x:v>es-sanctuary-nemea-zeus-sanctuary-pleiades-570504-identity</x:v>
      </x:c>
      <x:c r="B1437" s="14" t="str">
        <x:v>sanctuary-nemea-zeus-sanctuary</x:v>
      </x:c>
      <x:c r="C1437" s="14" t="str">
        <x:v>src-pleiades-570504</x:v>
      </x:c>
      <x:c r="D1437" s="14" t="str">
        <x:v>identity</x:v>
      </x:c>
      <x:c r="E1437" s="20" t="b">
        <x:v>1</x:v>
      </x:c>
    </x:row>
    <x:row r="1438" ht="24" customHeight="1">
      <x:c r="A1438" s="14" t="str">
        <x:v>es-sanctuary-nemea-zeus-sanctuary-pleiades-570504-names</x:v>
      </x:c>
      <x:c r="B1438" s="14" t="str">
        <x:v>sanctuary-nemea-zeus-sanctuary</x:v>
      </x:c>
      <x:c r="C1438" s="14" t="str">
        <x:v>src-pleiades-570504</x:v>
      </x:c>
      <x:c r="D1438" s="14" t="str">
        <x:v>names</x:v>
      </x:c>
      <x:c r="E1438" s="20" t="b">
        <x:v>1</x:v>
      </x:c>
    </x:row>
    <x:row r="1439" ht="24" customHeight="1">
      <x:c r="A1439" s="14" t="str">
        <x:v>es-sanctuary-nemea-zeus-sanctuary-pleiades-570504-relationships</x:v>
      </x:c>
      <x:c r="B1439" s="14" t="str">
        <x:v>sanctuary-nemea-zeus-sanctuary</x:v>
      </x:c>
      <x:c r="C1439" s="14" t="str">
        <x:v>src-pleiades-570504</x:v>
      </x:c>
      <x:c r="D1439" s="14" t="str">
        <x:v>relationships</x:v>
      </x:c>
      <x:c r="E1439" s="20" t="b">
        <x:v>1</x:v>
      </x:c>
    </x:row>
    <x:row r="1440" ht="24" customHeight="1">
      <x:c r="A1440" s="14" t="str">
        <x:v>es-sanctuary-olbia-apollo-delphinios-sanctuary-penn-a97aa05ea214-chronology</x:v>
      </x:c>
      <x:c r="B1440" s="14" t="str">
        <x:v>sanctuary-olbia-apollo-delphinios-sanctuary</x:v>
      </x:c>
      <x:c r="C1440" s="14" t="str">
        <x:v>src-penn-a97aa05ea214</x:v>
      </x:c>
      <x:c r="D1440" s="14" t="str">
        <x:v>chronology</x:v>
      </x:c>
      <x:c r="E1440" s="20" t="b">
        <x:v>1</x:v>
      </x:c>
    </x:row>
    <x:row r="1441" ht="24" customHeight="1">
      <x:c r="A1441" s="14" t="str">
        <x:v>es-sanctuary-olbia-apollo-delphinios-sanctuary-penn-a97aa05ea214-classification</x:v>
      </x:c>
      <x:c r="B1441" s="14" t="str">
        <x:v>sanctuary-olbia-apollo-delphinios-sanctuary</x:v>
      </x:c>
      <x:c r="C1441" s="14" t="str">
        <x:v>src-penn-a97aa05ea214</x:v>
      </x:c>
      <x:c r="D1441" s="14" t="str">
        <x:v>classification</x:v>
      </x:c>
      <x:c r="E1441" s="20" t="b">
        <x:v>1</x:v>
      </x:c>
    </x:row>
    <x:row r="1442" ht="24" customHeight="1">
      <x:c r="A1442" s="14" t="str">
        <x:v>es-sanctuary-olbia-apollo-delphinios-sanctuary-penn-a97aa05ea214-description</x:v>
      </x:c>
      <x:c r="B1442" s="14" t="str">
        <x:v>sanctuary-olbia-apollo-delphinios-sanctuary</x:v>
      </x:c>
      <x:c r="C1442" s="14" t="str">
        <x:v>src-penn-a97aa05ea214</x:v>
      </x:c>
      <x:c r="D1442" s="14" t="str">
        <x:v>description</x:v>
      </x:c>
      <x:c r="E1442" s="20" t="b">
        <x:v>1</x:v>
      </x:c>
    </x:row>
    <x:row r="1443" ht="24" customHeight="1">
      <x:c r="A1443" s="14" t="str">
        <x:v>es-sanctuary-olbia-apollo-delphinios-sanctuary-penn-a97aa05ea214-geometry</x:v>
      </x:c>
      <x:c r="B1443" s="14" t="str">
        <x:v>sanctuary-olbia-apollo-delphinios-sanctuary</x:v>
      </x:c>
      <x:c r="C1443" s="14" t="str">
        <x:v>src-penn-a97aa05ea214</x:v>
      </x:c>
      <x:c r="D1443" s="14" t="str">
        <x:v>geometry</x:v>
      </x:c>
      <x:c r="E1443" s="20" t="b">
        <x:v>1</x:v>
      </x:c>
    </x:row>
    <x:row r="1444" ht="24" customHeight="1">
      <x:c r="A1444" s="14" t="str">
        <x:v>es-sanctuary-olbia-apollo-delphinios-sanctuary-penn-a97aa05ea214-identity</x:v>
      </x:c>
      <x:c r="B1444" s="14" t="str">
        <x:v>sanctuary-olbia-apollo-delphinios-sanctuary</x:v>
      </x:c>
      <x:c r="C1444" s="14" t="str">
        <x:v>src-penn-a97aa05ea214</x:v>
      </x:c>
      <x:c r="D1444" s="14" t="str">
        <x:v>identity</x:v>
      </x:c>
      <x:c r="E1444" s="20" t="b">
        <x:v>1</x:v>
      </x:c>
    </x:row>
    <x:row r="1445" ht="24" customHeight="1">
      <x:c r="A1445" s="14" t="str">
        <x:v>es-sanctuary-olbia-apollo-delphinios-sanctuary-penn-a97aa05ea214-names</x:v>
      </x:c>
      <x:c r="B1445" s="14" t="str">
        <x:v>sanctuary-olbia-apollo-delphinios-sanctuary</x:v>
      </x:c>
      <x:c r="C1445" s="14" t="str">
        <x:v>src-penn-a97aa05ea214</x:v>
      </x:c>
      <x:c r="D1445" s="14" t="str">
        <x:v>names</x:v>
      </x:c>
      <x:c r="E1445" s="20" t="b">
        <x:v>1</x:v>
      </x:c>
    </x:row>
    <x:row r="1446" ht="24" customHeight="1">
      <x:c r="A1446" s="14" t="str">
        <x:v>es-sanctuary-olbia-apollo-delphinios-sanctuary-penn-a97aa05ea214-relationships</x:v>
      </x:c>
      <x:c r="B1446" s="14" t="str">
        <x:v>sanctuary-olbia-apollo-delphinios-sanctuary</x:v>
      </x:c>
      <x:c r="C1446" s="14" t="str">
        <x:v>src-penn-a97aa05ea214</x:v>
      </x:c>
      <x:c r="D1446" s="14" t="str">
        <x:v>relationships</x:v>
      </x:c>
      <x:c r="E1446" s="20" t="b">
        <x:v>1</x:v>
      </x:c>
    </x:row>
    <x:row r="1447" ht="24" customHeight="1">
      <x:c r="A1447" s="14" t="str">
        <x:v>es-sanctuary-olympia-zeus-sanctuary-pleiades-570531-chronology</x:v>
      </x:c>
      <x:c r="B1447" s="14" t="str">
        <x:v>sanctuary-olympia-zeus-sanctuary</x:v>
      </x:c>
      <x:c r="C1447" s="14" t="str">
        <x:v>src-pleiades-570531</x:v>
      </x:c>
      <x:c r="D1447" s="14" t="str">
        <x:v>chronology</x:v>
      </x:c>
      <x:c r="E1447" s="20" t="b">
        <x:v>1</x:v>
      </x:c>
    </x:row>
    <x:row r="1448" ht="24" customHeight="1">
      <x:c r="A1448" s="14" t="str">
        <x:v>es-sanctuary-olympia-zeus-sanctuary-pleiades-570531-classification</x:v>
      </x:c>
      <x:c r="B1448" s="14" t="str">
        <x:v>sanctuary-olympia-zeus-sanctuary</x:v>
      </x:c>
      <x:c r="C1448" s="14" t="str">
        <x:v>src-pleiades-570531</x:v>
      </x:c>
      <x:c r="D1448" s="14" t="str">
        <x:v>classification</x:v>
      </x:c>
      <x:c r="E1448" s="20" t="b">
        <x:v>1</x:v>
      </x:c>
    </x:row>
    <x:row r="1449" ht="24" customHeight="1">
      <x:c r="A1449" s="14" t="str">
        <x:v>es-sanctuary-olympia-zeus-sanctuary-pleiades-570531-description</x:v>
      </x:c>
      <x:c r="B1449" s="14" t="str">
        <x:v>sanctuary-olympia-zeus-sanctuary</x:v>
      </x:c>
      <x:c r="C1449" s="14" t="str">
        <x:v>src-pleiades-570531</x:v>
      </x:c>
      <x:c r="D1449" s="14" t="str">
        <x:v>description</x:v>
      </x:c>
      <x:c r="E1449" s="20" t="b">
        <x:v>1</x:v>
      </x:c>
    </x:row>
    <x:row r="1450" ht="24" customHeight="1">
      <x:c r="A1450" s="14" t="str">
        <x:v>es-sanctuary-olympia-zeus-sanctuary-pleiades-570531-geometry</x:v>
      </x:c>
      <x:c r="B1450" s="14" t="str">
        <x:v>sanctuary-olympia-zeus-sanctuary</x:v>
      </x:c>
      <x:c r="C1450" s="14" t="str">
        <x:v>src-pleiades-570531</x:v>
      </x:c>
      <x:c r="D1450" s="14" t="str">
        <x:v>geometry</x:v>
      </x:c>
      <x:c r="E1450" s="20" t="b">
        <x:v>1</x:v>
      </x:c>
    </x:row>
    <x:row r="1451" ht="24" customHeight="1">
      <x:c r="A1451" s="14" t="str">
        <x:v>es-sanctuary-olympia-zeus-sanctuary-pleiades-570531-identity</x:v>
      </x:c>
      <x:c r="B1451" s="14" t="str">
        <x:v>sanctuary-olympia-zeus-sanctuary</x:v>
      </x:c>
      <x:c r="C1451" s="14" t="str">
        <x:v>src-pleiades-570531</x:v>
      </x:c>
      <x:c r="D1451" s="14" t="str">
        <x:v>identity</x:v>
      </x:c>
      <x:c r="E1451" s="20" t="b">
        <x:v>1</x:v>
      </x:c>
    </x:row>
    <x:row r="1452" ht="24" customHeight="1">
      <x:c r="A1452" s="14" t="str">
        <x:v>es-sanctuary-olympia-zeus-sanctuary-pleiades-570531-names</x:v>
      </x:c>
      <x:c r="B1452" s="14" t="str">
        <x:v>sanctuary-olympia-zeus-sanctuary</x:v>
      </x:c>
      <x:c r="C1452" s="14" t="str">
        <x:v>src-pleiades-570531</x:v>
      </x:c>
      <x:c r="D1452" s="14" t="str">
        <x:v>names</x:v>
      </x:c>
      <x:c r="E1452" s="20" t="b">
        <x:v>1</x:v>
      </x:c>
    </x:row>
    <x:row r="1453" ht="24" customHeight="1">
      <x:c r="A1453" s="14" t="str">
        <x:v>es-sanctuary-olympia-zeus-sanctuary-pleiades-570531-relationships</x:v>
      </x:c>
      <x:c r="B1453" s="14" t="str">
        <x:v>sanctuary-olympia-zeus-sanctuary</x:v>
      </x:c>
      <x:c r="C1453" s="14" t="str">
        <x:v>src-pleiades-570531</x:v>
      </x:c>
      <x:c r="D1453" s="14" t="str">
        <x:v>relationships</x:v>
      </x:c>
      <x:c r="E1453" s="20" t="b">
        <x:v>1</x:v>
      </x:c>
    </x:row>
    <x:row r="1454" ht="24" customHeight="1">
      <x:c r="A1454" s="14" t="str">
        <x:v>es-sanctuary-oropos-amphiareion-pleiades-540628-chronology</x:v>
      </x:c>
      <x:c r="B1454" s="14" t="str">
        <x:v>sanctuary-oropos-amphiareion</x:v>
      </x:c>
      <x:c r="C1454" s="14" t="str">
        <x:v>src-pleiades-540628</x:v>
      </x:c>
      <x:c r="D1454" s="14" t="str">
        <x:v>chronology</x:v>
      </x:c>
      <x:c r="E1454" s="20" t="b">
        <x:v>1</x:v>
      </x:c>
    </x:row>
    <x:row r="1455" ht="24" customHeight="1">
      <x:c r="A1455" s="14" t="str">
        <x:v>es-sanctuary-oropos-amphiareion-pleiades-540628-classification</x:v>
      </x:c>
      <x:c r="B1455" s="14" t="str">
        <x:v>sanctuary-oropos-amphiareion</x:v>
      </x:c>
      <x:c r="C1455" s="14" t="str">
        <x:v>src-pleiades-540628</x:v>
      </x:c>
      <x:c r="D1455" s="14" t="str">
        <x:v>classification</x:v>
      </x:c>
      <x:c r="E1455" s="20" t="b">
        <x:v>1</x:v>
      </x:c>
    </x:row>
    <x:row r="1456" ht="24" customHeight="1">
      <x:c r="A1456" s="14" t="str">
        <x:v>es-sanctuary-oropos-amphiareion-pleiades-540628-description</x:v>
      </x:c>
      <x:c r="B1456" s="14" t="str">
        <x:v>sanctuary-oropos-amphiareion</x:v>
      </x:c>
      <x:c r="C1456" s="14" t="str">
        <x:v>src-pleiades-540628</x:v>
      </x:c>
      <x:c r="D1456" s="14" t="str">
        <x:v>description</x:v>
      </x:c>
      <x:c r="E1456" s="20" t="b">
        <x:v>1</x:v>
      </x:c>
    </x:row>
    <x:row r="1457" ht="24" customHeight="1">
      <x:c r="A1457" s="14" t="str">
        <x:v>es-sanctuary-oropos-amphiareion-pleiades-540628-geometry</x:v>
      </x:c>
      <x:c r="B1457" s="14" t="str">
        <x:v>sanctuary-oropos-amphiareion</x:v>
      </x:c>
      <x:c r="C1457" s="14" t="str">
        <x:v>src-pleiades-540628</x:v>
      </x:c>
      <x:c r="D1457" s="14" t="str">
        <x:v>geometry</x:v>
      </x:c>
      <x:c r="E1457" s="20" t="b">
        <x:v>1</x:v>
      </x:c>
    </x:row>
    <x:row r="1458" ht="24" customHeight="1">
      <x:c r="A1458" s="14" t="str">
        <x:v>es-sanctuary-oropos-amphiareion-pleiades-540628-identity</x:v>
      </x:c>
      <x:c r="B1458" s="14" t="str">
        <x:v>sanctuary-oropos-amphiareion</x:v>
      </x:c>
      <x:c r="C1458" s="14" t="str">
        <x:v>src-pleiades-540628</x:v>
      </x:c>
      <x:c r="D1458" s="14" t="str">
        <x:v>identity</x:v>
      </x:c>
      <x:c r="E1458" s="20" t="b">
        <x:v>1</x:v>
      </x:c>
    </x:row>
    <x:row r="1459" ht="24" customHeight="1">
      <x:c r="A1459" s="14" t="str">
        <x:v>es-sanctuary-oropos-amphiareion-pleiades-540628-names</x:v>
      </x:c>
      <x:c r="B1459" s="14" t="str">
        <x:v>sanctuary-oropos-amphiareion</x:v>
      </x:c>
      <x:c r="C1459" s="14" t="str">
        <x:v>src-pleiades-540628</x:v>
      </x:c>
      <x:c r="D1459" s="14" t="str">
        <x:v>names</x:v>
      </x:c>
      <x:c r="E1459" s="20" t="b">
        <x:v>1</x:v>
      </x:c>
    </x:row>
    <x:row r="1460" ht="24" customHeight="1">
      <x:c r="A1460" s="14" t="str">
        <x:v>es-sanctuary-oropos-amphiareion-pleiades-540628-relationships</x:v>
      </x:c>
      <x:c r="B1460" s="14" t="str">
        <x:v>sanctuary-oropos-amphiareion</x:v>
      </x:c>
      <x:c r="C1460" s="14" t="str">
        <x:v>src-pleiades-540628</x:v>
      </x:c>
      <x:c r="D1460" s="14" t="str">
        <x:v>relationships</x:v>
      </x:c>
      <x:c r="E1460" s="20" t="b">
        <x:v>1</x:v>
      </x:c>
    </x:row>
    <x:row r="1461" ht="24" customHeight="1">
      <x:c r="A1461" s="14" t="str">
        <x:v>es-sanctuary-palaepaphos-aphrodite-sanctuary-pleiades-828989863-chronology</x:v>
      </x:c>
      <x:c r="B1461" s="14" t="str">
        <x:v>sanctuary-palaepaphos-aphrodite-sanctuary</x:v>
      </x:c>
      <x:c r="C1461" s="14" t="str">
        <x:v>src-pleiades-828989863</x:v>
      </x:c>
      <x:c r="D1461" s="14" t="str">
        <x:v>chronology</x:v>
      </x:c>
      <x:c r="E1461" s="20" t="b">
        <x:v>1</x:v>
      </x:c>
    </x:row>
    <x:row r="1462" ht="24" customHeight="1">
      <x:c r="A1462" s="14" t="str">
        <x:v>es-sanctuary-palaepaphos-aphrodite-sanctuary-pleiades-828989863-classification</x:v>
      </x:c>
      <x:c r="B1462" s="14" t="str">
        <x:v>sanctuary-palaepaphos-aphrodite-sanctuary</x:v>
      </x:c>
      <x:c r="C1462" s="14" t="str">
        <x:v>src-pleiades-828989863</x:v>
      </x:c>
      <x:c r="D1462" s="14" t="str">
        <x:v>classification</x:v>
      </x:c>
      <x:c r="E1462" s="20" t="b">
        <x:v>1</x:v>
      </x:c>
    </x:row>
    <x:row r="1463" ht="24" customHeight="1">
      <x:c r="A1463" s="14" t="str">
        <x:v>es-sanctuary-palaepaphos-aphrodite-sanctuary-pleiades-828989863-description</x:v>
      </x:c>
      <x:c r="B1463" s="14" t="str">
        <x:v>sanctuary-palaepaphos-aphrodite-sanctuary</x:v>
      </x:c>
      <x:c r="C1463" s="14" t="str">
        <x:v>src-pleiades-828989863</x:v>
      </x:c>
      <x:c r="D1463" s="14" t="str">
        <x:v>description</x:v>
      </x:c>
      <x:c r="E1463" s="20" t="b">
        <x:v>1</x:v>
      </x:c>
    </x:row>
    <x:row r="1464" ht="24" customHeight="1">
      <x:c r="A1464" s="14" t="str">
        <x:v>es-sanctuary-palaepaphos-aphrodite-sanctuary-pleiades-828989863-geometry</x:v>
      </x:c>
      <x:c r="B1464" s="14" t="str">
        <x:v>sanctuary-palaepaphos-aphrodite-sanctuary</x:v>
      </x:c>
      <x:c r="C1464" s="14" t="str">
        <x:v>src-pleiades-828989863</x:v>
      </x:c>
      <x:c r="D1464" s="14" t="str">
        <x:v>geometry</x:v>
      </x:c>
      <x:c r="E1464" s="20" t="b">
        <x:v>1</x:v>
      </x:c>
    </x:row>
    <x:row r="1465" ht="24" customHeight="1">
      <x:c r="A1465" s="14" t="str">
        <x:v>es-sanctuary-palaepaphos-aphrodite-sanctuary-pleiades-828989863-identity</x:v>
      </x:c>
      <x:c r="B1465" s="14" t="str">
        <x:v>sanctuary-palaepaphos-aphrodite-sanctuary</x:v>
      </x:c>
      <x:c r="C1465" s="14" t="str">
        <x:v>src-pleiades-828989863</x:v>
      </x:c>
      <x:c r="D1465" s="14" t="str">
        <x:v>identity</x:v>
      </x:c>
      <x:c r="E1465" s="20" t="b">
        <x:v>1</x:v>
      </x:c>
    </x:row>
    <x:row r="1466" ht="24" customHeight="1">
      <x:c r="A1466" s="14" t="str">
        <x:v>es-sanctuary-palaepaphos-aphrodite-sanctuary-pleiades-828989863-names</x:v>
      </x:c>
      <x:c r="B1466" s="14" t="str">
        <x:v>sanctuary-palaepaphos-aphrodite-sanctuary</x:v>
      </x:c>
      <x:c r="C1466" s="14" t="str">
        <x:v>src-pleiades-828989863</x:v>
      </x:c>
      <x:c r="D1466" s="14" t="str">
        <x:v>names</x:v>
      </x:c>
      <x:c r="E1466" s="20" t="b">
        <x:v>1</x:v>
      </x:c>
    </x:row>
    <x:row r="1467" ht="24" customHeight="1">
      <x:c r="A1467" s="14" t="str">
        <x:v>es-sanctuary-palaepaphos-aphrodite-sanctuary-pleiades-828989863-relationships</x:v>
      </x:c>
      <x:c r="B1467" s="14" t="str">
        <x:v>sanctuary-palaepaphos-aphrodite-sanctuary</x:v>
      </x:c>
      <x:c r="C1467" s="14" t="str">
        <x:v>src-pleiades-828989863</x:v>
      </x:c>
      <x:c r="D1467" s="14" t="str">
        <x:v>relationships</x:v>
      </x:c>
      <x:c r="E1467" s="20" t="b">
        <x:v>1</x:v>
      </x:c>
    </x:row>
    <x:row r="1468" ht="24" customHeight="1">
      <x:c r="A1468" s="14" t="str">
        <x:v>es-sanctuary-panionion-poseidon-sanctuary-pleiades-599855-chronology</x:v>
      </x:c>
      <x:c r="B1468" s="14" t="str">
        <x:v>sanctuary-panionion-poseidon-sanctuary</x:v>
      </x:c>
      <x:c r="C1468" s="14" t="str">
        <x:v>src-pleiades-599855</x:v>
      </x:c>
      <x:c r="D1468" s="14" t="str">
        <x:v>chronology</x:v>
      </x:c>
      <x:c r="E1468" s="20" t="b">
        <x:v>1</x:v>
      </x:c>
    </x:row>
    <x:row r="1469" ht="24" customHeight="1">
      <x:c r="A1469" s="14" t="str">
        <x:v>es-sanctuary-panionion-poseidon-sanctuary-pleiades-599855-classification</x:v>
      </x:c>
      <x:c r="B1469" s="14" t="str">
        <x:v>sanctuary-panionion-poseidon-sanctuary</x:v>
      </x:c>
      <x:c r="C1469" s="14" t="str">
        <x:v>src-pleiades-599855</x:v>
      </x:c>
      <x:c r="D1469" s="14" t="str">
        <x:v>classification</x:v>
      </x:c>
      <x:c r="E1469" s="20" t="b">
        <x:v>1</x:v>
      </x:c>
    </x:row>
    <x:row r="1470" ht="24" customHeight="1">
      <x:c r="A1470" s="14" t="str">
        <x:v>es-sanctuary-panionion-poseidon-sanctuary-pleiades-599855-description</x:v>
      </x:c>
      <x:c r="B1470" s="14" t="str">
        <x:v>sanctuary-panionion-poseidon-sanctuary</x:v>
      </x:c>
      <x:c r="C1470" s="14" t="str">
        <x:v>src-pleiades-599855</x:v>
      </x:c>
      <x:c r="D1470" s="14" t="str">
        <x:v>description</x:v>
      </x:c>
      <x:c r="E1470" s="20" t="b">
        <x:v>1</x:v>
      </x:c>
    </x:row>
    <x:row r="1471" ht="24" customHeight="1">
      <x:c r="A1471" s="14" t="str">
        <x:v>es-sanctuary-panionion-poseidon-sanctuary-pleiades-599855-geometry</x:v>
      </x:c>
      <x:c r="B1471" s="14" t="str">
        <x:v>sanctuary-panionion-poseidon-sanctuary</x:v>
      </x:c>
      <x:c r="C1471" s="14" t="str">
        <x:v>src-pleiades-599855</x:v>
      </x:c>
      <x:c r="D1471" s="14" t="str">
        <x:v>geometry</x:v>
      </x:c>
      <x:c r="E1471" s="20" t="b">
        <x:v>1</x:v>
      </x:c>
    </x:row>
    <x:row r="1472" ht="24" customHeight="1">
      <x:c r="A1472" s="14" t="str">
        <x:v>es-sanctuary-panionion-poseidon-sanctuary-pleiades-599855-identity</x:v>
      </x:c>
      <x:c r="B1472" s="14" t="str">
        <x:v>sanctuary-panionion-poseidon-sanctuary</x:v>
      </x:c>
      <x:c r="C1472" s="14" t="str">
        <x:v>src-pleiades-599855</x:v>
      </x:c>
      <x:c r="D1472" s="14" t="str">
        <x:v>identity</x:v>
      </x:c>
      <x:c r="E1472" s="20" t="b">
        <x:v>1</x:v>
      </x:c>
    </x:row>
    <x:row r="1473" ht="24" customHeight="1">
      <x:c r="A1473" s="14" t="str">
        <x:v>es-sanctuary-panionion-poseidon-sanctuary-pleiades-599855-names</x:v>
      </x:c>
      <x:c r="B1473" s="14" t="str">
        <x:v>sanctuary-panionion-poseidon-sanctuary</x:v>
      </x:c>
      <x:c r="C1473" s="14" t="str">
        <x:v>src-pleiades-599855</x:v>
      </x:c>
      <x:c r="D1473" s="14" t="str">
        <x:v>names</x:v>
      </x:c>
      <x:c r="E1473" s="20" t="b">
        <x:v>1</x:v>
      </x:c>
    </x:row>
    <x:row r="1474" ht="24" customHeight="1">
      <x:c r="A1474" s="14" t="str">
        <x:v>es-sanctuary-panionion-poseidon-sanctuary-pleiades-599855-relationships</x:v>
      </x:c>
      <x:c r="B1474" s="14" t="str">
        <x:v>sanctuary-panionion-poseidon-sanctuary</x:v>
      </x:c>
      <x:c r="C1474" s="14" t="str">
        <x:v>src-pleiades-599855</x:v>
      </x:c>
      <x:c r="D1474" s="14" t="str">
        <x:v>relationships</x:v>
      </x:c>
      <x:c r="E1474" s="20" t="b">
        <x:v>1</x:v>
      </x:c>
    </x:row>
    <x:row r="1475" ht="24" customHeight="1">
      <x:c r="A1475" s="14" t="str">
        <x:v>es-sanctuary-pantikapaion-apollo-ietros-sanctuary-pleiades-854719-chronology</x:v>
      </x:c>
      <x:c r="B1475" s="14" t="str">
        <x:v>sanctuary-pantikapaion-apollo-ietros-sanctuary</x:v>
      </x:c>
      <x:c r="C1475" s="14" t="str">
        <x:v>src-pleiades-854719</x:v>
      </x:c>
      <x:c r="D1475" s="14" t="str">
        <x:v>chronology</x:v>
      </x:c>
      <x:c r="E1475" s="20" t="b">
        <x:v>1</x:v>
      </x:c>
    </x:row>
    <x:row r="1476" ht="24" customHeight="1">
      <x:c r="A1476" s="14" t="str">
        <x:v>es-sanctuary-pantikapaion-apollo-ietros-sanctuary-pleiades-854719-classification</x:v>
      </x:c>
      <x:c r="B1476" s="14" t="str">
        <x:v>sanctuary-pantikapaion-apollo-ietros-sanctuary</x:v>
      </x:c>
      <x:c r="C1476" s="14" t="str">
        <x:v>src-pleiades-854719</x:v>
      </x:c>
      <x:c r="D1476" s="14" t="str">
        <x:v>classification</x:v>
      </x:c>
      <x:c r="E1476" s="20" t="b">
        <x:v>1</x:v>
      </x:c>
    </x:row>
    <x:row r="1477" ht="24" customHeight="1">
      <x:c r="A1477" s="14" t="str">
        <x:v>es-sanctuary-pantikapaion-apollo-ietros-sanctuary-pleiades-854719-description</x:v>
      </x:c>
      <x:c r="B1477" s="14" t="str">
        <x:v>sanctuary-pantikapaion-apollo-ietros-sanctuary</x:v>
      </x:c>
      <x:c r="C1477" s="14" t="str">
        <x:v>src-pleiades-854719</x:v>
      </x:c>
      <x:c r="D1477" s="14" t="str">
        <x:v>description</x:v>
      </x:c>
      <x:c r="E1477" s="20" t="b">
        <x:v>1</x:v>
      </x:c>
    </x:row>
    <x:row r="1478" ht="24" customHeight="1">
      <x:c r="A1478" s="14" t="str">
        <x:v>es-sanctuary-pantikapaion-apollo-ietros-sanctuary-pleiades-854719-geometry</x:v>
      </x:c>
      <x:c r="B1478" s="14" t="str">
        <x:v>sanctuary-pantikapaion-apollo-ietros-sanctuary</x:v>
      </x:c>
      <x:c r="C1478" s="14" t="str">
        <x:v>src-pleiades-854719</x:v>
      </x:c>
      <x:c r="D1478" s="14" t="str">
        <x:v>geometry</x:v>
      </x:c>
      <x:c r="E1478" s="20" t="b">
        <x:v>1</x:v>
      </x:c>
    </x:row>
    <x:row r="1479" ht="24" customHeight="1">
      <x:c r="A1479" s="14" t="str">
        <x:v>es-sanctuary-pantikapaion-apollo-ietros-sanctuary-pleiades-854719-identity</x:v>
      </x:c>
      <x:c r="B1479" s="14" t="str">
        <x:v>sanctuary-pantikapaion-apollo-ietros-sanctuary</x:v>
      </x:c>
      <x:c r="C1479" s="14" t="str">
        <x:v>src-pleiades-854719</x:v>
      </x:c>
      <x:c r="D1479" s="14" t="str">
        <x:v>identity</x:v>
      </x:c>
      <x:c r="E1479" s="20" t="b">
        <x:v>1</x:v>
      </x:c>
    </x:row>
    <x:row r="1480" ht="24" customHeight="1">
      <x:c r="A1480" s="14" t="str">
        <x:v>es-sanctuary-pantikapaion-apollo-ietros-sanctuary-pleiades-854719-names</x:v>
      </x:c>
      <x:c r="B1480" s="14" t="str">
        <x:v>sanctuary-pantikapaion-apollo-ietros-sanctuary</x:v>
      </x:c>
      <x:c r="C1480" s="14" t="str">
        <x:v>src-pleiades-854719</x:v>
      </x:c>
      <x:c r="D1480" s="14" t="str">
        <x:v>names</x:v>
      </x:c>
      <x:c r="E1480" s="20" t="b">
        <x:v>1</x:v>
      </x:c>
    </x:row>
    <x:row r="1481" ht="24" customHeight="1">
      <x:c r="A1481" s="14" t="str">
        <x:v>es-sanctuary-pantikapaion-apollo-ietros-sanctuary-pleiades-854719-relationships</x:v>
      </x:c>
      <x:c r="B1481" s="14" t="str">
        <x:v>sanctuary-pantikapaion-apollo-ietros-sanctuary</x:v>
      </x:c>
      <x:c r="C1481" s="14" t="str">
        <x:v>src-pleiades-854719</x:v>
      </x:c>
      <x:c r="D1481" s="14" t="str">
        <x:v>relationships</x:v>
      </x:c>
      <x:c r="E1481" s="20" t="b">
        <x:v>1</x:v>
      </x:c>
    </x:row>
    <x:row r="1482" ht="24" customHeight="1">
      <x:c r="A1482" s="14" t="str">
        <x:v>es-sanctuary-perachora-heraion-pleiades-570288-chronology</x:v>
      </x:c>
      <x:c r="B1482" s="14" t="str">
        <x:v>sanctuary-perachora-heraion</x:v>
      </x:c>
      <x:c r="C1482" s="14" t="str">
        <x:v>src-pleiades-570288</x:v>
      </x:c>
      <x:c r="D1482" s="14" t="str">
        <x:v>chronology</x:v>
      </x:c>
      <x:c r="E1482" s="20" t="b">
        <x:v>1</x:v>
      </x:c>
    </x:row>
    <x:row r="1483" ht="24" customHeight="1">
      <x:c r="A1483" s="14" t="str">
        <x:v>es-sanctuary-perachora-heraion-pleiades-570288-classification</x:v>
      </x:c>
      <x:c r="B1483" s="14" t="str">
        <x:v>sanctuary-perachora-heraion</x:v>
      </x:c>
      <x:c r="C1483" s="14" t="str">
        <x:v>src-pleiades-570288</x:v>
      </x:c>
      <x:c r="D1483" s="14" t="str">
        <x:v>classification</x:v>
      </x:c>
      <x:c r="E1483" s="20" t="b">
        <x:v>1</x:v>
      </x:c>
    </x:row>
    <x:row r="1484" ht="24" customHeight="1">
      <x:c r="A1484" s="14" t="str">
        <x:v>es-sanctuary-perachora-heraion-pleiades-570288-description</x:v>
      </x:c>
      <x:c r="B1484" s="14" t="str">
        <x:v>sanctuary-perachora-heraion</x:v>
      </x:c>
      <x:c r="C1484" s="14" t="str">
        <x:v>src-pleiades-570288</x:v>
      </x:c>
      <x:c r="D1484" s="14" t="str">
        <x:v>description</x:v>
      </x:c>
      <x:c r="E1484" s="20" t="b">
        <x:v>1</x:v>
      </x:c>
    </x:row>
    <x:row r="1485" ht="24" customHeight="1">
      <x:c r="A1485" s="14" t="str">
        <x:v>es-sanctuary-perachora-heraion-pleiades-570288-geometry</x:v>
      </x:c>
      <x:c r="B1485" s="14" t="str">
        <x:v>sanctuary-perachora-heraion</x:v>
      </x:c>
      <x:c r="C1485" s="14" t="str">
        <x:v>src-pleiades-570288</x:v>
      </x:c>
      <x:c r="D1485" s="14" t="str">
        <x:v>geometry</x:v>
      </x:c>
      <x:c r="E1485" s="20" t="b">
        <x:v>1</x:v>
      </x:c>
    </x:row>
    <x:row r="1486" ht="24" customHeight="1">
      <x:c r="A1486" s="14" t="str">
        <x:v>es-sanctuary-perachora-heraion-pleiades-570288-identity</x:v>
      </x:c>
      <x:c r="B1486" s="14" t="str">
        <x:v>sanctuary-perachora-heraion</x:v>
      </x:c>
      <x:c r="C1486" s="14" t="str">
        <x:v>src-pleiades-570288</x:v>
      </x:c>
      <x:c r="D1486" s="14" t="str">
        <x:v>identity</x:v>
      </x:c>
      <x:c r="E1486" s="20" t="b">
        <x:v>1</x:v>
      </x:c>
    </x:row>
    <x:row r="1487" ht="24" customHeight="1">
      <x:c r="A1487" s="14" t="str">
        <x:v>es-sanctuary-perachora-heraion-pleiades-570288-names</x:v>
      </x:c>
      <x:c r="B1487" s="14" t="str">
        <x:v>sanctuary-perachora-heraion</x:v>
      </x:c>
      <x:c r="C1487" s="14" t="str">
        <x:v>src-pleiades-570288</x:v>
      </x:c>
      <x:c r="D1487" s="14" t="str">
        <x:v>names</x:v>
      </x:c>
      <x:c r="E1487" s="20" t="b">
        <x:v>1</x:v>
      </x:c>
    </x:row>
    <x:row r="1488" ht="24" customHeight="1">
      <x:c r="A1488" s="14" t="str">
        <x:v>es-sanctuary-perachora-heraion-pleiades-570288-relationships</x:v>
      </x:c>
      <x:c r="B1488" s="14" t="str">
        <x:v>sanctuary-perachora-heraion</x:v>
      </x:c>
      <x:c r="C1488" s="14" t="str">
        <x:v>src-pleiades-570288</x:v>
      </x:c>
      <x:c r="D1488" s="14" t="str">
        <x:v>relationships</x:v>
      </x:c>
      <x:c r="E1488" s="20" t="b">
        <x:v>1</x:v>
      </x:c>
    </x:row>
    <x:row r="1489" ht="24" customHeight="1">
      <x:c r="A1489" s="14" t="str">
        <x:v>es-sanctuary-pergamon-asklepieion-pleiades-550459-chronology</x:v>
      </x:c>
      <x:c r="B1489" s="14" t="str">
        <x:v>sanctuary-pergamon-asklepieion</x:v>
      </x:c>
      <x:c r="C1489" s="14" t="str">
        <x:v>src-pleiades-550459</x:v>
      </x:c>
      <x:c r="D1489" s="14" t="str">
        <x:v>chronology</x:v>
      </x:c>
      <x:c r="E1489" s="20" t="b">
        <x:v>1</x:v>
      </x:c>
    </x:row>
    <x:row r="1490" ht="24" customHeight="1">
      <x:c r="A1490" s="14" t="str">
        <x:v>es-sanctuary-pergamon-asklepieion-pleiades-550459-classification</x:v>
      </x:c>
      <x:c r="B1490" s="14" t="str">
        <x:v>sanctuary-pergamon-asklepieion</x:v>
      </x:c>
      <x:c r="C1490" s="14" t="str">
        <x:v>src-pleiades-550459</x:v>
      </x:c>
      <x:c r="D1490" s="14" t="str">
        <x:v>classification</x:v>
      </x:c>
      <x:c r="E1490" s="20" t="b">
        <x:v>1</x:v>
      </x:c>
    </x:row>
    <x:row r="1491" ht="24" customHeight="1">
      <x:c r="A1491" s="14" t="str">
        <x:v>es-sanctuary-pergamon-asklepieion-pleiades-550459-description</x:v>
      </x:c>
      <x:c r="B1491" s="14" t="str">
        <x:v>sanctuary-pergamon-asklepieion</x:v>
      </x:c>
      <x:c r="C1491" s="14" t="str">
        <x:v>src-pleiades-550459</x:v>
      </x:c>
      <x:c r="D1491" s="14" t="str">
        <x:v>description</x:v>
      </x:c>
      <x:c r="E1491" s="20" t="b">
        <x:v>1</x:v>
      </x:c>
    </x:row>
    <x:row r="1492" ht="24" customHeight="1">
      <x:c r="A1492" s="14" t="str">
        <x:v>es-sanctuary-pergamon-asklepieion-pleiades-550459-geometry</x:v>
      </x:c>
      <x:c r="B1492" s="14" t="str">
        <x:v>sanctuary-pergamon-asklepieion</x:v>
      </x:c>
      <x:c r="C1492" s="14" t="str">
        <x:v>src-pleiades-550459</x:v>
      </x:c>
      <x:c r="D1492" s="14" t="str">
        <x:v>geometry</x:v>
      </x:c>
      <x:c r="E1492" s="20" t="b">
        <x:v>1</x:v>
      </x:c>
    </x:row>
    <x:row r="1493" ht="24" customHeight="1">
      <x:c r="A1493" s="14" t="str">
        <x:v>es-sanctuary-pergamon-asklepieion-pleiades-550459-identity</x:v>
      </x:c>
      <x:c r="B1493" s="14" t="str">
        <x:v>sanctuary-pergamon-asklepieion</x:v>
      </x:c>
      <x:c r="C1493" s="14" t="str">
        <x:v>src-pleiades-550459</x:v>
      </x:c>
      <x:c r="D1493" s="14" t="str">
        <x:v>identity</x:v>
      </x:c>
      <x:c r="E1493" s="20" t="b">
        <x:v>1</x:v>
      </x:c>
    </x:row>
    <x:row r="1494" ht="24" customHeight="1">
      <x:c r="A1494" s="14" t="str">
        <x:v>es-sanctuary-pergamon-asklepieion-pleiades-550459-names</x:v>
      </x:c>
      <x:c r="B1494" s="14" t="str">
        <x:v>sanctuary-pergamon-asklepieion</x:v>
      </x:c>
      <x:c r="C1494" s="14" t="str">
        <x:v>src-pleiades-550459</x:v>
      </x:c>
      <x:c r="D1494" s="14" t="str">
        <x:v>names</x:v>
      </x:c>
      <x:c r="E1494" s="20" t="b">
        <x:v>1</x:v>
      </x:c>
    </x:row>
    <x:row r="1495" ht="24" customHeight="1">
      <x:c r="A1495" s="14" t="str">
        <x:v>es-sanctuary-pergamon-asklepieion-pleiades-550459-relationships</x:v>
      </x:c>
      <x:c r="B1495" s="14" t="str">
        <x:v>sanctuary-pergamon-asklepieion</x:v>
      </x:c>
      <x:c r="C1495" s="14" t="str">
        <x:v>src-pleiades-550459</x:v>
      </x:c>
      <x:c r="D1495" s="14" t="str">
        <x:v>relationships</x:v>
      </x:c>
      <x:c r="E1495" s="20" t="b">
        <x:v>1</x:v>
      </x:c>
    </x:row>
    <x:row r="1496" ht="24" customHeight="1">
      <x:c r="A1496" s="14" t="str">
        <x:v>es-sanctuary-priene-athena-polias-sanctuary-pleiades-298577312-chronology</x:v>
      </x:c>
      <x:c r="B1496" s="14" t="str">
        <x:v>sanctuary-priene-athena-polias-sanctuary</x:v>
      </x:c>
      <x:c r="C1496" s="14" t="str">
        <x:v>src-pleiades-298577312</x:v>
      </x:c>
      <x:c r="D1496" s="14" t="str">
        <x:v>chronology</x:v>
      </x:c>
      <x:c r="E1496" s="20" t="b">
        <x:v>1</x:v>
      </x:c>
    </x:row>
    <x:row r="1497" ht="24" customHeight="1">
      <x:c r="A1497" s="14" t="str">
        <x:v>es-sanctuary-priene-athena-polias-sanctuary-pleiades-298577312-classification</x:v>
      </x:c>
      <x:c r="B1497" s="14" t="str">
        <x:v>sanctuary-priene-athena-polias-sanctuary</x:v>
      </x:c>
      <x:c r="C1497" s="14" t="str">
        <x:v>src-pleiades-298577312</x:v>
      </x:c>
      <x:c r="D1497" s="14" t="str">
        <x:v>classification</x:v>
      </x:c>
      <x:c r="E1497" s="20" t="b">
        <x:v>1</x:v>
      </x:c>
    </x:row>
    <x:row r="1498" ht="24" customHeight="1">
      <x:c r="A1498" s="14" t="str">
        <x:v>es-sanctuary-priene-athena-polias-sanctuary-pleiades-298577312-description</x:v>
      </x:c>
      <x:c r="B1498" s="14" t="str">
        <x:v>sanctuary-priene-athena-polias-sanctuary</x:v>
      </x:c>
      <x:c r="C1498" s="14" t="str">
        <x:v>src-pleiades-298577312</x:v>
      </x:c>
      <x:c r="D1498" s="14" t="str">
        <x:v>description</x:v>
      </x:c>
      <x:c r="E1498" s="20" t="b">
        <x:v>1</x:v>
      </x:c>
    </x:row>
    <x:row r="1499" ht="24" customHeight="1">
      <x:c r="A1499" s="14" t="str">
        <x:v>es-sanctuary-priene-athena-polias-sanctuary-pleiades-298577312-geometry</x:v>
      </x:c>
      <x:c r="B1499" s="14" t="str">
        <x:v>sanctuary-priene-athena-polias-sanctuary</x:v>
      </x:c>
      <x:c r="C1499" s="14" t="str">
        <x:v>src-pleiades-298577312</x:v>
      </x:c>
      <x:c r="D1499" s="14" t="str">
        <x:v>geometry</x:v>
      </x:c>
      <x:c r="E1499" s="20" t="b">
        <x:v>1</x:v>
      </x:c>
    </x:row>
    <x:row r="1500" ht="24" customHeight="1">
      <x:c r="A1500" s="14" t="str">
        <x:v>es-sanctuary-priene-athena-polias-sanctuary-pleiades-298577312-identity</x:v>
      </x:c>
      <x:c r="B1500" s="14" t="str">
        <x:v>sanctuary-priene-athena-polias-sanctuary</x:v>
      </x:c>
      <x:c r="C1500" s="14" t="str">
        <x:v>src-pleiades-298577312</x:v>
      </x:c>
      <x:c r="D1500" s="14" t="str">
        <x:v>identity</x:v>
      </x:c>
      <x:c r="E1500" s="20" t="b">
        <x:v>1</x:v>
      </x:c>
    </x:row>
    <x:row r="1501" ht="24" customHeight="1">
      <x:c r="A1501" s="14" t="str">
        <x:v>es-sanctuary-priene-athena-polias-sanctuary-pleiades-298577312-names</x:v>
      </x:c>
      <x:c r="B1501" s="14" t="str">
        <x:v>sanctuary-priene-athena-polias-sanctuary</x:v>
      </x:c>
      <x:c r="C1501" s="14" t="str">
        <x:v>src-pleiades-298577312</x:v>
      </x:c>
      <x:c r="D1501" s="14" t="str">
        <x:v>names</x:v>
      </x:c>
      <x:c r="E1501" s="20" t="b">
        <x:v>1</x:v>
      </x:c>
    </x:row>
    <x:row r="1502" ht="24" customHeight="1">
      <x:c r="A1502" s="14" t="str">
        <x:v>es-sanctuary-priene-athena-polias-sanctuary-pleiades-298577312-relationships</x:v>
      </x:c>
      <x:c r="B1502" s="14" t="str">
        <x:v>sanctuary-priene-athena-polias-sanctuary</x:v>
      </x:c>
      <x:c r="C1502" s="14" t="str">
        <x:v>src-pleiades-298577312</x:v>
      </x:c>
      <x:c r="D1502" s="14" t="str">
        <x:v>relationships</x:v>
      </x:c>
      <x:c r="E1502" s="20" t="b">
        <x:v>1</x:v>
      </x:c>
    </x:row>
    <x:row r="1503" ht="24" customHeight="1">
      <x:c r="A1503" s="14" t="str">
        <x:v>es-sanctuary-rhodes-zeus-atabyrios-sanctuary-pleiades-590099-chronology</x:v>
      </x:c>
      <x:c r="B1503" s="14" t="str">
        <x:v>sanctuary-rhodes-zeus-atabyrios-sanctuary</x:v>
      </x:c>
      <x:c r="C1503" s="14" t="str">
        <x:v>src-pleiades-590099</x:v>
      </x:c>
      <x:c r="D1503" s="14" t="str">
        <x:v>chronology</x:v>
      </x:c>
      <x:c r="E1503" s="20" t="b">
        <x:v>1</x:v>
      </x:c>
    </x:row>
    <x:row r="1504" ht="24" customHeight="1">
      <x:c r="A1504" s="14" t="str">
        <x:v>es-sanctuary-rhodes-zeus-atabyrios-sanctuary-pleiades-590099-classification</x:v>
      </x:c>
      <x:c r="B1504" s="14" t="str">
        <x:v>sanctuary-rhodes-zeus-atabyrios-sanctuary</x:v>
      </x:c>
      <x:c r="C1504" s="14" t="str">
        <x:v>src-pleiades-590099</x:v>
      </x:c>
      <x:c r="D1504" s="14" t="str">
        <x:v>classification</x:v>
      </x:c>
      <x:c r="E1504" s="20" t="b">
        <x:v>1</x:v>
      </x:c>
    </x:row>
    <x:row r="1505" ht="24" customHeight="1">
      <x:c r="A1505" s="14" t="str">
        <x:v>es-sanctuary-rhodes-zeus-atabyrios-sanctuary-pleiades-590099-description</x:v>
      </x:c>
      <x:c r="B1505" s="14" t="str">
        <x:v>sanctuary-rhodes-zeus-atabyrios-sanctuary</x:v>
      </x:c>
      <x:c r="C1505" s="14" t="str">
        <x:v>src-pleiades-590099</x:v>
      </x:c>
      <x:c r="D1505" s="14" t="str">
        <x:v>description</x:v>
      </x:c>
      <x:c r="E1505" s="20" t="b">
        <x:v>1</x:v>
      </x:c>
    </x:row>
    <x:row r="1506" ht="24" customHeight="1">
      <x:c r="A1506" s="14" t="str">
        <x:v>es-sanctuary-rhodes-zeus-atabyrios-sanctuary-pleiades-590099-geometry</x:v>
      </x:c>
      <x:c r="B1506" s="14" t="str">
        <x:v>sanctuary-rhodes-zeus-atabyrios-sanctuary</x:v>
      </x:c>
      <x:c r="C1506" s="14" t="str">
        <x:v>src-pleiades-590099</x:v>
      </x:c>
      <x:c r="D1506" s="14" t="str">
        <x:v>geometry</x:v>
      </x:c>
      <x:c r="E1506" s="20" t="b">
        <x:v>1</x:v>
      </x:c>
    </x:row>
    <x:row r="1507" ht="24" customHeight="1">
      <x:c r="A1507" s="14" t="str">
        <x:v>es-sanctuary-rhodes-zeus-atabyrios-sanctuary-pleiades-590099-identity</x:v>
      </x:c>
      <x:c r="B1507" s="14" t="str">
        <x:v>sanctuary-rhodes-zeus-atabyrios-sanctuary</x:v>
      </x:c>
      <x:c r="C1507" s="14" t="str">
        <x:v>src-pleiades-590099</x:v>
      </x:c>
      <x:c r="D1507" s="14" t="str">
        <x:v>identity</x:v>
      </x:c>
      <x:c r="E1507" s="20" t="b">
        <x:v>1</x:v>
      </x:c>
    </x:row>
    <x:row r="1508" ht="24" customHeight="1">
      <x:c r="A1508" s="14" t="str">
        <x:v>es-sanctuary-rhodes-zeus-atabyrios-sanctuary-pleiades-590099-names</x:v>
      </x:c>
      <x:c r="B1508" s="14" t="str">
        <x:v>sanctuary-rhodes-zeus-atabyrios-sanctuary</x:v>
      </x:c>
      <x:c r="C1508" s="14" t="str">
        <x:v>src-pleiades-590099</x:v>
      </x:c>
      <x:c r="D1508" s="14" t="str">
        <x:v>names</x:v>
      </x:c>
      <x:c r="E1508" s="20" t="b">
        <x:v>1</x:v>
      </x:c>
    </x:row>
    <x:row r="1509" ht="24" customHeight="1">
      <x:c r="A1509" s="14" t="str">
        <x:v>es-sanctuary-rhodes-zeus-atabyrios-sanctuary-pleiades-590099-relationships</x:v>
      </x:c>
      <x:c r="B1509" s="14" t="str">
        <x:v>sanctuary-rhodes-zeus-atabyrios-sanctuary</x:v>
      </x:c>
      <x:c r="C1509" s="14" t="str">
        <x:v>src-pleiades-590099</x:v>
      </x:c>
      <x:c r="D1509" s="14" t="str">
        <x:v>relationships</x:v>
      </x:c>
      <x:c r="E1509" s="20" t="b">
        <x:v>1</x:v>
      </x:c>
    </x:row>
    <x:row r="1510" ht="24" customHeight="1">
      <x:c r="A1510" s="14" t="str">
        <x:v>es-sanctuary-samos-heraion-pleiades-599641-chronology</x:v>
      </x:c>
      <x:c r="B1510" s="14" t="str">
        <x:v>sanctuary-samos-heraion</x:v>
      </x:c>
      <x:c r="C1510" s="14" t="str">
        <x:v>src-pleiades-599641</x:v>
      </x:c>
      <x:c r="D1510" s="14" t="str">
        <x:v>chronology</x:v>
      </x:c>
      <x:c r="E1510" s="20" t="b">
        <x:v>1</x:v>
      </x:c>
    </x:row>
    <x:row r="1511" ht="24" customHeight="1">
      <x:c r="A1511" s="14" t="str">
        <x:v>es-sanctuary-samos-heraion-pleiades-599641-classification</x:v>
      </x:c>
      <x:c r="B1511" s="14" t="str">
        <x:v>sanctuary-samos-heraion</x:v>
      </x:c>
      <x:c r="C1511" s="14" t="str">
        <x:v>src-pleiades-599641</x:v>
      </x:c>
      <x:c r="D1511" s="14" t="str">
        <x:v>classification</x:v>
      </x:c>
      <x:c r="E1511" s="20" t="b">
        <x:v>1</x:v>
      </x:c>
    </x:row>
    <x:row r="1512" ht="24" customHeight="1">
      <x:c r="A1512" s="14" t="str">
        <x:v>es-sanctuary-samos-heraion-pleiades-599641-description</x:v>
      </x:c>
      <x:c r="B1512" s="14" t="str">
        <x:v>sanctuary-samos-heraion</x:v>
      </x:c>
      <x:c r="C1512" s="14" t="str">
        <x:v>src-pleiades-599641</x:v>
      </x:c>
      <x:c r="D1512" s="14" t="str">
        <x:v>description</x:v>
      </x:c>
      <x:c r="E1512" s="20" t="b">
        <x:v>1</x:v>
      </x:c>
    </x:row>
    <x:row r="1513" ht="24" customHeight="1">
      <x:c r="A1513" s="14" t="str">
        <x:v>es-sanctuary-samos-heraion-pleiades-599641-geometry</x:v>
      </x:c>
      <x:c r="B1513" s="14" t="str">
        <x:v>sanctuary-samos-heraion</x:v>
      </x:c>
      <x:c r="C1513" s="14" t="str">
        <x:v>src-pleiades-599641</x:v>
      </x:c>
      <x:c r="D1513" s="14" t="str">
        <x:v>geometry</x:v>
      </x:c>
      <x:c r="E1513" s="20" t="b">
        <x:v>1</x:v>
      </x:c>
    </x:row>
    <x:row r="1514" ht="24" customHeight="1">
      <x:c r="A1514" s="14" t="str">
        <x:v>es-sanctuary-samos-heraion-pleiades-599641-identity</x:v>
      </x:c>
      <x:c r="B1514" s="14" t="str">
        <x:v>sanctuary-samos-heraion</x:v>
      </x:c>
      <x:c r="C1514" s="14" t="str">
        <x:v>src-pleiades-599641</x:v>
      </x:c>
      <x:c r="D1514" s="14" t="str">
        <x:v>identity</x:v>
      </x:c>
      <x:c r="E1514" s="20" t="b">
        <x:v>1</x:v>
      </x:c>
    </x:row>
    <x:row r="1515" ht="24" customHeight="1">
      <x:c r="A1515" s="14" t="str">
        <x:v>es-sanctuary-samos-heraion-pleiades-599641-names</x:v>
      </x:c>
      <x:c r="B1515" s="14" t="str">
        <x:v>sanctuary-samos-heraion</x:v>
      </x:c>
      <x:c r="C1515" s="14" t="str">
        <x:v>src-pleiades-599641</x:v>
      </x:c>
      <x:c r="D1515" s="14" t="str">
        <x:v>names</x:v>
      </x:c>
      <x:c r="E1515" s="20" t="b">
        <x:v>1</x:v>
      </x:c>
    </x:row>
    <x:row r="1516" ht="24" customHeight="1">
      <x:c r="A1516" s="14" t="str">
        <x:v>es-sanctuary-samos-heraion-pleiades-599641-relationships</x:v>
      </x:c>
      <x:c r="B1516" s="14" t="str">
        <x:v>sanctuary-samos-heraion</x:v>
      </x:c>
      <x:c r="C1516" s="14" t="str">
        <x:v>src-pleiades-599641</x:v>
      </x:c>
      <x:c r="D1516" s="14" t="str">
        <x:v>relationships</x:v>
      </x:c>
      <x:c r="E1516" s="20" t="b">
        <x:v>1</x:v>
      </x:c>
    </x:row>
    <x:row r="1517" ht="24" customHeight="1">
      <x:c r="A1517" s="14" t="str">
        <x:v>es-sanctuary-samothrace-great-gods-sanctuary-pleiades-501511-chronology</x:v>
      </x:c>
      <x:c r="B1517" s="14" t="str">
        <x:v>sanctuary-samothrace-great-gods-sanctuary</x:v>
      </x:c>
      <x:c r="C1517" s="14" t="str">
        <x:v>src-pleiades-501511</x:v>
      </x:c>
      <x:c r="D1517" s="14" t="str">
        <x:v>chronology</x:v>
      </x:c>
      <x:c r="E1517" s="20" t="b">
        <x:v>1</x:v>
      </x:c>
    </x:row>
    <x:row r="1518" ht="24" customHeight="1">
      <x:c r="A1518" s="14" t="str">
        <x:v>es-sanctuary-samothrace-great-gods-sanctuary-pleiades-501511-classification</x:v>
      </x:c>
      <x:c r="B1518" s="14" t="str">
        <x:v>sanctuary-samothrace-great-gods-sanctuary</x:v>
      </x:c>
      <x:c r="C1518" s="14" t="str">
        <x:v>src-pleiades-501511</x:v>
      </x:c>
      <x:c r="D1518" s="14" t="str">
        <x:v>classification</x:v>
      </x:c>
      <x:c r="E1518" s="20" t="b">
        <x:v>1</x:v>
      </x:c>
    </x:row>
    <x:row r="1519" ht="24" customHeight="1">
      <x:c r="A1519" s="14" t="str">
        <x:v>es-sanctuary-samothrace-great-gods-sanctuary-pleiades-501511-description</x:v>
      </x:c>
      <x:c r="B1519" s="14" t="str">
        <x:v>sanctuary-samothrace-great-gods-sanctuary</x:v>
      </x:c>
      <x:c r="C1519" s="14" t="str">
        <x:v>src-pleiades-501511</x:v>
      </x:c>
      <x:c r="D1519" s="14" t="str">
        <x:v>description</x:v>
      </x:c>
      <x:c r="E1519" s="20" t="b">
        <x:v>1</x:v>
      </x:c>
    </x:row>
    <x:row r="1520" ht="24" customHeight="1">
      <x:c r="A1520" s="14" t="str">
        <x:v>es-sanctuary-samothrace-great-gods-sanctuary-pleiades-501511-geometry</x:v>
      </x:c>
      <x:c r="B1520" s="14" t="str">
        <x:v>sanctuary-samothrace-great-gods-sanctuary</x:v>
      </x:c>
      <x:c r="C1520" s="14" t="str">
        <x:v>src-pleiades-501511</x:v>
      </x:c>
      <x:c r="D1520" s="14" t="str">
        <x:v>geometry</x:v>
      </x:c>
      <x:c r="E1520" s="20" t="b">
        <x:v>1</x:v>
      </x:c>
    </x:row>
    <x:row r="1521" ht="24" customHeight="1">
      <x:c r="A1521" s="14" t="str">
        <x:v>es-sanctuary-samothrace-great-gods-sanctuary-pleiades-501511-identity</x:v>
      </x:c>
      <x:c r="B1521" s="14" t="str">
        <x:v>sanctuary-samothrace-great-gods-sanctuary</x:v>
      </x:c>
      <x:c r="C1521" s="14" t="str">
        <x:v>src-pleiades-501511</x:v>
      </x:c>
      <x:c r="D1521" s="14" t="str">
        <x:v>identity</x:v>
      </x:c>
      <x:c r="E1521" s="20" t="b">
        <x:v>1</x:v>
      </x:c>
    </x:row>
    <x:row r="1522" ht="24" customHeight="1">
      <x:c r="A1522" s="14" t="str">
        <x:v>es-sanctuary-samothrace-great-gods-sanctuary-pleiades-501511-names</x:v>
      </x:c>
      <x:c r="B1522" s="14" t="str">
        <x:v>sanctuary-samothrace-great-gods-sanctuary</x:v>
      </x:c>
      <x:c r="C1522" s="14" t="str">
        <x:v>src-pleiades-501511</x:v>
      </x:c>
      <x:c r="D1522" s="14" t="str">
        <x:v>names</x:v>
      </x:c>
      <x:c r="E1522" s="20" t="b">
        <x:v>1</x:v>
      </x:c>
    </x:row>
    <x:row r="1523" ht="24" customHeight="1">
      <x:c r="A1523" s="14" t="str">
        <x:v>es-sanctuary-samothrace-great-gods-sanctuary-pleiades-501511-relationships</x:v>
      </x:c>
      <x:c r="B1523" s="14" t="str">
        <x:v>sanctuary-samothrace-great-gods-sanctuary</x:v>
      </x:c>
      <x:c r="C1523" s="14" t="str">
        <x:v>src-pleiades-501511</x:v>
      </x:c>
      <x:c r="D1523" s="14" t="str">
        <x:v>relationships</x:v>
      </x:c>
      <x:c r="E1523" s="20" t="b">
        <x:v>1</x:v>
      </x:c>
    </x:row>
    <x:row r="1524" ht="24" customHeight="1">
      <x:c r="A1524" s="14" t="str">
        <x:v>es-sanctuary-sardis-artemis-sanctuary-pleiades-66376536-chronology</x:v>
      </x:c>
      <x:c r="B1524" s="14" t="str">
        <x:v>sanctuary-sardis-artemis-sanctuary</x:v>
      </x:c>
      <x:c r="C1524" s="14" t="str">
        <x:v>src-pleiades-66376536</x:v>
      </x:c>
      <x:c r="D1524" s="14" t="str">
        <x:v>chronology</x:v>
      </x:c>
      <x:c r="E1524" s="20" t="b">
        <x:v>1</x:v>
      </x:c>
    </x:row>
    <x:row r="1525" ht="24" customHeight="1">
      <x:c r="A1525" s="14" t="str">
        <x:v>es-sanctuary-sardis-artemis-sanctuary-pleiades-66376536-classification</x:v>
      </x:c>
      <x:c r="B1525" s="14" t="str">
        <x:v>sanctuary-sardis-artemis-sanctuary</x:v>
      </x:c>
      <x:c r="C1525" s="14" t="str">
        <x:v>src-pleiades-66376536</x:v>
      </x:c>
      <x:c r="D1525" s="14" t="str">
        <x:v>classification</x:v>
      </x:c>
      <x:c r="E1525" s="20" t="b">
        <x:v>1</x:v>
      </x:c>
    </x:row>
    <x:row r="1526" ht="24" customHeight="1">
      <x:c r="A1526" s="14" t="str">
        <x:v>es-sanctuary-sardis-artemis-sanctuary-pleiades-66376536-description</x:v>
      </x:c>
      <x:c r="B1526" s="14" t="str">
        <x:v>sanctuary-sardis-artemis-sanctuary</x:v>
      </x:c>
      <x:c r="C1526" s="14" t="str">
        <x:v>src-pleiades-66376536</x:v>
      </x:c>
      <x:c r="D1526" s="14" t="str">
        <x:v>description</x:v>
      </x:c>
      <x:c r="E1526" s="20" t="b">
        <x:v>1</x:v>
      </x:c>
    </x:row>
    <x:row r="1527" ht="24" customHeight="1">
      <x:c r="A1527" s="14" t="str">
        <x:v>es-sanctuary-sardis-artemis-sanctuary-pleiades-66376536-geometry</x:v>
      </x:c>
      <x:c r="B1527" s="14" t="str">
        <x:v>sanctuary-sardis-artemis-sanctuary</x:v>
      </x:c>
      <x:c r="C1527" s="14" t="str">
        <x:v>src-pleiades-66376536</x:v>
      </x:c>
      <x:c r="D1527" s="14" t="str">
        <x:v>geometry</x:v>
      </x:c>
      <x:c r="E1527" s="20" t="b">
        <x:v>1</x:v>
      </x:c>
    </x:row>
    <x:row r="1528" ht="24" customHeight="1">
      <x:c r="A1528" s="14" t="str">
        <x:v>es-sanctuary-sardis-artemis-sanctuary-pleiades-66376536-identity</x:v>
      </x:c>
      <x:c r="B1528" s="14" t="str">
        <x:v>sanctuary-sardis-artemis-sanctuary</x:v>
      </x:c>
      <x:c r="C1528" s="14" t="str">
        <x:v>src-pleiades-66376536</x:v>
      </x:c>
      <x:c r="D1528" s="14" t="str">
        <x:v>identity</x:v>
      </x:c>
      <x:c r="E1528" s="20" t="b">
        <x:v>1</x:v>
      </x:c>
    </x:row>
    <x:row r="1529" ht="24" customHeight="1">
      <x:c r="A1529" s="14" t="str">
        <x:v>es-sanctuary-sardis-artemis-sanctuary-pleiades-66376536-names</x:v>
      </x:c>
      <x:c r="B1529" s="14" t="str">
        <x:v>sanctuary-sardis-artemis-sanctuary</x:v>
      </x:c>
      <x:c r="C1529" s="14" t="str">
        <x:v>src-pleiades-66376536</x:v>
      </x:c>
      <x:c r="D1529" s="14" t="str">
        <x:v>names</x:v>
      </x:c>
      <x:c r="E1529" s="20" t="b">
        <x:v>1</x:v>
      </x:c>
    </x:row>
    <x:row r="1530" ht="24" customHeight="1">
      <x:c r="A1530" s="14" t="str">
        <x:v>es-sanctuary-sardis-artemis-sanctuary-pleiades-66376536-relationships</x:v>
      </x:c>
      <x:c r="B1530" s="14" t="str">
        <x:v>sanctuary-sardis-artemis-sanctuary</x:v>
      </x:c>
      <x:c r="C1530" s="14" t="str">
        <x:v>src-pleiades-66376536</x:v>
      </x:c>
      <x:c r="D1530" s="14" t="str">
        <x:v>relationships</x:v>
      </x:c>
      <x:c r="E1530" s="20" t="b">
        <x:v>1</x:v>
      </x:c>
    </x:row>
    <x:row r="1531" ht="24" customHeight="1">
      <x:c r="A1531" s="14" t="str">
        <x:v>es-sanctuary-segesta-doric-temple-sanctuary-pleiades-963441586-chronology</x:v>
      </x:c>
      <x:c r="B1531" s="14" t="str">
        <x:v>sanctuary-segesta-doric-temple-sanctuary</x:v>
      </x:c>
      <x:c r="C1531" s="14" t="str">
        <x:v>src-pleiades-963441586</x:v>
      </x:c>
      <x:c r="D1531" s="14" t="str">
        <x:v>chronology</x:v>
      </x:c>
      <x:c r="E1531" s="20" t="b">
        <x:v>1</x:v>
      </x:c>
    </x:row>
    <x:row r="1532" ht="24" customHeight="1">
      <x:c r="A1532" s="14" t="str">
        <x:v>es-sanctuary-segesta-doric-temple-sanctuary-pleiades-963441586-classification</x:v>
      </x:c>
      <x:c r="B1532" s="14" t="str">
        <x:v>sanctuary-segesta-doric-temple-sanctuary</x:v>
      </x:c>
      <x:c r="C1532" s="14" t="str">
        <x:v>src-pleiades-963441586</x:v>
      </x:c>
      <x:c r="D1532" s="14" t="str">
        <x:v>classification</x:v>
      </x:c>
      <x:c r="E1532" s="20" t="b">
        <x:v>1</x:v>
      </x:c>
    </x:row>
    <x:row r="1533" ht="24" customHeight="1">
      <x:c r="A1533" s="14" t="str">
        <x:v>es-sanctuary-segesta-doric-temple-sanctuary-pleiades-963441586-description</x:v>
      </x:c>
      <x:c r="B1533" s="14" t="str">
        <x:v>sanctuary-segesta-doric-temple-sanctuary</x:v>
      </x:c>
      <x:c r="C1533" s="14" t="str">
        <x:v>src-pleiades-963441586</x:v>
      </x:c>
      <x:c r="D1533" s="14" t="str">
        <x:v>description</x:v>
      </x:c>
      <x:c r="E1533" s="20" t="b">
        <x:v>1</x:v>
      </x:c>
    </x:row>
    <x:row r="1534" ht="24" customHeight="1">
      <x:c r="A1534" s="14" t="str">
        <x:v>es-sanctuary-segesta-doric-temple-sanctuary-pleiades-963441586-geometry</x:v>
      </x:c>
      <x:c r="B1534" s="14" t="str">
        <x:v>sanctuary-segesta-doric-temple-sanctuary</x:v>
      </x:c>
      <x:c r="C1534" s="14" t="str">
        <x:v>src-pleiades-963441586</x:v>
      </x:c>
      <x:c r="D1534" s="14" t="str">
        <x:v>geometry</x:v>
      </x:c>
      <x:c r="E1534" s="20" t="b">
        <x:v>1</x:v>
      </x:c>
    </x:row>
    <x:row r="1535" ht="24" customHeight="1">
      <x:c r="A1535" s="14" t="str">
        <x:v>es-sanctuary-segesta-doric-temple-sanctuary-pleiades-963441586-identity</x:v>
      </x:c>
      <x:c r="B1535" s="14" t="str">
        <x:v>sanctuary-segesta-doric-temple-sanctuary</x:v>
      </x:c>
      <x:c r="C1535" s="14" t="str">
        <x:v>src-pleiades-963441586</x:v>
      </x:c>
      <x:c r="D1535" s="14" t="str">
        <x:v>identity</x:v>
      </x:c>
      <x:c r="E1535" s="20" t="b">
        <x:v>1</x:v>
      </x:c>
    </x:row>
    <x:row r="1536" ht="24" customHeight="1">
      <x:c r="A1536" s="14" t="str">
        <x:v>es-sanctuary-segesta-doric-temple-sanctuary-pleiades-963441586-names</x:v>
      </x:c>
      <x:c r="B1536" s="14" t="str">
        <x:v>sanctuary-segesta-doric-temple-sanctuary</x:v>
      </x:c>
      <x:c r="C1536" s="14" t="str">
        <x:v>src-pleiades-963441586</x:v>
      </x:c>
      <x:c r="D1536" s="14" t="str">
        <x:v>names</x:v>
      </x:c>
      <x:c r="E1536" s="20" t="b">
        <x:v>1</x:v>
      </x:c>
    </x:row>
    <x:row r="1537" ht="24" customHeight="1">
      <x:c r="A1537" s="14" t="str">
        <x:v>es-sanctuary-segesta-doric-temple-sanctuary-pleiades-963441586-relationships</x:v>
      </x:c>
      <x:c r="B1537" s="14" t="str">
        <x:v>sanctuary-segesta-doric-temple-sanctuary</x:v>
      </x:c>
      <x:c r="C1537" s="14" t="str">
        <x:v>src-pleiades-963441586</x:v>
      </x:c>
      <x:c r="D1537" s="14" t="str">
        <x:v>relationships</x:v>
      </x:c>
      <x:c r="E1537" s="20" t="b">
        <x:v>1</x:v>
      </x:c>
    </x:row>
    <x:row r="1538" ht="24" customHeight="1">
      <x:c r="A1538" s="14" t="str">
        <x:v>es-sanctuary-selinous-demeter-malophoros-sanctuary-pleiades-502577471-chronology</x:v>
      </x:c>
      <x:c r="B1538" s="14" t="str">
        <x:v>sanctuary-selinous-demeter-malophoros-sanctuary</x:v>
      </x:c>
      <x:c r="C1538" s="14" t="str">
        <x:v>src-pleiades-502577471</x:v>
      </x:c>
      <x:c r="D1538" s="14" t="str">
        <x:v>chronology</x:v>
      </x:c>
      <x:c r="E1538" s="20" t="b">
        <x:v>1</x:v>
      </x:c>
    </x:row>
    <x:row r="1539" ht="24" customHeight="1">
      <x:c r="A1539" s="14" t="str">
        <x:v>es-sanctuary-selinous-demeter-malophoros-sanctuary-pleiades-502577471-classification</x:v>
      </x:c>
      <x:c r="B1539" s="14" t="str">
        <x:v>sanctuary-selinous-demeter-malophoros-sanctuary</x:v>
      </x:c>
      <x:c r="C1539" s="14" t="str">
        <x:v>src-pleiades-502577471</x:v>
      </x:c>
      <x:c r="D1539" s="14" t="str">
        <x:v>classification</x:v>
      </x:c>
      <x:c r="E1539" s="20" t="b">
        <x:v>1</x:v>
      </x:c>
    </x:row>
    <x:row r="1540" ht="24" customHeight="1">
      <x:c r="A1540" s="14" t="str">
        <x:v>es-sanctuary-selinous-demeter-malophoros-sanctuary-pleiades-502577471-description</x:v>
      </x:c>
      <x:c r="B1540" s="14" t="str">
        <x:v>sanctuary-selinous-demeter-malophoros-sanctuary</x:v>
      </x:c>
      <x:c r="C1540" s="14" t="str">
        <x:v>src-pleiades-502577471</x:v>
      </x:c>
      <x:c r="D1540" s="14" t="str">
        <x:v>description</x:v>
      </x:c>
      <x:c r="E1540" s="20" t="b">
        <x:v>1</x:v>
      </x:c>
    </x:row>
    <x:row r="1541" ht="24" customHeight="1">
      <x:c r="A1541" s="14" t="str">
        <x:v>es-sanctuary-selinous-demeter-malophoros-sanctuary-pleiades-502577471-geometry</x:v>
      </x:c>
      <x:c r="B1541" s="14" t="str">
        <x:v>sanctuary-selinous-demeter-malophoros-sanctuary</x:v>
      </x:c>
      <x:c r="C1541" s="14" t="str">
        <x:v>src-pleiades-502577471</x:v>
      </x:c>
      <x:c r="D1541" s="14" t="str">
        <x:v>geometry</x:v>
      </x:c>
      <x:c r="E1541" s="20" t="b">
        <x:v>1</x:v>
      </x:c>
    </x:row>
    <x:row r="1542" ht="24" customHeight="1">
      <x:c r="A1542" s="14" t="str">
        <x:v>es-sanctuary-selinous-demeter-malophoros-sanctuary-pleiades-502577471-identity</x:v>
      </x:c>
      <x:c r="B1542" s="14" t="str">
        <x:v>sanctuary-selinous-demeter-malophoros-sanctuary</x:v>
      </x:c>
      <x:c r="C1542" s="14" t="str">
        <x:v>src-pleiades-502577471</x:v>
      </x:c>
      <x:c r="D1542" s="14" t="str">
        <x:v>identity</x:v>
      </x:c>
      <x:c r="E1542" s="20" t="b">
        <x:v>1</x:v>
      </x:c>
    </x:row>
    <x:row r="1543" ht="24" customHeight="1">
      <x:c r="A1543" s="14" t="str">
        <x:v>es-sanctuary-selinous-demeter-malophoros-sanctuary-pleiades-502577471-names</x:v>
      </x:c>
      <x:c r="B1543" s="14" t="str">
        <x:v>sanctuary-selinous-demeter-malophoros-sanctuary</x:v>
      </x:c>
      <x:c r="C1543" s="14" t="str">
        <x:v>src-pleiades-502577471</x:v>
      </x:c>
      <x:c r="D1543" s="14" t="str">
        <x:v>names</x:v>
      </x:c>
      <x:c r="E1543" s="20" t="b">
        <x:v>1</x:v>
      </x:c>
    </x:row>
    <x:row r="1544" ht="24" customHeight="1">
      <x:c r="A1544" s="14" t="str">
        <x:v>es-sanctuary-selinous-demeter-malophoros-sanctuary-pleiades-502577471-relationships</x:v>
      </x:c>
      <x:c r="B1544" s="14" t="str">
        <x:v>sanctuary-selinous-demeter-malophoros-sanctuary</x:v>
      </x:c>
      <x:c r="C1544" s="14" t="str">
        <x:v>src-pleiades-502577471</x:v>
      </x:c>
      <x:c r="D1544" s="14" t="str">
        <x:v>relationships</x:v>
      </x:c>
      <x:c r="E1544" s="20" t="b">
        <x:v>1</x:v>
      </x:c>
    </x:row>
    <x:row r="1545" ht="24" customHeight="1">
      <x:c r="A1545" s="14" t="str">
        <x:v>es-sanctuary-siwa-amun-zeus-oracle-pleiades-716520-chronology</x:v>
      </x:c>
      <x:c r="B1545" s="14" t="str">
        <x:v>sanctuary-siwa-amun-zeus-oracle</x:v>
      </x:c>
      <x:c r="C1545" s="14" t="str">
        <x:v>src-pleiades-716520</x:v>
      </x:c>
      <x:c r="D1545" s="14" t="str">
        <x:v>chronology</x:v>
      </x:c>
      <x:c r="E1545" s="20" t="b">
        <x:v>1</x:v>
      </x:c>
    </x:row>
    <x:row r="1546" ht="24" customHeight="1">
      <x:c r="A1546" s="14" t="str">
        <x:v>es-sanctuary-siwa-amun-zeus-oracle-pleiades-716520-classification</x:v>
      </x:c>
      <x:c r="B1546" s="14" t="str">
        <x:v>sanctuary-siwa-amun-zeus-oracle</x:v>
      </x:c>
      <x:c r="C1546" s="14" t="str">
        <x:v>src-pleiades-716520</x:v>
      </x:c>
      <x:c r="D1546" s="14" t="str">
        <x:v>classification</x:v>
      </x:c>
      <x:c r="E1546" s="20" t="b">
        <x:v>1</x:v>
      </x:c>
    </x:row>
    <x:row r="1547" ht="24" customHeight="1">
      <x:c r="A1547" s="14" t="str">
        <x:v>es-sanctuary-siwa-amun-zeus-oracle-pleiades-716520-description</x:v>
      </x:c>
      <x:c r="B1547" s="14" t="str">
        <x:v>sanctuary-siwa-amun-zeus-oracle</x:v>
      </x:c>
      <x:c r="C1547" s="14" t="str">
        <x:v>src-pleiades-716520</x:v>
      </x:c>
      <x:c r="D1547" s="14" t="str">
        <x:v>description</x:v>
      </x:c>
      <x:c r="E1547" s="20" t="b">
        <x:v>1</x:v>
      </x:c>
    </x:row>
    <x:row r="1548" ht="24" customHeight="1">
      <x:c r="A1548" s="14" t="str">
        <x:v>es-sanctuary-siwa-amun-zeus-oracle-pleiades-716520-geometry</x:v>
      </x:c>
      <x:c r="B1548" s="14" t="str">
        <x:v>sanctuary-siwa-amun-zeus-oracle</x:v>
      </x:c>
      <x:c r="C1548" s="14" t="str">
        <x:v>src-pleiades-716520</x:v>
      </x:c>
      <x:c r="D1548" s="14" t="str">
        <x:v>geometry</x:v>
      </x:c>
      <x:c r="E1548" s="20" t="b">
        <x:v>1</x:v>
      </x:c>
    </x:row>
    <x:row r="1549" ht="24" customHeight="1">
      <x:c r="A1549" s="14" t="str">
        <x:v>es-sanctuary-siwa-amun-zeus-oracle-pleiades-716520-identity</x:v>
      </x:c>
      <x:c r="B1549" s="14" t="str">
        <x:v>sanctuary-siwa-amun-zeus-oracle</x:v>
      </x:c>
      <x:c r="C1549" s="14" t="str">
        <x:v>src-pleiades-716520</x:v>
      </x:c>
      <x:c r="D1549" s="14" t="str">
        <x:v>identity</x:v>
      </x:c>
      <x:c r="E1549" s="20" t="b">
        <x:v>1</x:v>
      </x:c>
    </x:row>
    <x:row r="1550" ht="24" customHeight="1">
      <x:c r="A1550" s="14" t="str">
        <x:v>es-sanctuary-siwa-amun-zeus-oracle-pleiades-716520-names</x:v>
      </x:c>
      <x:c r="B1550" s="14" t="str">
        <x:v>sanctuary-siwa-amun-zeus-oracle</x:v>
      </x:c>
      <x:c r="C1550" s="14" t="str">
        <x:v>src-pleiades-716520</x:v>
      </x:c>
      <x:c r="D1550" s="14" t="str">
        <x:v>names</x:v>
      </x:c>
      <x:c r="E1550" s="20" t="b">
        <x:v>1</x:v>
      </x:c>
    </x:row>
    <x:row r="1551" ht="24" customHeight="1">
      <x:c r="A1551" s="14" t="str">
        <x:v>es-sanctuary-siwa-amun-zeus-oracle-pleiades-716520-relationships</x:v>
      </x:c>
      <x:c r="B1551" s="14" t="str">
        <x:v>sanctuary-siwa-amun-zeus-oracle</x:v>
      </x:c>
      <x:c r="C1551" s="14" t="str">
        <x:v>src-pleiades-716520</x:v>
      </x:c>
      <x:c r="D1551" s="14" t="str">
        <x:v>relationships</x:v>
      </x:c>
      <x:c r="E1551" s="20" t="b">
        <x:v>1</x:v>
      </x:c>
    </x:row>
    <x:row r="1552" ht="24" customHeight="1">
      <x:c r="A1552" s="14" t="str">
        <x:v>es-sanctuary-smintheion-apollo-sanctuary-pleiades-550892-chronology</x:v>
      </x:c>
      <x:c r="B1552" s="14" t="str">
        <x:v>sanctuary-smintheion-apollo-sanctuary</x:v>
      </x:c>
      <x:c r="C1552" s="14" t="str">
        <x:v>src-pleiades-550892</x:v>
      </x:c>
      <x:c r="D1552" s="14" t="str">
        <x:v>chronology</x:v>
      </x:c>
      <x:c r="E1552" s="20" t="b">
        <x:v>1</x:v>
      </x:c>
    </x:row>
    <x:row r="1553" ht="24" customHeight="1">
      <x:c r="A1553" s="14" t="str">
        <x:v>es-sanctuary-smintheion-apollo-sanctuary-pleiades-550892-classification</x:v>
      </x:c>
      <x:c r="B1553" s="14" t="str">
        <x:v>sanctuary-smintheion-apollo-sanctuary</x:v>
      </x:c>
      <x:c r="C1553" s="14" t="str">
        <x:v>src-pleiades-550892</x:v>
      </x:c>
      <x:c r="D1553" s="14" t="str">
        <x:v>classification</x:v>
      </x:c>
      <x:c r="E1553" s="20" t="b">
        <x:v>1</x:v>
      </x:c>
    </x:row>
    <x:row r="1554" ht="24" customHeight="1">
      <x:c r="A1554" s="14" t="str">
        <x:v>es-sanctuary-smintheion-apollo-sanctuary-pleiades-550892-description</x:v>
      </x:c>
      <x:c r="B1554" s="14" t="str">
        <x:v>sanctuary-smintheion-apollo-sanctuary</x:v>
      </x:c>
      <x:c r="C1554" s="14" t="str">
        <x:v>src-pleiades-550892</x:v>
      </x:c>
      <x:c r="D1554" s="14" t="str">
        <x:v>description</x:v>
      </x:c>
      <x:c r="E1554" s="20" t="b">
        <x:v>1</x:v>
      </x:c>
    </x:row>
    <x:row r="1555" ht="24" customHeight="1">
      <x:c r="A1555" s="14" t="str">
        <x:v>es-sanctuary-smintheion-apollo-sanctuary-pleiades-550892-geometry</x:v>
      </x:c>
      <x:c r="B1555" s="14" t="str">
        <x:v>sanctuary-smintheion-apollo-sanctuary</x:v>
      </x:c>
      <x:c r="C1555" s="14" t="str">
        <x:v>src-pleiades-550892</x:v>
      </x:c>
      <x:c r="D1555" s="14" t="str">
        <x:v>geometry</x:v>
      </x:c>
      <x:c r="E1555" s="20" t="b">
        <x:v>1</x:v>
      </x:c>
    </x:row>
    <x:row r="1556" ht="24" customHeight="1">
      <x:c r="A1556" s="14" t="str">
        <x:v>es-sanctuary-smintheion-apollo-sanctuary-pleiades-550892-identity</x:v>
      </x:c>
      <x:c r="B1556" s="14" t="str">
        <x:v>sanctuary-smintheion-apollo-sanctuary</x:v>
      </x:c>
      <x:c r="C1556" s="14" t="str">
        <x:v>src-pleiades-550892</x:v>
      </x:c>
      <x:c r="D1556" s="14" t="str">
        <x:v>identity</x:v>
      </x:c>
      <x:c r="E1556" s="20" t="b">
        <x:v>1</x:v>
      </x:c>
    </x:row>
    <x:row r="1557" ht="24" customHeight="1">
      <x:c r="A1557" s="14" t="str">
        <x:v>es-sanctuary-smintheion-apollo-sanctuary-pleiades-550892-names</x:v>
      </x:c>
      <x:c r="B1557" s="14" t="str">
        <x:v>sanctuary-smintheion-apollo-sanctuary</x:v>
      </x:c>
      <x:c r="C1557" s="14" t="str">
        <x:v>src-pleiades-550892</x:v>
      </x:c>
      <x:c r="D1557" s="14" t="str">
        <x:v>names</x:v>
      </x:c>
      <x:c r="E1557" s="20" t="b">
        <x:v>1</x:v>
      </x:c>
    </x:row>
    <x:row r="1558" ht="24" customHeight="1">
      <x:c r="A1558" s="14" t="str">
        <x:v>es-sanctuary-smintheion-apollo-sanctuary-pleiades-550892-relationships</x:v>
      </x:c>
      <x:c r="B1558" s="14" t="str">
        <x:v>sanctuary-smintheion-apollo-sanctuary</x:v>
      </x:c>
      <x:c r="C1558" s="14" t="str">
        <x:v>src-pleiades-550892</x:v>
      </x:c>
      <x:c r="D1558" s="14" t="str">
        <x:v>relationships</x:v>
      </x:c>
      <x:c r="E1558" s="20" t="b">
        <x:v>1</x:v>
      </x:c>
    </x:row>
    <x:row r="1559" ht="24" customHeight="1">
      <x:c r="A1559" s="14" t="str">
        <x:v>es-sanctuary-sounion-poseidon-sanctuary-pleiades-580086-chronology</x:v>
      </x:c>
      <x:c r="B1559" s="14" t="str">
        <x:v>sanctuary-sounion-poseidon-sanctuary</x:v>
      </x:c>
      <x:c r="C1559" s="14" t="str">
        <x:v>src-pleiades-580086</x:v>
      </x:c>
      <x:c r="D1559" s="14" t="str">
        <x:v>chronology</x:v>
      </x:c>
      <x:c r="E1559" s="20" t="b">
        <x:v>1</x:v>
      </x:c>
    </x:row>
    <x:row r="1560" ht="24" customHeight="1">
      <x:c r="A1560" s="14" t="str">
        <x:v>es-sanctuary-sounion-poseidon-sanctuary-pleiades-580086-classification</x:v>
      </x:c>
      <x:c r="B1560" s="14" t="str">
        <x:v>sanctuary-sounion-poseidon-sanctuary</x:v>
      </x:c>
      <x:c r="C1560" s="14" t="str">
        <x:v>src-pleiades-580086</x:v>
      </x:c>
      <x:c r="D1560" s="14" t="str">
        <x:v>classification</x:v>
      </x:c>
      <x:c r="E1560" s="20" t="b">
        <x:v>1</x:v>
      </x:c>
    </x:row>
    <x:row r="1561" ht="24" customHeight="1">
      <x:c r="A1561" s="14" t="str">
        <x:v>es-sanctuary-sounion-poseidon-sanctuary-pleiades-580086-description</x:v>
      </x:c>
      <x:c r="B1561" s="14" t="str">
        <x:v>sanctuary-sounion-poseidon-sanctuary</x:v>
      </x:c>
      <x:c r="C1561" s="14" t="str">
        <x:v>src-pleiades-580086</x:v>
      </x:c>
      <x:c r="D1561" s="14" t="str">
        <x:v>description</x:v>
      </x:c>
      <x:c r="E1561" s="20" t="b">
        <x:v>1</x:v>
      </x:c>
    </x:row>
    <x:row r="1562" ht="24" customHeight="1">
      <x:c r="A1562" s="14" t="str">
        <x:v>es-sanctuary-sounion-poseidon-sanctuary-pleiades-580086-geometry</x:v>
      </x:c>
      <x:c r="B1562" s="14" t="str">
        <x:v>sanctuary-sounion-poseidon-sanctuary</x:v>
      </x:c>
      <x:c r="C1562" s="14" t="str">
        <x:v>src-pleiades-580086</x:v>
      </x:c>
      <x:c r="D1562" s="14" t="str">
        <x:v>geometry</x:v>
      </x:c>
      <x:c r="E1562" s="20" t="b">
        <x:v>1</x:v>
      </x:c>
    </x:row>
    <x:row r="1563" ht="24" customHeight="1">
      <x:c r="A1563" s="14" t="str">
        <x:v>es-sanctuary-sounion-poseidon-sanctuary-pleiades-580086-identity</x:v>
      </x:c>
      <x:c r="B1563" s="14" t="str">
        <x:v>sanctuary-sounion-poseidon-sanctuary</x:v>
      </x:c>
      <x:c r="C1563" s="14" t="str">
        <x:v>src-pleiades-580086</x:v>
      </x:c>
      <x:c r="D1563" s="14" t="str">
        <x:v>identity</x:v>
      </x:c>
      <x:c r="E1563" s="20" t="b">
        <x:v>1</x:v>
      </x:c>
    </x:row>
    <x:row r="1564" ht="24" customHeight="1">
      <x:c r="A1564" s="14" t="str">
        <x:v>es-sanctuary-sounion-poseidon-sanctuary-pleiades-580086-names</x:v>
      </x:c>
      <x:c r="B1564" s="14" t="str">
        <x:v>sanctuary-sounion-poseidon-sanctuary</x:v>
      </x:c>
      <x:c r="C1564" s="14" t="str">
        <x:v>src-pleiades-580086</x:v>
      </x:c>
      <x:c r="D1564" s="14" t="str">
        <x:v>names</x:v>
      </x:c>
      <x:c r="E1564" s="20" t="b">
        <x:v>1</x:v>
      </x:c>
    </x:row>
    <x:row r="1565" ht="24" customHeight="1">
      <x:c r="A1565" s="14" t="str">
        <x:v>es-sanctuary-sounion-poseidon-sanctuary-pleiades-580086-relationships</x:v>
      </x:c>
      <x:c r="B1565" s="14" t="str">
        <x:v>sanctuary-sounion-poseidon-sanctuary</x:v>
      </x:c>
      <x:c r="C1565" s="14" t="str">
        <x:v>src-pleiades-580086</x:v>
      </x:c>
      <x:c r="D1565" s="14" t="str">
        <x:v>relationships</x:v>
      </x:c>
      <x:c r="E1565" s="20" t="b">
        <x:v>1</x:v>
      </x:c>
    </x:row>
    <x:row r="1566" ht="24" customHeight="1">
      <x:c r="A1566" s="14" t="str">
        <x:v>es-sanctuary-syracuse-apollo-sanctuary-pleiades-418729933-chronology</x:v>
      </x:c>
      <x:c r="B1566" s="14" t="str">
        <x:v>sanctuary-syracuse-apollo-sanctuary</x:v>
      </x:c>
      <x:c r="C1566" s="14" t="str">
        <x:v>src-pleiades-418729933</x:v>
      </x:c>
      <x:c r="D1566" s="14" t="str">
        <x:v>chronology</x:v>
      </x:c>
      <x:c r="E1566" s="20" t="b">
        <x:v>1</x:v>
      </x:c>
    </x:row>
    <x:row r="1567" ht="24" customHeight="1">
      <x:c r="A1567" s="14" t="str">
        <x:v>es-sanctuary-syracuse-apollo-sanctuary-pleiades-418729933-classification</x:v>
      </x:c>
      <x:c r="B1567" s="14" t="str">
        <x:v>sanctuary-syracuse-apollo-sanctuary</x:v>
      </x:c>
      <x:c r="C1567" s="14" t="str">
        <x:v>src-pleiades-418729933</x:v>
      </x:c>
      <x:c r="D1567" s="14" t="str">
        <x:v>classification</x:v>
      </x:c>
      <x:c r="E1567" s="20" t="b">
        <x:v>1</x:v>
      </x:c>
    </x:row>
    <x:row r="1568" ht="24" customHeight="1">
      <x:c r="A1568" s="14" t="str">
        <x:v>es-sanctuary-syracuse-apollo-sanctuary-pleiades-418729933-description</x:v>
      </x:c>
      <x:c r="B1568" s="14" t="str">
        <x:v>sanctuary-syracuse-apollo-sanctuary</x:v>
      </x:c>
      <x:c r="C1568" s="14" t="str">
        <x:v>src-pleiades-418729933</x:v>
      </x:c>
      <x:c r="D1568" s="14" t="str">
        <x:v>description</x:v>
      </x:c>
      <x:c r="E1568" s="20" t="b">
        <x:v>1</x:v>
      </x:c>
    </x:row>
    <x:row r="1569" ht="24" customHeight="1">
      <x:c r="A1569" s="14" t="str">
        <x:v>es-sanctuary-syracuse-apollo-sanctuary-pleiades-418729933-geometry</x:v>
      </x:c>
      <x:c r="B1569" s="14" t="str">
        <x:v>sanctuary-syracuse-apollo-sanctuary</x:v>
      </x:c>
      <x:c r="C1569" s="14" t="str">
        <x:v>src-pleiades-418729933</x:v>
      </x:c>
      <x:c r="D1569" s="14" t="str">
        <x:v>geometry</x:v>
      </x:c>
      <x:c r="E1569" s="20" t="b">
        <x:v>1</x:v>
      </x:c>
    </x:row>
    <x:row r="1570" ht="24" customHeight="1">
      <x:c r="A1570" s="14" t="str">
        <x:v>es-sanctuary-syracuse-apollo-sanctuary-pleiades-418729933-identity</x:v>
      </x:c>
      <x:c r="B1570" s="14" t="str">
        <x:v>sanctuary-syracuse-apollo-sanctuary</x:v>
      </x:c>
      <x:c r="C1570" s="14" t="str">
        <x:v>src-pleiades-418729933</x:v>
      </x:c>
      <x:c r="D1570" s="14" t="str">
        <x:v>identity</x:v>
      </x:c>
      <x:c r="E1570" s="20" t="b">
        <x:v>1</x:v>
      </x:c>
    </x:row>
    <x:row r="1571" ht="24" customHeight="1">
      <x:c r="A1571" s="14" t="str">
        <x:v>es-sanctuary-syracuse-apollo-sanctuary-pleiades-418729933-names</x:v>
      </x:c>
      <x:c r="B1571" s="14" t="str">
        <x:v>sanctuary-syracuse-apollo-sanctuary</x:v>
      </x:c>
      <x:c r="C1571" s="14" t="str">
        <x:v>src-pleiades-418729933</x:v>
      </x:c>
      <x:c r="D1571" s="14" t="str">
        <x:v>names</x:v>
      </x:c>
      <x:c r="E1571" s="20" t="b">
        <x:v>1</x:v>
      </x:c>
    </x:row>
    <x:row r="1572" ht="24" customHeight="1">
      <x:c r="A1572" s="14" t="str">
        <x:v>es-sanctuary-syracuse-apollo-sanctuary-pleiades-418729933-relationships</x:v>
      </x:c>
      <x:c r="B1572" s="14" t="str">
        <x:v>sanctuary-syracuse-apollo-sanctuary</x:v>
      </x:c>
      <x:c r="C1572" s="14" t="str">
        <x:v>src-pleiades-418729933</x:v>
      </x:c>
      <x:c r="D1572" s="14" t="str">
        <x:v>relationships</x:v>
      </x:c>
      <x:c r="E1572" s="20" t="b">
        <x:v>1</x:v>
      </x:c>
    </x:row>
    <x:row r="1573" ht="24" customHeight="1">
      <x:c r="A1573" s="14" t="str">
        <x:v>es-sanctuary-tegea-athena-alea-sanctuary-pleiades-372843530-chronology</x:v>
      </x:c>
      <x:c r="B1573" s="14" t="str">
        <x:v>sanctuary-tegea-athena-alea-sanctuary</x:v>
      </x:c>
      <x:c r="C1573" s="14" t="str">
        <x:v>src-pleiades-372843530</x:v>
      </x:c>
      <x:c r="D1573" s="14" t="str">
        <x:v>chronology</x:v>
      </x:c>
      <x:c r="E1573" s="20" t="b">
        <x:v>1</x:v>
      </x:c>
    </x:row>
    <x:row r="1574" ht="24" customHeight="1">
      <x:c r="A1574" s="14" t="str">
        <x:v>es-sanctuary-tegea-athena-alea-sanctuary-pleiades-372843530-classification</x:v>
      </x:c>
      <x:c r="B1574" s="14" t="str">
        <x:v>sanctuary-tegea-athena-alea-sanctuary</x:v>
      </x:c>
      <x:c r="C1574" s="14" t="str">
        <x:v>src-pleiades-372843530</x:v>
      </x:c>
      <x:c r="D1574" s="14" t="str">
        <x:v>classification</x:v>
      </x:c>
      <x:c r="E1574" s="20" t="b">
        <x:v>1</x:v>
      </x:c>
    </x:row>
    <x:row r="1575" ht="24" customHeight="1">
      <x:c r="A1575" s="14" t="str">
        <x:v>es-sanctuary-tegea-athena-alea-sanctuary-pleiades-372843530-description</x:v>
      </x:c>
      <x:c r="B1575" s="14" t="str">
        <x:v>sanctuary-tegea-athena-alea-sanctuary</x:v>
      </x:c>
      <x:c r="C1575" s="14" t="str">
        <x:v>src-pleiades-372843530</x:v>
      </x:c>
      <x:c r="D1575" s="14" t="str">
        <x:v>description</x:v>
      </x:c>
      <x:c r="E1575" s="20" t="b">
        <x:v>1</x:v>
      </x:c>
    </x:row>
    <x:row r="1576" ht="24" customHeight="1">
      <x:c r="A1576" s="14" t="str">
        <x:v>es-sanctuary-tegea-athena-alea-sanctuary-pleiades-372843530-geometry</x:v>
      </x:c>
      <x:c r="B1576" s="14" t="str">
        <x:v>sanctuary-tegea-athena-alea-sanctuary</x:v>
      </x:c>
      <x:c r="C1576" s="14" t="str">
        <x:v>src-pleiades-372843530</x:v>
      </x:c>
      <x:c r="D1576" s="14" t="str">
        <x:v>geometry</x:v>
      </x:c>
      <x:c r="E1576" s="20" t="b">
        <x:v>1</x:v>
      </x:c>
    </x:row>
    <x:row r="1577" ht="24" customHeight="1">
      <x:c r="A1577" s="14" t="str">
        <x:v>es-sanctuary-tegea-athena-alea-sanctuary-pleiades-372843530-identity</x:v>
      </x:c>
      <x:c r="B1577" s="14" t="str">
        <x:v>sanctuary-tegea-athena-alea-sanctuary</x:v>
      </x:c>
      <x:c r="C1577" s="14" t="str">
        <x:v>src-pleiades-372843530</x:v>
      </x:c>
      <x:c r="D1577" s="14" t="str">
        <x:v>identity</x:v>
      </x:c>
      <x:c r="E1577" s="20" t="b">
        <x:v>1</x:v>
      </x:c>
    </x:row>
    <x:row r="1578" ht="24" customHeight="1">
      <x:c r="A1578" s="14" t="str">
        <x:v>es-sanctuary-tegea-athena-alea-sanctuary-pleiades-372843530-names</x:v>
      </x:c>
      <x:c r="B1578" s="14" t="str">
        <x:v>sanctuary-tegea-athena-alea-sanctuary</x:v>
      </x:c>
      <x:c r="C1578" s="14" t="str">
        <x:v>src-pleiades-372843530</x:v>
      </x:c>
      <x:c r="D1578" s="14" t="str">
        <x:v>names</x:v>
      </x:c>
      <x:c r="E1578" s="20" t="b">
        <x:v>1</x:v>
      </x:c>
    </x:row>
    <x:row r="1579" ht="24" customHeight="1">
      <x:c r="A1579" s="14" t="str">
        <x:v>es-sanctuary-tegea-athena-alea-sanctuary-pleiades-372843530-relationships</x:v>
      </x:c>
      <x:c r="B1579" s="14" t="str">
        <x:v>sanctuary-tegea-athena-alea-sanctuary</x:v>
      </x:c>
      <x:c r="C1579" s="14" t="str">
        <x:v>src-pleiades-372843530</x:v>
      </x:c>
      <x:c r="D1579" s="14" t="str">
        <x:v>relationships</x:v>
      </x:c>
      <x:c r="E1579" s="20" t="b">
        <x:v>1</x:v>
      </x:c>
    </x:row>
    <x:row r="1580" ht="24" customHeight="1">
      <x:c r="A1580" s="14" t="str">
        <x:v>es-sanctuary-thermon-apollo-sanctuary-pleiades-728329645-chronology</x:v>
      </x:c>
      <x:c r="B1580" s="14" t="str">
        <x:v>sanctuary-thermon-apollo-sanctuary</x:v>
      </x:c>
      <x:c r="C1580" s="14" t="str">
        <x:v>src-pleiades-728329645</x:v>
      </x:c>
      <x:c r="D1580" s="14" t="str">
        <x:v>chronology</x:v>
      </x:c>
      <x:c r="E1580" s="20" t="b">
        <x:v>1</x:v>
      </x:c>
    </x:row>
    <x:row r="1581" ht="24" customHeight="1">
      <x:c r="A1581" s="14" t="str">
        <x:v>es-sanctuary-thermon-apollo-sanctuary-pleiades-728329645-classification</x:v>
      </x:c>
      <x:c r="B1581" s="14" t="str">
        <x:v>sanctuary-thermon-apollo-sanctuary</x:v>
      </x:c>
      <x:c r="C1581" s="14" t="str">
        <x:v>src-pleiades-728329645</x:v>
      </x:c>
      <x:c r="D1581" s="14" t="str">
        <x:v>classification</x:v>
      </x:c>
      <x:c r="E1581" s="20" t="b">
        <x:v>1</x:v>
      </x:c>
    </x:row>
    <x:row r="1582" ht="24" customHeight="1">
      <x:c r="A1582" s="14" t="str">
        <x:v>es-sanctuary-thermon-apollo-sanctuary-pleiades-728329645-description</x:v>
      </x:c>
      <x:c r="B1582" s="14" t="str">
        <x:v>sanctuary-thermon-apollo-sanctuary</x:v>
      </x:c>
      <x:c r="C1582" s="14" t="str">
        <x:v>src-pleiades-728329645</x:v>
      </x:c>
      <x:c r="D1582" s="14" t="str">
        <x:v>description</x:v>
      </x:c>
      <x:c r="E1582" s="20" t="b">
        <x:v>1</x:v>
      </x:c>
    </x:row>
    <x:row r="1583" ht="24" customHeight="1">
      <x:c r="A1583" s="14" t="str">
        <x:v>es-sanctuary-thermon-apollo-sanctuary-pleiades-728329645-geometry</x:v>
      </x:c>
      <x:c r="B1583" s="14" t="str">
        <x:v>sanctuary-thermon-apollo-sanctuary</x:v>
      </x:c>
      <x:c r="C1583" s="14" t="str">
        <x:v>src-pleiades-728329645</x:v>
      </x:c>
      <x:c r="D1583" s="14" t="str">
        <x:v>geometry</x:v>
      </x:c>
      <x:c r="E1583" s="20" t="b">
        <x:v>1</x:v>
      </x:c>
    </x:row>
    <x:row r="1584" ht="24" customHeight="1">
      <x:c r="A1584" s="14" t="str">
        <x:v>es-sanctuary-thermon-apollo-sanctuary-pleiades-728329645-identity</x:v>
      </x:c>
      <x:c r="B1584" s="14" t="str">
        <x:v>sanctuary-thermon-apollo-sanctuary</x:v>
      </x:c>
      <x:c r="C1584" s="14" t="str">
        <x:v>src-pleiades-728329645</x:v>
      </x:c>
      <x:c r="D1584" s="14" t="str">
        <x:v>identity</x:v>
      </x:c>
      <x:c r="E1584" s="20" t="b">
        <x:v>1</x:v>
      </x:c>
    </x:row>
    <x:row r="1585" ht="24" customHeight="1">
      <x:c r="A1585" s="14" t="str">
        <x:v>es-sanctuary-thermon-apollo-sanctuary-pleiades-728329645-names</x:v>
      </x:c>
      <x:c r="B1585" s="14" t="str">
        <x:v>sanctuary-thermon-apollo-sanctuary</x:v>
      </x:c>
      <x:c r="C1585" s="14" t="str">
        <x:v>src-pleiades-728329645</x:v>
      </x:c>
      <x:c r="D1585" s="14" t="str">
        <x:v>names</x:v>
      </x:c>
      <x:c r="E1585" s="20" t="b">
        <x:v>1</x:v>
      </x:c>
    </x:row>
    <x:row r="1586" ht="24" customHeight="1">
      <x:c r="A1586" s="14" t="str">
        <x:v>es-sanctuary-thermon-apollo-sanctuary-pleiades-728329645-relationships</x:v>
      </x:c>
      <x:c r="B1586" s="14" t="str">
        <x:v>sanctuary-thermon-apollo-sanctuary</x:v>
      </x:c>
      <x:c r="C1586" s="14" t="str">
        <x:v>src-pleiades-728329645</x:v>
      </x:c>
      <x:c r="D1586" s="14" t="str">
        <x:v>relationships</x:v>
      </x:c>
      <x:c r="E1586" s="20" t="b">
        <x:v>1</x:v>
      </x:c>
    </x:row>
    <x:row r="1587" ht="24" customHeight="1">
      <x:c r="A1587" s="14" t="str">
        <x:v>es-sanctuary-tinos-poseidon-amphitrite-sanctuary-pleiades-590006-chronology</x:v>
      </x:c>
      <x:c r="B1587" s="14" t="str">
        <x:v>sanctuary-tinos-poseidon-amphitrite-sanctuary</x:v>
      </x:c>
      <x:c r="C1587" s="14" t="str">
        <x:v>src-pleiades-590006</x:v>
      </x:c>
      <x:c r="D1587" s="14" t="str">
        <x:v>chronology</x:v>
      </x:c>
      <x:c r="E1587" s="20" t="b">
        <x:v>1</x:v>
      </x:c>
    </x:row>
    <x:row r="1588" ht="24" customHeight="1">
      <x:c r="A1588" s="14" t="str">
        <x:v>es-sanctuary-tinos-poseidon-amphitrite-sanctuary-pleiades-590006-classification</x:v>
      </x:c>
      <x:c r="B1588" s="14" t="str">
        <x:v>sanctuary-tinos-poseidon-amphitrite-sanctuary</x:v>
      </x:c>
      <x:c r="C1588" s="14" t="str">
        <x:v>src-pleiades-590006</x:v>
      </x:c>
      <x:c r="D1588" s="14" t="str">
        <x:v>classification</x:v>
      </x:c>
      <x:c r="E1588" s="20" t="b">
        <x:v>1</x:v>
      </x:c>
    </x:row>
    <x:row r="1589" ht="24" customHeight="1">
      <x:c r="A1589" s="14" t="str">
        <x:v>es-sanctuary-tinos-poseidon-amphitrite-sanctuary-pleiades-590006-description</x:v>
      </x:c>
      <x:c r="B1589" s="14" t="str">
        <x:v>sanctuary-tinos-poseidon-amphitrite-sanctuary</x:v>
      </x:c>
      <x:c r="C1589" s="14" t="str">
        <x:v>src-pleiades-590006</x:v>
      </x:c>
      <x:c r="D1589" s="14" t="str">
        <x:v>description</x:v>
      </x:c>
      <x:c r="E1589" s="20" t="b">
        <x:v>1</x:v>
      </x:c>
    </x:row>
    <x:row r="1590" ht="24" customHeight="1">
      <x:c r="A1590" s="14" t="str">
        <x:v>es-sanctuary-tinos-poseidon-amphitrite-sanctuary-pleiades-590006-geometry</x:v>
      </x:c>
      <x:c r="B1590" s="14" t="str">
        <x:v>sanctuary-tinos-poseidon-amphitrite-sanctuary</x:v>
      </x:c>
      <x:c r="C1590" s="14" t="str">
        <x:v>src-pleiades-590006</x:v>
      </x:c>
      <x:c r="D1590" s="14" t="str">
        <x:v>geometry</x:v>
      </x:c>
      <x:c r="E1590" s="20" t="b">
        <x:v>1</x:v>
      </x:c>
    </x:row>
    <x:row r="1591" ht="24" customHeight="1">
      <x:c r="A1591" s="14" t="str">
        <x:v>es-sanctuary-tinos-poseidon-amphitrite-sanctuary-pleiades-590006-identity</x:v>
      </x:c>
      <x:c r="B1591" s="14" t="str">
        <x:v>sanctuary-tinos-poseidon-amphitrite-sanctuary</x:v>
      </x:c>
      <x:c r="C1591" s="14" t="str">
        <x:v>src-pleiades-590006</x:v>
      </x:c>
      <x:c r="D1591" s="14" t="str">
        <x:v>identity</x:v>
      </x:c>
      <x:c r="E1591" s="20" t="b">
        <x:v>1</x:v>
      </x:c>
    </x:row>
    <x:row r="1592" ht="24" customHeight="1">
      <x:c r="A1592" s="14" t="str">
        <x:v>es-sanctuary-tinos-poseidon-amphitrite-sanctuary-pleiades-590006-names</x:v>
      </x:c>
      <x:c r="B1592" s="14" t="str">
        <x:v>sanctuary-tinos-poseidon-amphitrite-sanctuary</x:v>
      </x:c>
      <x:c r="C1592" s="14" t="str">
        <x:v>src-pleiades-590006</x:v>
      </x:c>
      <x:c r="D1592" s="14" t="str">
        <x:v>names</x:v>
      </x:c>
      <x:c r="E1592" s="20" t="b">
        <x:v>1</x:v>
      </x:c>
    </x:row>
    <x:row r="1593" ht="24" customHeight="1">
      <x:c r="A1593" s="14" t="str">
        <x:v>es-sanctuary-tinos-poseidon-amphitrite-sanctuary-pleiades-590006-relationships</x:v>
      </x:c>
      <x:c r="B1593" s="14" t="str">
        <x:v>sanctuary-tinos-poseidon-amphitrite-sanctuary</x:v>
      </x:c>
      <x:c r="C1593" s="14" t="str">
        <x:v>src-pleiades-590006</x:v>
      </x:c>
      <x:c r="D1593" s="14" t="str">
        <x:v>relationships</x:v>
      </x:c>
      <x:c r="E1593" s="20" t="b">
        <x:v>1</x:v>
      </x:c>
    </x:row>
  </x:sheetData>
  <x:mergeCells>
    <x:mergeCell ref="A1:E1"/>
    <x:mergeCell ref="A2:E2"/>
  </x:mergeCells>
  <x:pageMargins left="0.7" right="0.7" top="0.75" bottom="0.75" header="0.3" footer="0.3"/>
  <x:tableParts count="1">
    <x:tablePart xmlns:r="http://schemas.openxmlformats.org/officeDocument/2006/relationships" r:id="Rf8d8779562f64f4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36" hidden="0" customWidth="1"/>
    <x:col min="3" max="3" width="44" hidden="0" customWidth="1"/>
    <x:col min="4" max="4" width="18" hidden="0" customWidth="1"/>
    <x:col min="5" max="5" width="18" hidden="0" customWidth="1"/>
    <x:col min="6" max="6" width="48" hidden="0" customWidth="1"/>
    <x:col min="7" max="7" width="18" hidden="0" customWidth="1"/>
    <x:col min="8" max="8" width="24" hidden="0" customWidth="1"/>
  </x:cols>
  <x:sheetData>
    <x:row r="1" ht="34" customHeight="1">
      <x:c r="A1" s="3" t="str">
        <x:v>External IDs / Εξωτερικά αναγνωριστικά</x:v>
      </x:c>
      <x:c r="B1" s="3"/>
      <x:c r="C1" s="3"/>
      <x:c r="D1" s="3"/>
      <x:c r="E1" s="3"/>
      <x:c r="F1" s="3"/>
      <x:c r="G1" s="3"/>
      <x:c r="H1" s="3"/>
    </x:row>
    <x:row r="2" ht="28" customHeight="1">
      <x:c r="A2" s="8" t="str">
        <x:v>Canonical external alignments. Polity identifiers attach to representative-centre place assertions rather than territorial entities.</x:v>
      </x:c>
      <x:c r="B2" s="8"/>
      <x:c r="C2" s="8"/>
      <x:c r="D2" s="8"/>
      <x:c r="E2" s="8"/>
      <x:c r="F2" s="8"/>
      <x:c r="G2" s="8"/>
      <x:c r="H2" s="8"/>
    </x:row>
    <x:row r="4" ht="30" customHeight="1">
      <x:c r="A4" s="13" t="str">
        <x:v>external_id</x:v>
      </x:c>
      <x:c r="B4" s="13" t="str">
        <x:v>entity_id</x:v>
      </x:c>
      <x:c r="C4" s="13" t="str">
        <x:v>place_id</x:v>
      </x:c>
      <x:c r="D4" s="13" t="str">
        <x:v>scheme</x:v>
      </x:c>
      <x:c r="E4" s="13" t="str">
        <x:v>identifier</x:v>
      </x:c>
      <x:c r="F4" s="13" t="str">
        <x:v>uri</x:v>
      </x:c>
      <x:c r="G4" s="13" t="str">
        <x:v>match_type</x:v>
      </x:c>
      <x:c r="H4" s="13" t="str">
        <x:v>source_id</x:v>
      </x:c>
    </x:row>
    <x:row r="5" ht="28" customHeight="1">
      <x:c r="A5" s="14" t="str">
        <x:v>ext-pleiades-city-aegina-city</x:v>
      </x:c>
      <x:c r="B5" s="14" t="str">
        <x:v>city-aegina-city</x:v>
      </x:c>
      <x:c r="C5" s="14"/>
      <x:c r="D5" s="14" t="str">
        <x:v>pleiades</x:v>
      </x:c>
      <x:c r="E5" s="14" t="str">
        <x:v>579853</x:v>
      </x:c>
      <x:c r="F5" s="14" t="str">
        <x:v>https://pleiades.stoa.org/places/579853</x:v>
      </x:c>
      <x:c r="G5" s="14" t="str">
        <x:v>exact</x:v>
      </x:c>
      <x:c r="H5" s="14" t="str">
        <x:v>src-pleiades-579853</x:v>
      </x:c>
    </x:row>
    <x:row r="6" ht="28" customHeight="1">
      <x:c r="A6" s="14" t="str">
        <x:v>ext-pleiades-city-aigai-macedonia</x:v>
      </x:c>
      <x:c r="B6" s="14" t="str">
        <x:v>city-aigai-macedonia</x:v>
      </x:c>
      <x:c r="C6" s="14"/>
      <x:c r="D6" s="14" t="str">
        <x:v>pleiades</x:v>
      </x:c>
      <x:c r="E6" s="14" t="str">
        <x:v>491512</x:v>
      </x:c>
      <x:c r="F6" s="14" t="str">
        <x:v>https://pleiades.stoa.org/places/491512</x:v>
      </x:c>
      <x:c r="G6" s="14" t="str">
        <x:v>exact</x:v>
      </x:c>
      <x:c r="H6" s="14" t="str">
        <x:v>src-pleiades-491512</x:v>
      </x:c>
    </x:row>
    <x:row r="7" ht="28" customHeight="1">
      <x:c r="A7" s="14" t="str">
        <x:v>ext-pleiades-city-alexandria-egypt</x:v>
      </x:c>
      <x:c r="B7" s="14" t="str">
        <x:v>city-alexandria-egypt</x:v>
      </x:c>
      <x:c r="C7" s="14"/>
      <x:c r="D7" s="14" t="str">
        <x:v>pleiades</x:v>
      </x:c>
      <x:c r="E7" s="14" t="str">
        <x:v>727070</x:v>
      </x:c>
      <x:c r="F7" s="14" t="str">
        <x:v>https://pleiades.stoa.org/places/727070</x:v>
      </x:c>
      <x:c r="G7" s="14" t="str">
        <x:v>exact</x:v>
      </x:c>
      <x:c r="H7" s="14" t="str">
        <x:v>src-pleiades-727070</x:v>
      </x:c>
    </x:row>
    <x:row r="8" ht="28" customHeight="1">
      <x:c r="A8" s="14" t="str">
        <x:v>ext-pleiades-city-antioch-orontes</x:v>
      </x:c>
      <x:c r="B8" s="14" t="str">
        <x:v>city-antioch-orontes</x:v>
      </x:c>
      <x:c r="C8" s="14"/>
      <x:c r="D8" s="14" t="str">
        <x:v>pleiades</x:v>
      </x:c>
      <x:c r="E8" s="14" t="str">
        <x:v>658381</x:v>
      </x:c>
      <x:c r="F8" s="14" t="str">
        <x:v>https://pleiades.stoa.org/places/658381</x:v>
      </x:c>
      <x:c r="G8" s="14" t="str">
        <x:v>exact</x:v>
      </x:c>
      <x:c r="H8" s="14" t="str">
        <x:v>src-pleiades-658381</x:v>
      </x:c>
    </x:row>
    <x:row r="9" ht="28" customHeight="1">
      <x:c r="A9" s="14" t="str">
        <x:v>ext-pleiades-city-argos</x:v>
      </x:c>
      <x:c r="B9" s="14" t="str">
        <x:v>city-argos</x:v>
      </x:c>
      <x:c r="C9" s="14"/>
      <x:c r="D9" s="14" t="str">
        <x:v>pleiades</x:v>
      </x:c>
      <x:c r="E9" s="14" t="str">
        <x:v>570106</x:v>
      </x:c>
      <x:c r="F9" s="14" t="str">
        <x:v>https://pleiades.stoa.org/places/570106</x:v>
      </x:c>
      <x:c r="G9" s="14" t="str">
        <x:v>exact</x:v>
      </x:c>
      <x:c r="H9" s="14" t="str">
        <x:v>src-pleiades-570106</x:v>
      </x:c>
    </x:row>
    <x:row r="10" ht="28" customHeight="1">
      <x:c r="A10" s="14" t="str">
        <x:v>ext-pleiades-city-athens-attica</x:v>
      </x:c>
      <x:c r="B10" s="14" t="str">
        <x:v>city-athens-attica</x:v>
      </x:c>
      <x:c r="C10" s="14"/>
      <x:c r="D10" s="14" t="str">
        <x:v>pleiades</x:v>
      </x:c>
      <x:c r="E10" s="14" t="str">
        <x:v>579885</x:v>
      </x:c>
      <x:c r="F10" s="14" t="str">
        <x:v>https://pleiades.stoa.org/places/579885</x:v>
      </x:c>
      <x:c r="G10" s="14" t="str">
        <x:v>exact</x:v>
      </x:c>
      <x:c r="H10" s="14" t="str">
        <x:v>src-pleiades-579885</x:v>
      </x:c>
    </x:row>
    <x:row r="11" ht="28" customHeight="1">
      <x:c r="A11" s="14" t="str">
        <x:v>ext-pleiades-city-chalcis-euboea</x:v>
      </x:c>
      <x:c r="B11" s="14" t="str">
        <x:v>city-chalcis-euboea</x:v>
      </x:c>
      <x:c r="C11" s="14"/>
      <x:c r="D11" s="14" t="str">
        <x:v>pleiades</x:v>
      </x:c>
      <x:c r="E11" s="14" t="str">
        <x:v>540703</x:v>
      </x:c>
      <x:c r="F11" s="14" t="str">
        <x:v>https://pleiades.stoa.org/places/540703</x:v>
      </x:c>
      <x:c r="G11" s="14" t="str">
        <x:v>exact</x:v>
      </x:c>
      <x:c r="H11" s="14" t="str">
        <x:v>src-pleiades-540703</x:v>
      </x:c>
    </x:row>
    <x:row r="12" ht="28" customHeight="1">
      <x:c r="A12" s="14" t="str">
        <x:v>ext-pleiades-city-chios-city</x:v>
      </x:c>
      <x:c r="B12" s="14" t="str">
        <x:v>city-chios-city</x:v>
      </x:c>
      <x:c r="C12" s="14"/>
      <x:c r="D12" s="14" t="str">
        <x:v>pleiades</x:v>
      </x:c>
      <x:c r="E12" s="14" t="str">
        <x:v>550496</x:v>
      </x:c>
      <x:c r="F12" s="14" t="str">
        <x:v>https://pleiades.stoa.org/places/550496</x:v>
      </x:c>
      <x:c r="G12" s="14" t="str">
        <x:v>exact</x:v>
      </x:c>
      <x:c r="H12" s="14" t="str">
        <x:v>src-pleiades-550496</x:v>
      </x:c>
    </x:row>
    <x:row r="13" ht="28" customHeight="1">
      <x:c r="A13" s="14" t="str">
        <x:v>ext-pleiades-city-corinth</x:v>
      </x:c>
      <x:c r="B13" s="14" t="str">
        <x:v>city-corinth</x:v>
      </x:c>
      <x:c r="C13" s="14"/>
      <x:c r="D13" s="14" t="str">
        <x:v>pleiades</x:v>
      </x:c>
      <x:c r="E13" s="14" t="str">
        <x:v>570182</x:v>
      </x:c>
      <x:c r="F13" s="14" t="str">
        <x:v>https://pleiades.stoa.org/places/570182</x:v>
      </x:c>
      <x:c r="G13" s="14" t="str">
        <x:v>exact</x:v>
      </x:c>
      <x:c r="H13" s="14" t="str">
        <x:v>src-pleiades-570182</x:v>
      </x:c>
    </x:row>
    <x:row r="14" ht="28" customHeight="1">
      <x:c r="A14" s="14" t="str">
        <x:v>ext-pleiades-city-demetrias</x:v>
      </x:c>
      <x:c r="B14" s="14" t="str">
        <x:v>city-demetrias</x:v>
      </x:c>
      <x:c r="C14" s="14"/>
      <x:c r="D14" s="14" t="str">
        <x:v>pleiades</x:v>
      </x:c>
      <x:c r="E14" s="14" t="str">
        <x:v>540730</x:v>
      </x:c>
      <x:c r="F14" s="14" t="str">
        <x:v>https://pleiades.stoa.org/places/540730</x:v>
      </x:c>
      <x:c r="G14" s="14" t="str">
        <x:v>exact</x:v>
      </x:c>
      <x:c r="H14" s="14" t="str">
        <x:v>src-pleiades-540730</x:v>
      </x:c>
    </x:row>
    <x:row r="15" ht="28" customHeight="1">
      <x:c r="A15" s="14" t="str">
        <x:v>ext-pleiades-city-dion</x:v>
      </x:c>
      <x:c r="B15" s="14" t="str">
        <x:v>city-dion</x:v>
      </x:c>
      <x:c r="C15" s="14"/>
      <x:c r="D15" s="14" t="str">
        <x:v>pleiades</x:v>
      </x:c>
      <x:c r="E15" s="14" t="str">
        <x:v>491572</x:v>
      </x:c>
      <x:c r="F15" s="14" t="str">
        <x:v>https://pleiades.stoa.org/places/491572</x:v>
      </x:c>
      <x:c r="G15" s="14" t="str">
        <x:v>exact</x:v>
      </x:c>
      <x:c r="H15" s="14" t="str">
        <x:v>src-pleiades-491572</x:v>
      </x:c>
    </x:row>
    <x:row r="16" ht="28" customHeight="1">
      <x:c r="A16" s="14" t="str">
        <x:v>ext-pleiades-city-epidaurus-city</x:v>
      </x:c>
      <x:c r="B16" s="14" t="str">
        <x:v>city-epidaurus-city</x:v>
      </x:c>
      <x:c r="C16" s="14"/>
      <x:c r="D16" s="14" t="str">
        <x:v>pleiades</x:v>
      </x:c>
      <x:c r="E16" s="14" t="str">
        <x:v>570228</x:v>
      </x:c>
      <x:c r="F16" s="14" t="str">
        <x:v>https://pleiades.stoa.org/places/570228</x:v>
      </x:c>
      <x:c r="G16" s="14" t="str">
        <x:v>exact</x:v>
      </x:c>
      <x:c r="H16" s="14" t="str">
        <x:v>src-pleiades-570228</x:v>
      </x:c>
    </x:row>
    <x:row r="17" ht="28" customHeight="1">
      <x:c r="A17" s="14" t="str">
        <x:v>ext-pleiades-city-eretria-euboea</x:v>
      </x:c>
      <x:c r="B17" s="14" t="str">
        <x:v>city-eretria-euboea</x:v>
      </x:c>
      <x:c r="C17" s="14"/>
      <x:c r="D17" s="14" t="str">
        <x:v>pleiades</x:v>
      </x:c>
      <x:c r="E17" s="14" t="str">
        <x:v>579925</x:v>
      </x:c>
      <x:c r="F17" s="14" t="str">
        <x:v>https://pleiades.stoa.org/places/579925</x:v>
      </x:c>
      <x:c r="G17" s="14" t="str">
        <x:v>exact</x:v>
      </x:c>
      <x:c r="H17" s="14" t="str">
        <x:v>src-pleiades-579925</x:v>
      </x:c>
    </x:row>
    <x:row r="18" ht="28" customHeight="1">
      <x:c r="A18" s="14" t="str">
        <x:v>ext-pleiades-city-gortyn</x:v>
      </x:c>
      <x:c r="B18" s="14" t="str">
        <x:v>city-gortyn</x:v>
      </x:c>
      <x:c r="C18" s="14"/>
      <x:c r="D18" s="14" t="str">
        <x:v>pleiades</x:v>
      </x:c>
      <x:c r="E18" s="14" t="str">
        <x:v>589796</x:v>
      </x:c>
      <x:c r="F18" s="14" t="str">
        <x:v>https://pleiades.stoa.org/places/589796</x:v>
      </x:c>
      <x:c r="G18" s="14" t="str">
        <x:v>exact</x:v>
      </x:c>
      <x:c r="H18" s="14" t="str">
        <x:v>src-pleiades-589796</x:v>
      </x:c>
    </x:row>
    <x:row r="19" ht="28" customHeight="1">
      <x:c r="A19" s="14" t="str">
        <x:v>ext-pleiades-city-knossos</x:v>
      </x:c>
      <x:c r="B19" s="14" t="str">
        <x:v>city-knossos</x:v>
      </x:c>
      <x:c r="C19" s="14"/>
      <x:c r="D19" s="14" t="str">
        <x:v>pleiades</x:v>
      </x:c>
      <x:c r="E19" s="14" t="str">
        <x:v>589872</x:v>
      </x:c>
      <x:c r="F19" s="14" t="str">
        <x:v>https://pleiades.stoa.org/places/589872</x:v>
      </x:c>
      <x:c r="G19" s="14" t="str">
        <x:v>exact</x:v>
      </x:c>
      <x:c r="H19" s="14" t="str">
        <x:v>src-pleiades-589872</x:v>
      </x:c>
    </x:row>
    <x:row r="20" ht="28" customHeight="1">
      <x:c r="A20" s="14" t="str">
        <x:v>ext-pleiades-city-kos-city</x:v>
      </x:c>
      <x:c r="B20" s="14" t="str">
        <x:v>city-kos-city</x:v>
      </x:c>
      <x:c r="C20" s="14"/>
      <x:c r="D20" s="14" t="str">
        <x:v>pleiades</x:v>
      </x:c>
      <x:c r="E20" s="14" t="str">
        <x:v>599728</x:v>
      </x:c>
      <x:c r="F20" s="14" t="str">
        <x:v>https://pleiades.stoa.org/places/599728</x:v>
      </x:c>
      <x:c r="G20" s="14" t="str">
        <x:v>exact</x:v>
      </x:c>
      <x:c r="H20" s="14" t="str">
        <x:v>src-pleiades-599728</x:v>
      </x:c>
    </x:row>
    <x:row r="21" ht="28" customHeight="1">
      <x:c r="A21" s="14" t="str">
        <x:v>ext-pleiades-city-larissa-thessaly</x:v>
      </x:c>
      <x:c r="B21" s="14" t="str">
        <x:v>city-larissa-thessaly</x:v>
      </x:c>
      <x:c r="C21" s="14"/>
      <x:c r="D21" s="14" t="str">
        <x:v>pleiades</x:v>
      </x:c>
      <x:c r="E21" s="14" t="str">
        <x:v>540905</x:v>
      </x:c>
      <x:c r="F21" s="14" t="str">
        <x:v>https://pleiades.stoa.org/places/540905</x:v>
      </x:c>
      <x:c r="G21" s="14" t="str">
        <x:v>exact</x:v>
      </x:c>
      <x:c r="H21" s="14" t="str">
        <x:v>src-pleiades-540905</x:v>
      </x:c>
    </x:row>
    <x:row r="22" ht="28" customHeight="1">
      <x:c r="A22" s="14" t="str">
        <x:v>ext-pleiades-city-lindos</x:v>
      </x:c>
      <x:c r="B22" s="14" t="str">
        <x:v>city-lindos</x:v>
      </x:c>
      <x:c r="C22" s="14"/>
      <x:c r="D22" s="14" t="str">
        <x:v>pleiades</x:v>
      </x:c>
      <x:c r="E22" s="14" t="str">
        <x:v>589913</x:v>
      </x:c>
      <x:c r="F22" s="14" t="str">
        <x:v>https://pleiades.stoa.org/places/589913</x:v>
      </x:c>
      <x:c r="G22" s="14" t="str">
        <x:v>exact</x:v>
      </x:c>
      <x:c r="H22" s="14" t="str">
        <x:v>src-pleiades-589913</x:v>
      </x:c>
    </x:row>
    <x:row r="23" ht="28" customHeight="1">
      <x:c r="A23" s="14" t="str">
        <x:v>ext-pleiades-city-mantinea</x:v>
      </x:c>
      <x:c r="B23" s="14" t="str">
        <x:v>city-mantinea</x:v>
      </x:c>
      <x:c r="C23" s="14"/>
      <x:c r="D23" s="14" t="str">
        <x:v>pleiades</x:v>
      </x:c>
      <x:c r="E23" s="14" t="str">
        <x:v>570459</x:v>
      </x:c>
      <x:c r="F23" s="14" t="str">
        <x:v>https://pleiades.stoa.org/places/570459</x:v>
      </x:c>
      <x:c r="G23" s="14" t="str">
        <x:v>exact</x:v>
      </x:c>
      <x:c r="H23" s="14" t="str">
        <x:v>src-pleiades-570459</x:v>
      </x:c>
    </x:row>
    <x:row r="24" ht="28" customHeight="1">
      <x:c r="A24" s="14" t="str">
        <x:v>ext-pleiades-city-megalopolis</x:v>
      </x:c>
      <x:c r="B24" s="14" t="str">
        <x:v>city-megalopolis</x:v>
      </x:c>
      <x:c r="C24" s="14"/>
      <x:c r="D24" s="14" t="str">
        <x:v>pleiades</x:v>
      </x:c>
      <x:c r="E24" s="14" t="str">
        <x:v>570467</x:v>
      </x:c>
      <x:c r="F24" s="14" t="str">
        <x:v>https://pleiades.stoa.org/places/570467</x:v>
      </x:c>
      <x:c r="G24" s="14" t="str">
        <x:v>exact</x:v>
      </x:c>
      <x:c r="H24" s="14" t="str">
        <x:v>src-pleiades-570467</x:v>
      </x:c>
    </x:row>
    <x:row r="25" ht="28" customHeight="1">
      <x:c r="A25" s="14" t="str">
        <x:v>ext-pleiades-city-megara</x:v>
      </x:c>
      <x:c r="B25" s="14" t="str">
        <x:v>city-megara</x:v>
      </x:c>
      <x:c r="C25" s="14"/>
      <x:c r="D25" s="14" t="str">
        <x:v>pleiades</x:v>
      </x:c>
      <x:c r="E25" s="14" t="str">
        <x:v>570468</x:v>
      </x:c>
      <x:c r="F25" s="14" t="str">
        <x:v>https://pleiades.stoa.org/places/570468</x:v>
      </x:c>
      <x:c r="G25" s="14" t="str">
        <x:v>exact</x:v>
      </x:c>
      <x:c r="H25" s="14" t="str">
        <x:v>src-pleiades-570468</x:v>
      </x:c>
    </x:row>
    <x:row r="26" ht="28" customHeight="1">
      <x:c r="A26" s="14" t="str">
        <x:v>ext-pleiades-city-messene</x:v>
      </x:c>
      <x:c r="B26" s="14" t="str">
        <x:v>city-messene</x:v>
      </x:c>
      <x:c r="C26" s="14"/>
      <x:c r="D26" s="14" t="str">
        <x:v>pleiades</x:v>
      </x:c>
      <x:c r="E26" s="14" t="str">
        <x:v>570479</x:v>
      </x:c>
      <x:c r="F26" s="14" t="str">
        <x:v>https://pleiades.stoa.org/places/570479</x:v>
      </x:c>
      <x:c r="G26" s="14" t="str">
        <x:v>exact</x:v>
      </x:c>
      <x:c r="H26" s="14" t="str">
        <x:v>src-pleiades-570479</x:v>
      </x:c>
    </x:row>
    <x:row r="27" ht="28" customHeight="1">
      <x:c r="A27" s="14" t="str">
        <x:v>ext-pleiades-city-mytilene</x:v>
      </x:c>
      <x:c r="B27" s="14" t="str">
        <x:v>city-mytilene</x:v>
      </x:c>
      <x:c r="C27" s="14"/>
      <x:c r="D27" s="14" t="str">
        <x:v>pleiades</x:v>
      </x:c>
      <x:c r="E27" s="14" t="str">
        <x:v>550763</x:v>
      </x:c>
      <x:c r="F27" s="14" t="str">
        <x:v>https://pleiades.stoa.org/places/550763</x:v>
      </x:c>
      <x:c r="G27" s="14" t="str">
        <x:v>exact</x:v>
      </x:c>
      <x:c r="H27" s="14" t="str">
        <x:v>src-pleiades-550763</x:v>
      </x:c>
    </x:row>
    <x:row r="28" ht="28" customHeight="1">
      <x:c r="A28" s="14" t="str">
        <x:v>ext-pleiades-city-naxos-cyclades</x:v>
      </x:c>
      <x:c r="B28" s="14" t="str">
        <x:v>city-naxos-cyclades</x:v>
      </x:c>
      <x:c r="C28" s="14"/>
      <x:c r="D28" s="14" t="str">
        <x:v>pleiades</x:v>
      </x:c>
      <x:c r="E28" s="14" t="str">
        <x:v>599821</x:v>
      </x:c>
      <x:c r="F28" s="14" t="str">
        <x:v>https://pleiades.stoa.org/places/599821</x:v>
      </x:c>
      <x:c r="G28" s="14" t="str">
        <x:v>exact</x:v>
      </x:c>
      <x:c r="H28" s="14" t="str">
        <x:v>src-pleiades-599821</x:v>
      </x:c>
    </x:row>
    <x:row r="29" ht="28" customHeight="1">
      <x:c r="A29" s="14" t="str">
        <x:v>ext-pleiades-city-olynthus</x:v>
      </x:c>
      <x:c r="B29" s="14" t="str">
        <x:v>city-olynthus</x:v>
      </x:c>
      <x:c r="C29" s="14"/>
      <x:c r="D29" s="14" t="str">
        <x:v>pleiades</x:v>
      </x:c>
      <x:c r="E29" s="14" t="str">
        <x:v>491678</x:v>
      </x:c>
      <x:c r="F29" s="14" t="str">
        <x:v>https://pleiades.stoa.org/places/491678</x:v>
      </x:c>
      <x:c r="G29" s="14" t="str">
        <x:v>exact</x:v>
      </x:c>
      <x:c r="H29" s="14" t="str">
        <x:v>src-pleiades-491678</x:v>
      </x:c>
    </x:row>
    <x:row r="30" ht="28" customHeight="1">
      <x:c r="A30" s="14" t="str">
        <x:v>ext-pleiades-city-patrae</x:v>
      </x:c>
      <x:c r="B30" s="14" t="str">
        <x:v>city-patrae</x:v>
      </x:c>
      <x:c r="C30" s="14"/>
      <x:c r="D30" s="14" t="str">
        <x:v>pleiades</x:v>
      </x:c>
      <x:c r="E30" s="14" t="str">
        <x:v>570567</x:v>
      </x:c>
      <x:c r="F30" s="14" t="str">
        <x:v>https://pleiades.stoa.org/places/570567</x:v>
      </x:c>
      <x:c r="G30" s="14" t="str">
        <x:v>exact</x:v>
      </x:c>
      <x:c r="H30" s="14" t="str">
        <x:v>src-pleiades-570567</x:v>
      </x:c>
    </x:row>
    <x:row r="31" ht="28" customHeight="1">
      <x:c r="A31" s="14" t="str">
        <x:v>ext-pleiades-city-pella</x:v>
      </x:c>
      <x:c r="B31" s="14" t="str">
        <x:v>city-pella</x:v>
      </x:c>
      <x:c r="C31" s="14"/>
      <x:c r="D31" s="14" t="str">
        <x:v>pleiades</x:v>
      </x:c>
      <x:c r="E31" s="14" t="str">
        <x:v>491687</x:v>
      </x:c>
      <x:c r="F31" s="14" t="str">
        <x:v>https://pleiades.stoa.org/places/491687</x:v>
      </x:c>
      <x:c r="G31" s="14" t="str">
        <x:v>exact</x:v>
      </x:c>
      <x:c r="H31" s="14" t="str">
        <x:v>src-pleiades-491687</x:v>
      </x:c>
    </x:row>
    <x:row r="32" ht="28" customHeight="1">
      <x:c r="A32" s="14" t="str">
        <x:v>ext-pleiades-city-pergamum</x:v>
      </x:c>
      <x:c r="B32" s="14" t="str">
        <x:v>city-pergamum</x:v>
      </x:c>
      <x:c r="C32" s="14"/>
      <x:c r="D32" s="14" t="str">
        <x:v>pleiades</x:v>
      </x:c>
      <x:c r="E32" s="14" t="str">
        <x:v>550812</x:v>
      </x:c>
      <x:c r="F32" s="14" t="str">
        <x:v>https://pleiades.stoa.org/places/550812</x:v>
      </x:c>
      <x:c r="G32" s="14" t="str">
        <x:v>exact</x:v>
      </x:c>
      <x:c r="H32" s="14" t="str">
        <x:v>src-pleiades-550812</x:v>
      </x:c>
    </x:row>
    <x:row r="33" ht="28" customHeight="1">
      <x:c r="A33" s="14" t="str">
        <x:v>ext-pleiades-city-pherae-thessaly</x:v>
      </x:c>
      <x:c r="B33" s="14" t="str">
        <x:v>city-pherae-thessaly</x:v>
      </x:c>
      <x:c r="C33" s="14"/>
      <x:c r="D33" s="14" t="str">
        <x:v>pleiades</x:v>
      </x:c>
      <x:c r="E33" s="14" t="str">
        <x:v>541044</x:v>
      </x:c>
      <x:c r="F33" s="14" t="str">
        <x:v>https://pleiades.stoa.org/places/541044</x:v>
      </x:c>
      <x:c r="G33" s="14" t="str">
        <x:v>exact</x:v>
      </x:c>
      <x:c r="H33" s="14" t="str">
        <x:v>src-pleiades-541044</x:v>
      </x:c>
    </x:row>
    <x:row r="34" ht="28" customHeight="1">
      <x:c r="A34" s="14" t="str">
        <x:v>ext-pleiades-city-piraeus</x:v>
      </x:c>
      <x:c r="B34" s="14" t="str">
        <x:v>city-piraeus</x:v>
      </x:c>
      <x:c r="C34" s="14"/>
      <x:c r="D34" s="14" t="str">
        <x:v>pleiades</x:v>
      </x:c>
      <x:c r="E34" s="14" t="str">
        <x:v>580062</x:v>
      </x:c>
      <x:c r="F34" s="14" t="str">
        <x:v>https://pleiades.stoa.org/places/580062</x:v>
      </x:c>
      <x:c r="G34" s="14" t="str">
        <x:v>exact</x:v>
      </x:c>
      <x:c r="H34" s="14" t="str">
        <x:v>src-pleiades-580062</x:v>
      </x:c>
    </x:row>
    <x:row r="35" ht="28" customHeight="1">
      <x:c r="A35" s="14" t="str">
        <x:v>ext-pleiades-city-ptolemais-cyrenaica</x:v>
      </x:c>
      <x:c r="B35" s="14" t="str">
        <x:v>city-ptolemais-cyrenaica</x:v>
      </x:c>
      <x:c r="C35" s="14"/>
      <x:c r="D35" s="14" t="str">
        <x:v>pleiades</x:v>
      </x:c>
      <x:c r="E35" s="14" t="str">
        <x:v>373879</x:v>
      </x:c>
      <x:c r="F35" s="14" t="str">
        <x:v>https://pleiades.stoa.org/places/373879</x:v>
      </x:c>
      <x:c r="G35" s="14" t="str">
        <x:v>exact</x:v>
      </x:c>
      <x:c r="H35" s="14" t="str">
        <x:v>src-pleiades-373879</x:v>
      </x:c>
    </x:row>
    <x:row r="36" ht="28" customHeight="1">
      <x:c r="A36" s="14" t="str">
        <x:v>ext-pleiades-city-pydna</x:v>
      </x:c>
      <x:c r="B36" s="14" t="str">
        <x:v>city-pydna</x:v>
      </x:c>
      <x:c r="C36" s="14"/>
      <x:c r="D36" s="14" t="str">
        <x:v>pleiades</x:v>
      </x:c>
      <x:c r="E36" s="14" t="str">
        <x:v>491703</x:v>
      </x:c>
      <x:c r="F36" s="14" t="str">
        <x:v>https://pleiades.stoa.org/places/491703</x:v>
      </x:c>
      <x:c r="G36" s="14" t="str">
        <x:v>exact</x:v>
      </x:c>
      <x:c r="H36" s="14" t="str">
        <x:v>src-pleiades-491703</x:v>
      </x:c>
    </x:row>
    <x:row r="37" ht="28" customHeight="1">
      <x:c r="A37" s="14" t="str">
        <x:v>ext-pleiades-city-rhodes-city</x:v>
      </x:c>
      <x:c r="B37" s="14" t="str">
        <x:v>city-rhodes-city</x:v>
      </x:c>
      <x:c r="C37" s="14"/>
      <x:c r="D37" s="14" t="str">
        <x:v>pleiades</x:v>
      </x:c>
      <x:c r="E37" s="14" t="str">
        <x:v>590030</x:v>
      </x:c>
      <x:c r="F37" s="14" t="str">
        <x:v>https://pleiades.stoa.org/places/590030</x:v>
      </x:c>
      <x:c r="G37" s="14" t="str">
        <x:v>exact</x:v>
      </x:c>
      <x:c r="H37" s="14" t="str">
        <x:v>src-pleiades-590030</x:v>
      </x:c>
    </x:row>
    <x:row r="38" ht="28" customHeight="1">
      <x:c r="A38" s="14" t="str">
        <x:v>ext-pleiades-city-samos-city</x:v>
      </x:c>
      <x:c r="B38" s="14" t="str">
        <x:v>city-samos-city</x:v>
      </x:c>
      <x:c r="C38" s="14"/>
      <x:c r="D38" s="14" t="str">
        <x:v>pleiades</x:v>
      </x:c>
      <x:c r="E38" s="14" t="str">
        <x:v>599925</x:v>
      </x:c>
      <x:c r="F38" s="14" t="str">
        <x:v>https://pleiades.stoa.org/places/599925</x:v>
      </x:c>
      <x:c r="G38" s="14" t="str">
        <x:v>exact</x:v>
      </x:c>
      <x:c r="H38" s="14" t="str">
        <x:v>src-pleiades-599925</x:v>
      </x:c>
    </x:row>
    <x:row r="39" ht="28" customHeight="1">
      <x:c r="A39" s="14" t="str">
        <x:v>ext-pleiades-city-sicyon</x:v>
      </x:c>
      <x:c r="B39" s="14" t="str">
        <x:v>city-sicyon</x:v>
      </x:c>
      <x:c r="C39" s="14"/>
      <x:c r="D39" s="14" t="str">
        <x:v>pleiades</x:v>
      </x:c>
      <x:c r="E39" s="14" t="str">
        <x:v>570668</x:v>
      </x:c>
      <x:c r="F39" s="14" t="str">
        <x:v>https://pleiades.stoa.org/places/570668</x:v>
      </x:c>
      <x:c r="G39" s="14" t="str">
        <x:v>exact</x:v>
      </x:c>
      <x:c r="H39" s="14" t="str">
        <x:v>src-pleiades-570668</x:v>
      </x:c>
    </x:row>
    <x:row r="40" ht="28" customHeight="1">
      <x:c r="A40" s="14" t="str">
        <x:v>ext-pleiades-city-smyrna</x:v>
      </x:c>
      <x:c r="B40" s="14" t="str">
        <x:v>city-smyrna</x:v>
      </x:c>
      <x:c r="C40" s="14"/>
      <x:c r="D40" s="14" t="str">
        <x:v>pleiades</x:v>
      </x:c>
      <x:c r="E40" s="14" t="str">
        <x:v>550893</x:v>
      </x:c>
      <x:c r="F40" s="14" t="str">
        <x:v>https://pleiades.stoa.org/places/550893</x:v>
      </x:c>
      <x:c r="G40" s="14" t="str">
        <x:v>exact</x:v>
      </x:c>
      <x:c r="H40" s="14" t="str">
        <x:v>src-pleiades-550893</x:v>
      </x:c>
    </x:row>
    <x:row r="41" ht="28" customHeight="1">
      <x:c r="A41" s="14" t="str">
        <x:v>ext-pleiades-city-sparta</x:v>
      </x:c>
      <x:c r="B41" s="14" t="str">
        <x:v>city-sparta</x:v>
      </x:c>
      <x:c r="C41" s="14"/>
      <x:c r="D41" s="14" t="str">
        <x:v>pleiades</x:v>
      </x:c>
      <x:c r="E41" s="14" t="str">
        <x:v>570685</x:v>
      </x:c>
      <x:c r="F41" s="14" t="str">
        <x:v>https://pleiades.stoa.org/places/570685</x:v>
      </x:c>
      <x:c r="G41" s="14" t="str">
        <x:v>exact</x:v>
      </x:c>
      <x:c r="H41" s="14" t="str">
        <x:v>src-pleiades-570685</x:v>
      </x:c>
    </x:row>
    <x:row r="42" ht="28" customHeight="1">
      <x:c r="A42" s="14" t="str">
        <x:v>ext-pleiades-city-tegea</x:v>
      </x:c>
      <x:c r="B42" s="14" t="str">
        <x:v>city-tegea</x:v>
      </x:c>
      <x:c r="C42" s="14"/>
      <x:c r="D42" s="14" t="str">
        <x:v>pleiades</x:v>
      </x:c>
      <x:c r="E42" s="14" t="str">
        <x:v>570707</x:v>
      </x:c>
      <x:c r="F42" s="14" t="str">
        <x:v>https://pleiades.stoa.org/places/570707</x:v>
      </x:c>
      <x:c r="G42" s="14" t="str">
        <x:v>exact</x:v>
      </x:c>
      <x:c r="H42" s="14" t="str">
        <x:v>src-pleiades-570707</x:v>
      </x:c>
    </x:row>
    <x:row r="43" ht="28" customHeight="1">
      <x:c r="A43" s="14" t="str">
        <x:v>ext-pleiades-city-thebes-boeotia</x:v>
      </x:c>
      <x:c r="B43" s="14" t="str">
        <x:v>city-thebes-boeotia</x:v>
      </x:c>
      <x:c r="C43" s="14"/>
      <x:c r="D43" s="14" t="str">
        <x:v>pleiades</x:v>
      </x:c>
      <x:c r="E43" s="14" t="str">
        <x:v>541138</x:v>
      </x:c>
      <x:c r="F43" s="14" t="str">
        <x:v>https://pleiades.stoa.org/places/541138</x:v>
      </x:c>
      <x:c r="G43" s="14" t="str">
        <x:v>exact</x:v>
      </x:c>
      <x:c r="H43" s="14" t="str">
        <x:v>src-pleiades-541138</x:v>
      </x:c>
    </x:row>
    <x:row r="44" ht="28" customHeight="1">
      <x:c r="A44" s="14" t="str">
        <x:v>ext-pleiades-city-thera-city</x:v>
      </x:c>
      <x:c r="B44" s="14" t="str">
        <x:v>city-thera-city</x:v>
      </x:c>
      <x:c r="C44" s="14"/>
      <x:c r="D44" s="14" t="str">
        <x:v>pleiades</x:v>
      </x:c>
      <x:c r="E44" s="14" t="str">
        <x:v>599971</x:v>
      </x:c>
      <x:c r="F44" s="14" t="str">
        <x:v>https://pleiades.stoa.org/places/599971</x:v>
      </x:c>
      <x:c r="G44" s="14" t="str">
        <x:v>exact</x:v>
      </x:c>
      <x:c r="H44" s="14" t="str">
        <x:v>src-pleiades-599971</x:v>
      </x:c>
    </x:row>
    <x:row r="45" ht="28" customHeight="1">
      <x:c r="A45" s="14" t="str">
        <x:v>ext-pleiades-city-thessalonica</x:v>
      </x:c>
      <x:c r="B45" s="14" t="str">
        <x:v>city-thessalonica</x:v>
      </x:c>
      <x:c r="C45" s="14"/>
      <x:c r="D45" s="14" t="str">
        <x:v>pleiades</x:v>
      </x:c>
      <x:c r="E45" s="14" t="str">
        <x:v>491741</x:v>
      </x:c>
      <x:c r="F45" s="14" t="str">
        <x:v>https://pleiades.stoa.org/places/491741</x:v>
      </x:c>
      <x:c r="G45" s="14" t="str">
        <x:v>exact</x:v>
      </x:c>
      <x:c r="H45" s="14" t="str">
        <x:v>src-pleiades-491741</x:v>
      </x:c>
    </x:row>
    <x:row r="46" ht="28" customHeight="1">
      <x:c r="A46" s="14" t="str">
        <x:v>ext-pleiades-colony-abydos</x:v>
      </x:c>
      <x:c r="B46" s="14" t="str">
        <x:v>colony-abydos</x:v>
      </x:c>
      <x:c r="C46" s="14"/>
      <x:c r="D46" s="14" t="str">
        <x:v>pleiades</x:v>
      </x:c>
      <x:c r="E46" s="14" t="str">
        <x:v>501325</x:v>
      </x:c>
      <x:c r="F46" s="14" t="str">
        <x:v>https://pleiades.stoa.org/places/501325</x:v>
      </x:c>
      <x:c r="G46" s="14" t="str">
        <x:v>exact</x:v>
      </x:c>
      <x:c r="H46" s="14" t="str">
        <x:v>src-pleiades-501325</x:v>
      </x:c>
    </x:row>
    <x:row r="47" ht="28" customHeight="1">
      <x:c r="A47" s="14" t="str">
        <x:v>ext-pleiades-colony-akragas</x:v>
      </x:c>
      <x:c r="B47" s="14" t="str">
        <x:v>colony-akragas</x:v>
      </x:c>
      <x:c r="C47" s="14"/>
      <x:c r="D47" s="14" t="str">
        <x:v>pleiades</x:v>
      </x:c>
      <x:c r="E47" s="14" t="str">
        <x:v>462086</x:v>
      </x:c>
      <x:c r="F47" s="14" t="str">
        <x:v>https://pleiades.stoa.org/places/462086</x:v>
      </x:c>
      <x:c r="G47" s="14" t="str">
        <x:v>exact</x:v>
      </x:c>
      <x:c r="H47" s="14" t="str">
        <x:v>src-pleiades-462086</x:v>
      </x:c>
    </x:row>
    <x:row r="48" ht="28" customHeight="1">
      <x:c r="A48" s="14" t="str">
        <x:v>ext-pleiades-colony-ambracia</x:v>
      </x:c>
      <x:c r="B48" s="14" t="str">
        <x:v>colony-ambracia</x:v>
      </x:c>
      <x:c r="C48" s="14"/>
      <x:c r="D48" s="14" t="str">
        <x:v>pleiades</x:v>
      </x:c>
      <x:c r="E48" s="14" t="str">
        <x:v>530794</x:v>
      </x:c>
      <x:c r="F48" s="14" t="str">
        <x:v>https://pleiades.stoa.org/places/530794</x:v>
      </x:c>
      <x:c r="G48" s="14" t="str">
        <x:v>exact</x:v>
      </x:c>
      <x:c r="H48" s="14" t="str">
        <x:v>src-pleiades-530794</x:v>
      </x:c>
    </x:row>
    <x:row r="49" ht="28" customHeight="1">
      <x:c r="A49" s="14" t="str">
        <x:v>ext-pleiades-colony-amisus</x:v>
      </x:c>
      <x:c r="B49" s="14" t="str">
        <x:v>colony-amisus</x:v>
      </x:c>
      <x:c r="C49" s="14"/>
      <x:c r="D49" s="14" t="str">
        <x:v>pleiades</x:v>
      </x:c>
      <x:c r="E49" s="14" t="str">
        <x:v>857024</x:v>
      </x:c>
      <x:c r="F49" s="14" t="str">
        <x:v>https://pleiades.stoa.org/places/857024</x:v>
      </x:c>
      <x:c r="G49" s="14" t="str">
        <x:v>exact</x:v>
      </x:c>
      <x:c r="H49" s="14" t="str">
        <x:v>src-pleiades-857024</x:v>
      </x:c>
    </x:row>
    <x:row r="50" ht="28" customHeight="1">
      <x:c r="A50" s="14" t="str">
        <x:v>ext-pleiades-colony-amphipolis</x:v>
      </x:c>
      <x:c r="B50" s="14" t="str">
        <x:v>colony-amphipolis</x:v>
      </x:c>
      <x:c r="C50" s="14"/>
      <x:c r="D50" s="14" t="str">
        <x:v>pleiades</x:v>
      </x:c>
      <x:c r="E50" s="14" t="str">
        <x:v>501347</x:v>
      </x:c>
      <x:c r="F50" s="14" t="str">
        <x:v>https://pleiades.stoa.org/places/501347</x:v>
      </x:c>
      <x:c r="G50" s="14" t="str">
        <x:v>exact</x:v>
      </x:c>
      <x:c r="H50" s="14" t="str">
        <x:v>src-pleiades-501347</x:v>
      </x:c>
    </x:row>
    <x:row r="51" ht="28" customHeight="1">
      <x:c r="A51" s="14" t="str">
        <x:v>ext-pleiades-colony-ancona</x:v>
      </x:c>
      <x:c r="B51" s="14" t="str">
        <x:v>colony-ancona</x:v>
      </x:c>
      <x:c r="C51" s="14"/>
      <x:c r="D51" s="14" t="str">
        <x:v>pleiades</x:v>
      </x:c>
      <x:c r="E51" s="14" t="str">
        <x:v>413014</x:v>
      </x:c>
      <x:c r="F51" s="14" t="str">
        <x:v>https://pleiades.stoa.org/places/413014</x:v>
      </x:c>
      <x:c r="G51" s="14" t="str">
        <x:v>exact</x:v>
      </x:c>
      <x:c r="H51" s="14" t="str">
        <x:v>src-pleiades-413014</x:v>
      </x:c>
    </x:row>
    <x:row r="52" ht="28" customHeight="1">
      <x:c r="A52" s="14" t="str">
        <x:v>ext-pleiades-colony-apollonia-cyrenaica</x:v>
      </x:c>
      <x:c r="B52" s="14" t="str">
        <x:v>colony-apollonia-cyrenaica</x:v>
      </x:c>
      <x:c r="C52" s="14"/>
      <x:c r="D52" s="14" t="str">
        <x:v>pleiades</x:v>
      </x:c>
      <x:c r="E52" s="14" t="str">
        <x:v>373732</x:v>
      </x:c>
      <x:c r="F52" s="14" t="str">
        <x:v>https://pleiades.stoa.org/places/373732</x:v>
      </x:c>
      <x:c r="G52" s="14" t="str">
        <x:v>exact</x:v>
      </x:c>
      <x:c r="H52" s="14" t="str">
        <x:v>src-pleiades-373732</x:v>
      </x:c>
    </x:row>
    <x:row r="53" ht="28" customHeight="1">
      <x:c r="A53" s="14" t="str">
        <x:v>ext-pleiades-colony-apollonia-illyria</x:v>
      </x:c>
      <x:c r="B53" s="14" t="str">
        <x:v>colony-apollonia-illyria</x:v>
      </x:c>
      <x:c r="C53" s="14"/>
      <x:c r="D53" s="14" t="str">
        <x:v>pleiades</x:v>
      </x:c>
      <x:c r="E53" s="14" t="str">
        <x:v>481728</x:v>
      </x:c>
      <x:c r="F53" s="14" t="str">
        <x:v>https://pleiades.stoa.org/places/481728</x:v>
      </x:c>
      <x:c r="G53" s="14" t="str">
        <x:v>exact</x:v>
      </x:c>
      <x:c r="H53" s="14" t="str">
        <x:v>src-pleiades-481728</x:v>
      </x:c>
    </x:row>
    <x:row r="54" ht="28" customHeight="1">
      <x:c r="A54" s="14" t="str">
        <x:v>ext-pleiades-colony-apollonia-pontica</x:v>
      </x:c>
      <x:c r="B54" s="14" t="str">
        <x:v>colony-apollonia-pontica</x:v>
      </x:c>
      <x:c r="C54" s="14"/>
      <x:c r="D54" s="14" t="str">
        <x:v>pleiades</x:v>
      </x:c>
      <x:c r="E54" s="14" t="str">
        <x:v>216706</x:v>
      </x:c>
      <x:c r="F54" s="14" t="str">
        <x:v>https://pleiades.stoa.org/places/216706</x:v>
      </x:c>
      <x:c r="G54" s="14" t="str">
        <x:v>exact</x:v>
      </x:c>
      <x:c r="H54" s="14" t="str">
        <x:v>src-pleiades-216706</x:v>
      </x:c>
    </x:row>
    <x:row r="55" ht="28" customHeight="1">
      <x:c r="A55" s="14" t="str">
        <x:v>ext-pleiades-colony-assos</x:v>
      </x:c>
      <x:c r="B55" s="14" t="str">
        <x:v>colony-assos</x:v>
      </x:c>
      <x:c r="C55" s="14"/>
      <x:c r="D55" s="14" t="str">
        <x:v>pleiades</x:v>
      </x:c>
      <x:c r="E55" s="14" t="str">
        <x:v>550463</x:v>
      </x:c>
      <x:c r="F55" s="14" t="str">
        <x:v>https://pleiades.stoa.org/places/550463</x:v>
      </x:c>
      <x:c r="G55" s="14" t="str">
        <x:v>exact</x:v>
      </x:c>
      <x:c r="H55" s="14" t="str">
        <x:v>src-pleiades-550463</x:v>
      </x:c>
    </x:row>
    <x:row r="56" ht="28" customHeight="1">
      <x:c r="A56" s="14" t="str">
        <x:v>ext-pleiades-colony-barca-cyrenaica</x:v>
      </x:c>
      <x:c r="B56" s="14" t="str">
        <x:v>colony-barca-cyrenaica</x:v>
      </x:c>
      <x:c r="C56" s="14"/>
      <x:c r="D56" s="14" t="str">
        <x:v>pleiades</x:v>
      </x:c>
      <x:c r="E56" s="14" t="str">
        <x:v>373750</x:v>
      </x:c>
      <x:c r="F56" s="14" t="str">
        <x:v>https://pleiades.stoa.org/places/373750</x:v>
      </x:c>
      <x:c r="G56" s="14" t="str">
        <x:v>exact</x:v>
      </x:c>
      <x:c r="H56" s="14" t="str">
        <x:v>src-pleiades-373750</x:v>
      </x:c>
    </x:row>
    <x:row r="57" ht="28" customHeight="1">
      <x:c r="A57" s="14" t="str">
        <x:v>ext-pleiades-colony-byzantium</x:v>
      </x:c>
      <x:c r="B57" s="14" t="str">
        <x:v>colony-byzantium</x:v>
      </x:c>
      <x:c r="C57" s="14"/>
      <x:c r="D57" s="14" t="str">
        <x:v>pleiades</x:v>
      </x:c>
      <x:c r="E57" s="14" t="str">
        <x:v>520985</x:v>
      </x:c>
      <x:c r="F57" s="14" t="str">
        <x:v>https://pleiades.stoa.org/places/520985</x:v>
      </x:c>
      <x:c r="G57" s="14" t="str">
        <x:v>exact</x:v>
      </x:c>
      <x:c r="H57" s="14" t="str">
        <x:v>src-pleiades-520985</x:v>
      </x:c>
    </x:row>
    <x:row r="58" ht="28" customHeight="1">
      <x:c r="A58" s="14" t="str">
        <x:v>ext-pleiades-colony-callatis</x:v>
      </x:c>
      <x:c r="B58" s="14" t="str">
        <x:v>colony-callatis</x:v>
      </x:c>
      <x:c r="C58" s="14"/>
      <x:c r="D58" s="14" t="str">
        <x:v>pleiades</x:v>
      </x:c>
      <x:c r="E58" s="14" t="str">
        <x:v>216744</x:v>
      </x:c>
      <x:c r="F58" s="14" t="str">
        <x:v>https://pleiades.stoa.org/places/216744</x:v>
      </x:c>
      <x:c r="G58" s="14" t="str">
        <x:v>exact</x:v>
      </x:c>
      <x:c r="H58" s="14" t="str">
        <x:v>src-pleiades-216744</x:v>
      </x:c>
    </x:row>
    <x:row r="59" ht="28" customHeight="1">
      <x:c r="A59" s="14" t="str">
        <x:v>ext-pleiades-colony-catana</x:v>
      </x:c>
      <x:c r="B59" s="14" t="str">
        <x:v>colony-catana</x:v>
      </x:c>
      <x:c r="C59" s="14"/>
      <x:c r="D59" s="14" t="str">
        <x:v>pleiades</x:v>
      </x:c>
      <x:c r="E59" s="14" t="str">
        <x:v>462270</x:v>
      </x:c>
      <x:c r="F59" s="14" t="str">
        <x:v>https://pleiades.stoa.org/places/462270</x:v>
      </x:c>
      <x:c r="G59" s="14" t="str">
        <x:v>exact</x:v>
      </x:c>
      <x:c r="H59" s="14" t="str">
        <x:v>src-pleiades-462270</x:v>
      </x:c>
    </x:row>
    <x:row r="60" ht="28" customHeight="1">
      <x:c r="A60" s="14" t="str">
        <x:v>ext-pleiades-colony-chalcedon</x:v>
      </x:c>
      <x:c r="B60" s="14" t="str">
        <x:v>colony-chalcedon</x:v>
      </x:c>
      <x:c r="C60" s="14"/>
      <x:c r="D60" s="14" t="str">
        <x:v>pleiades</x:v>
      </x:c>
      <x:c r="E60" s="14" t="str">
        <x:v>520988</x:v>
      </x:c>
      <x:c r="F60" s="14" t="str">
        <x:v>https://pleiades.stoa.org/places/520988</x:v>
      </x:c>
      <x:c r="G60" s="14" t="str">
        <x:v>exact</x:v>
      </x:c>
      <x:c r="H60" s="14" t="str">
        <x:v>src-pleiades-520988</x:v>
      </x:c>
    </x:row>
    <x:row r="61" ht="28" customHeight="1">
      <x:c r="A61" s="14" t="str">
        <x:v>ext-pleiades-colony-chersonesus-taurica</x:v>
      </x:c>
      <x:c r="B61" s="14" t="str">
        <x:v>colony-chersonesus-taurica</x:v>
      </x:c>
      <x:c r="C61" s="14"/>
      <x:c r="D61" s="14" t="str">
        <x:v>pleiades</x:v>
      </x:c>
      <x:c r="E61" s="14" t="str">
        <x:v>226564</x:v>
      </x:c>
      <x:c r="F61" s="14" t="str">
        <x:v>https://pleiades.stoa.org/places/226564</x:v>
      </x:c>
      <x:c r="G61" s="14" t="str">
        <x:v>exact</x:v>
      </x:c>
      <x:c r="H61" s="14" t="str">
        <x:v>src-pleiades-226564</x:v>
      </x:c>
    </x:row>
    <x:row r="62" ht="28" customHeight="1">
      <x:c r="A62" s="14" t="str">
        <x:v>ext-pleiades-colony-clazomenae</x:v>
      </x:c>
      <x:c r="B62" s="14" t="str">
        <x:v>colony-clazomenae</x:v>
      </x:c>
      <x:c r="C62" s="14"/>
      <x:c r="D62" s="14" t="str">
        <x:v>pleiades</x:v>
      </x:c>
      <x:c r="E62" s="14" t="str">
        <x:v>550651</x:v>
      </x:c>
      <x:c r="F62" s="14" t="str">
        <x:v>https://pleiades.stoa.org/places/550651</x:v>
      </x:c>
      <x:c r="G62" s="14" t="str">
        <x:v>exact</x:v>
      </x:c>
      <x:c r="H62" s="14" t="str">
        <x:v>src-pleiades-550651</x:v>
      </x:c>
    </x:row>
    <x:row r="63" ht="28" customHeight="1">
      <x:c r="A63" s="14" t="str">
        <x:v>ext-pleiades-colony-cnidus</x:v>
      </x:c>
      <x:c r="B63" s="14" t="str">
        <x:v>colony-cnidus</x:v>
      </x:c>
      <x:c r="C63" s="14"/>
      <x:c r="D63" s="14" t="str">
        <x:v>pleiades</x:v>
      </x:c>
      <x:c r="E63" s="14" t="str">
        <x:v>599575</x:v>
      </x:c>
      <x:c r="F63" s="14" t="str">
        <x:v>https://pleiades.stoa.org/places/599575</x:v>
      </x:c>
      <x:c r="G63" s="14" t="str">
        <x:v>exact</x:v>
      </x:c>
      <x:c r="H63" s="14" t="str">
        <x:v>src-pleiades-599575</x:v>
      </x:c>
    </x:row>
    <x:row r="64" ht="28" customHeight="1">
      <x:c r="A64" s="14" t="str">
        <x:v>ext-pleiades-colony-colophon</x:v>
      </x:c>
      <x:c r="B64" s="14" t="str">
        <x:v>colony-colophon</x:v>
      </x:c>
      <x:c r="C64" s="14"/>
      <x:c r="D64" s="14" t="str">
        <x:v>pleiades</x:v>
      </x:c>
      <x:c r="E64" s="14" t="str">
        <x:v>599577</x:v>
      </x:c>
      <x:c r="F64" s="14" t="str">
        <x:v>https://pleiades.stoa.org/places/599577</x:v>
      </x:c>
      <x:c r="G64" s="14" t="str">
        <x:v>exact</x:v>
      </x:c>
      <x:c r="H64" s="14" t="str">
        <x:v>src-pleiades-599577</x:v>
      </x:c>
    </x:row>
    <x:row r="65" ht="28" customHeight="1">
      <x:c r="A65" s="14" t="str">
        <x:v>ext-pleiades-colony-corcyra</x:v>
      </x:c>
      <x:c r="B65" s="14" t="str">
        <x:v>colony-corcyra</x:v>
      </x:c>
      <x:c r="C65" s="14"/>
      <x:c r="D65" s="14" t="str">
        <x:v>pleiades</x:v>
      </x:c>
      <x:c r="E65" s="14" t="str">
        <x:v>530834</x:v>
      </x:c>
      <x:c r="F65" s="14" t="str">
        <x:v>https://pleiades.stoa.org/places/530834</x:v>
      </x:c>
      <x:c r="G65" s="14" t="str">
        <x:v>exact</x:v>
      </x:c>
      <x:c r="H65" s="14" t="str">
        <x:v>src-pleiades-530834</x:v>
      </x:c>
    </x:row>
    <x:row r="66" ht="28" customHeight="1">
      <x:c r="A66" s="14" t="str">
        <x:v>ext-pleiades-colony-croton</x:v>
      </x:c>
      <x:c r="B66" s="14" t="str">
        <x:v>colony-croton</x:v>
      </x:c>
      <x:c r="C66" s="14"/>
      <x:c r="D66" s="14" t="str">
        <x:v>pleiades</x:v>
      </x:c>
      <x:c r="E66" s="14" t="str">
        <x:v>452317</x:v>
      </x:c>
      <x:c r="F66" s="14" t="str">
        <x:v>https://pleiades.stoa.org/places/452317</x:v>
      </x:c>
      <x:c r="G66" s="14" t="str">
        <x:v>exact</x:v>
      </x:c>
      <x:c r="H66" s="14" t="str">
        <x:v>src-pleiades-452317</x:v>
      </x:c>
    </x:row>
    <x:row r="67" ht="28" customHeight="1">
      <x:c r="A67" s="14" t="str">
        <x:v>ext-pleiades-colony-cumae-campania</x:v>
      </x:c>
      <x:c r="B67" s="14" t="str">
        <x:v>colony-cumae-campania</x:v>
      </x:c>
      <x:c r="C67" s="14"/>
      <x:c r="D67" s="14" t="str">
        <x:v>pleiades</x:v>
      </x:c>
      <x:c r="E67" s="14" t="str">
        <x:v>432808</x:v>
      </x:c>
      <x:c r="F67" s="14" t="str">
        <x:v>https://pleiades.stoa.org/places/432808</x:v>
      </x:c>
      <x:c r="G67" s="14" t="str">
        <x:v>exact</x:v>
      </x:c>
      <x:c r="H67" s="14" t="str">
        <x:v>src-pleiades-432808</x:v>
      </x:c>
    </x:row>
    <x:row r="68" ht="28" customHeight="1">
      <x:c r="A68" s="14" t="str">
        <x:v>ext-pleiades-colony-cyme-aeolis</x:v>
      </x:c>
      <x:c r="B68" s="14" t="str">
        <x:v>colony-cyme-aeolis</x:v>
      </x:c>
      <x:c r="C68" s="14"/>
      <x:c r="D68" s="14" t="str">
        <x:v>pleiades</x:v>
      </x:c>
      <x:c r="E68" s="14" t="str">
        <x:v>550506</x:v>
      </x:c>
      <x:c r="F68" s="14" t="str">
        <x:v>https://pleiades.stoa.org/places/550506</x:v>
      </x:c>
      <x:c r="G68" s="14" t="str">
        <x:v>exact</x:v>
      </x:c>
      <x:c r="H68" s="14" t="str">
        <x:v>src-pleiades-550506</x:v>
      </x:c>
    </x:row>
    <x:row r="69" ht="28" customHeight="1">
      <x:c r="A69" s="14" t="str">
        <x:v>ext-pleiades-colony-cyrene</x:v>
      </x:c>
      <x:c r="B69" s="14" t="str">
        <x:v>colony-cyrene</x:v>
      </x:c>
      <x:c r="C69" s="14"/>
      <x:c r="D69" s="14" t="str">
        <x:v>pleiades</x:v>
      </x:c>
      <x:c r="E69" s="14" t="str">
        <x:v>373778</x:v>
      </x:c>
      <x:c r="F69" s="14" t="str">
        <x:v>https://pleiades.stoa.org/places/373778</x:v>
      </x:c>
      <x:c r="G69" s="14" t="str">
        <x:v>exact</x:v>
      </x:c>
      <x:c r="H69" s="14" t="str">
        <x:v>src-pleiades-373778</x:v>
      </x:c>
    </x:row>
    <x:row r="70" ht="28" customHeight="1">
      <x:c r="A70" s="14" t="str">
        <x:v>ext-pleiades-colony-cyzicus</x:v>
      </x:c>
      <x:c r="B70" s="14" t="str">
        <x:v>colony-cyzicus</x:v>
      </x:c>
      <x:c r="C70" s="14"/>
      <x:c r="D70" s="14" t="str">
        <x:v>pleiades</x:v>
      </x:c>
      <x:c r="E70" s="14" t="str">
        <x:v>511218</x:v>
      </x:c>
      <x:c r="F70" s="14" t="str">
        <x:v>https://pleiades.stoa.org/places/511218</x:v>
      </x:c>
      <x:c r="G70" s="14" t="str">
        <x:v>exact</x:v>
      </x:c>
      <x:c r="H70" s="14" t="str">
        <x:v>src-pleiades-511218</x:v>
      </x:c>
    </x:row>
    <x:row r="71" ht="28" customHeight="1">
      <x:c r="A71" s="14" t="str">
        <x:v>ext-pleiades-colony-dioscurias</x:v>
      </x:c>
      <x:c r="B71" s="14" t="str">
        <x:v>colony-dioscurias</x:v>
      </x:c>
      <x:c r="C71" s="14"/>
      <x:c r="D71" s="14" t="str">
        <x:v>pleiades</x:v>
      </x:c>
      <x:c r="E71" s="14" t="str">
        <x:v>857107</x:v>
      </x:c>
      <x:c r="F71" s="14" t="str">
        <x:v>https://pleiades.stoa.org/places/857107</x:v>
      </x:c>
      <x:c r="G71" s="14" t="str">
        <x:v>exact</x:v>
      </x:c>
      <x:c r="H71" s="14" t="str">
        <x:v>src-pleiades-857107</x:v>
      </x:c>
    </x:row>
    <x:row r="72" ht="28" customHeight="1">
      <x:c r="A72" s="14" t="str">
        <x:v>ext-pleiades-colony-elea-velia</x:v>
      </x:c>
      <x:c r="B72" s="14" t="str">
        <x:v>colony-elea-velia</x:v>
      </x:c>
      <x:c r="C72" s="14"/>
      <x:c r="D72" s="14" t="str">
        <x:v>pleiades</x:v>
      </x:c>
      <x:c r="E72" s="14" t="str">
        <x:v>452488</x:v>
      </x:c>
      <x:c r="F72" s="14" t="str">
        <x:v>https://pleiades.stoa.org/places/452488</x:v>
      </x:c>
      <x:c r="G72" s="14" t="str">
        <x:v>exact</x:v>
      </x:c>
      <x:c r="H72" s="14" t="str">
        <x:v>src-pleiades-452488</x:v>
      </x:c>
    </x:row>
    <x:row r="73" ht="28" customHeight="1">
      <x:c r="A73" s="14" t="str">
        <x:v>ext-pleiades-colony-emporion-iberia</x:v>
      </x:c>
      <x:c r="B73" s="14" t="str">
        <x:v>colony-emporion-iberia</x:v>
      </x:c>
      <x:c r="C73" s="14"/>
      <x:c r="D73" s="14" t="str">
        <x:v>pleiades</x:v>
      </x:c>
      <x:c r="E73" s="14" t="str">
        <x:v>246382</x:v>
      </x:c>
      <x:c r="F73" s="14" t="str">
        <x:v>https://pleiades.stoa.org/places/246382</x:v>
      </x:c>
      <x:c r="G73" s="14" t="str">
        <x:v>exact</x:v>
      </x:c>
      <x:c r="H73" s="14" t="str">
        <x:v>src-pleiades-246382</x:v>
      </x:c>
    </x:row>
    <x:row r="74" ht="28" customHeight="1">
      <x:c r="A74" s="14" t="str">
        <x:v>ext-pleiades-colony-ephesus</x:v>
      </x:c>
      <x:c r="B74" s="14" t="str">
        <x:v>colony-ephesus</x:v>
      </x:c>
      <x:c r="C74" s="14"/>
      <x:c r="D74" s="14" t="str">
        <x:v>pleiades</x:v>
      </x:c>
      <x:c r="E74" s="14" t="str">
        <x:v>599612</x:v>
      </x:c>
      <x:c r="F74" s="14" t="str">
        <x:v>https://pleiades.stoa.org/places/599612</x:v>
      </x:c>
      <x:c r="G74" s="14" t="str">
        <x:v>exact</x:v>
      </x:c>
      <x:c r="H74" s="14" t="str">
        <x:v>src-pleiades-599612</x:v>
      </x:c>
    </x:row>
    <x:row r="75" ht="28" customHeight="1">
      <x:c r="A75" s="14" t="str">
        <x:v>ext-pleiades-colony-epidamnos</x:v>
      </x:c>
      <x:c r="B75" s="14" t="str">
        <x:v>colony-epidamnos</x:v>
      </x:c>
      <x:c r="C75" s="14"/>
      <x:c r="D75" s="14" t="str">
        <x:v>pleiades</x:v>
      </x:c>
      <x:c r="E75" s="14" t="str">
        <x:v>481818</x:v>
      </x:c>
      <x:c r="F75" s="14" t="str">
        <x:v>https://pleiades.stoa.org/places/481818</x:v>
      </x:c>
      <x:c r="G75" s="14" t="str">
        <x:v>exact</x:v>
      </x:c>
      <x:c r="H75" s="14" t="str">
        <x:v>src-pleiades-481818</x:v>
      </x:c>
    </x:row>
    <x:row r="76" ht="28" customHeight="1">
      <x:c r="A76" s="14" t="str">
        <x:v>ext-pleiades-colony-erythrae-ionia</x:v>
      </x:c>
      <x:c r="B76" s="14" t="str">
        <x:v>colony-erythrae-ionia</x:v>
      </x:c>
      <x:c r="C76" s="14"/>
      <x:c r="D76" s="14" t="str">
        <x:v>pleiades</x:v>
      </x:c>
      <x:c r="E76" s="14" t="str">
        <x:v>550535</x:v>
      </x:c>
      <x:c r="F76" s="14" t="str">
        <x:v>https://pleiades.stoa.org/places/550535</x:v>
      </x:c>
      <x:c r="G76" s="14" t="str">
        <x:v>exact</x:v>
      </x:c>
      <x:c r="H76" s="14" t="str">
        <x:v>src-pleiades-550535</x:v>
      </x:c>
    </x:row>
    <x:row r="77" ht="28" customHeight="1">
      <x:c r="A77" s="14" t="str">
        <x:v>ext-pleiades-colony-euesperides</x:v>
      </x:c>
      <x:c r="B77" s="14" t="str">
        <x:v>colony-euesperides</x:v>
      </x:c>
      <x:c r="C77" s="14"/>
      <x:c r="D77" s="14" t="str">
        <x:v>pleiades</x:v>
      </x:c>
      <x:c r="E77" s="14" t="str">
        <x:v>373786</x:v>
      </x:c>
      <x:c r="F77" s="14" t="str">
        <x:v>https://pleiades.stoa.org/places/373786</x:v>
      </x:c>
      <x:c r="G77" s="14" t="str">
        <x:v>exact</x:v>
      </x:c>
      <x:c r="H77" s="14" t="str">
        <x:v>src-pleiades-373786</x:v>
      </x:c>
    </x:row>
    <x:row r="78" ht="28" customHeight="1">
      <x:c r="A78" s="14" t="str">
        <x:v>ext-pleiades-colony-gela</x:v>
      </x:c>
      <x:c r="B78" s="14" t="str">
        <x:v>colony-gela</x:v>
      </x:c>
      <x:c r="C78" s="14"/>
      <x:c r="D78" s="14" t="str">
        <x:v>pleiades</x:v>
      </x:c>
      <x:c r="E78" s="14" t="str">
        <x:v>462214</x:v>
      </x:c>
      <x:c r="F78" s="14" t="str">
        <x:v>https://pleiades.stoa.org/places/462214</x:v>
      </x:c>
      <x:c r="G78" s="14" t="str">
        <x:v>exact</x:v>
      </x:c>
      <x:c r="H78" s="14" t="str">
        <x:v>src-pleiades-462214</x:v>
      </x:c>
    </x:row>
    <x:row r="79" ht="28" customHeight="1">
      <x:c r="A79" s="14" t="str">
        <x:v>ext-pleiades-colony-halicarnassus</x:v>
      </x:c>
      <x:c r="B79" s="14" t="str">
        <x:v>colony-halicarnassus</x:v>
      </x:c>
      <x:c r="C79" s="14"/>
      <x:c r="D79" s="14" t="str">
        <x:v>pleiades</x:v>
      </x:c>
      <x:c r="E79" s="14" t="str">
        <x:v>599636</x:v>
      </x:c>
      <x:c r="F79" s="14" t="str">
        <x:v>https://pleiades.stoa.org/places/599636</x:v>
      </x:c>
      <x:c r="G79" s="14" t="str">
        <x:v>exact</x:v>
      </x:c>
      <x:c r="H79" s="14" t="str">
        <x:v>src-pleiades-599636</x:v>
      </x:c>
    </x:row>
    <x:row r="80" ht="28" customHeight="1">
      <x:c r="A80" s="14" t="str">
        <x:v>ext-pleiades-colony-heraclea-pontica</x:v>
      </x:c>
      <x:c r="B80" s="14" t="str">
        <x:v>colony-heraclea-pontica</x:v>
      </x:c>
      <x:c r="C80" s="14"/>
      <x:c r="D80" s="14" t="str">
        <x:v>pleiades</x:v>
      </x:c>
      <x:c r="E80" s="14" t="str">
        <x:v>844944</x:v>
      </x:c>
      <x:c r="F80" s="14" t="str">
        <x:v>https://pleiades.stoa.org/places/844944</x:v>
      </x:c>
      <x:c r="G80" s="14" t="str">
        <x:v>exact</x:v>
      </x:c>
      <x:c r="H80" s="14" t="str">
        <x:v>src-pleiades-844944</x:v>
      </x:c>
    </x:row>
    <x:row r="81" ht="28" customHeight="1">
      <x:c r="A81" s="14" t="str">
        <x:v>ext-pleiades-colony-himera</x:v>
      </x:c>
      <x:c r="B81" s="14" t="str">
        <x:v>colony-himera</x:v>
      </x:c>
      <x:c r="C81" s="14"/>
      <x:c r="D81" s="14" t="str">
        <x:v>pleiades</x:v>
      </x:c>
      <x:c r="E81" s="14" t="str">
        <x:v>462244</x:v>
      </x:c>
      <x:c r="F81" s="14" t="str">
        <x:v>https://pleiades.stoa.org/places/462244</x:v>
      </x:c>
      <x:c r="G81" s="14" t="str">
        <x:v>exact</x:v>
      </x:c>
      <x:c r="H81" s="14" t="str">
        <x:v>src-pleiades-462244</x:v>
      </x:c>
    </x:row>
    <x:row r="82" ht="28" customHeight="1">
      <x:c r="A82" s="14" t="str">
        <x:v>ext-pleiades-colony-histria-pontica</x:v>
      </x:c>
      <x:c r="B82" s="14" t="str">
        <x:v>colony-histria-pontica</x:v>
      </x:c>
      <x:c r="C82" s="14"/>
      <x:c r="D82" s="14" t="str">
        <x:v>pleiades</x:v>
      </x:c>
      <x:c r="E82" s="14" t="str">
        <x:v>216839</x:v>
      </x:c>
      <x:c r="F82" s="14" t="str">
        <x:v>https://pleiades.stoa.org/places/216839</x:v>
      </x:c>
      <x:c r="G82" s="14" t="str">
        <x:v>exact</x:v>
      </x:c>
      <x:c r="H82" s="14" t="str">
        <x:v>src-pleiades-216839</x:v>
      </x:c>
    </x:row>
    <x:row r="83" ht="28" customHeight="1">
      <x:c r="A83" s="14" t="str">
        <x:v>ext-pleiades-colony-iasos</x:v>
      </x:c>
      <x:c r="B83" s="14" t="str">
        <x:v>colony-iasos</x:v>
      </x:c>
      <x:c r="C83" s="14"/>
      <x:c r="D83" s="14" t="str">
        <x:v>pleiades</x:v>
      </x:c>
      <x:c r="E83" s="14" t="str">
        <x:v>599664</x:v>
      </x:c>
      <x:c r="F83" s="14" t="str">
        <x:v>https://pleiades.stoa.org/places/599664</x:v>
      </x:c>
      <x:c r="G83" s="14" t="str">
        <x:v>exact</x:v>
      </x:c>
      <x:c r="H83" s="14" t="str">
        <x:v>src-pleiades-599664</x:v>
      </x:c>
    </x:row>
    <x:row r="84" ht="28" customHeight="1">
      <x:c r="A84" s="14" t="str">
        <x:v>ext-pleiades-colony-lampsacus</x:v>
      </x:c>
      <x:c r="B84" s="14" t="str">
        <x:v>colony-lampsacus</x:v>
      </x:c>
      <x:c r="C84" s="14"/>
      <x:c r="D84" s="14" t="str">
        <x:v>pleiades</x:v>
      </x:c>
      <x:c r="E84" s="14" t="str">
        <x:v>501570</x:v>
      </x:c>
      <x:c r="F84" s="14" t="str">
        <x:v>https://pleiades.stoa.org/places/501570</x:v>
      </x:c>
      <x:c r="G84" s="14" t="str">
        <x:v>exact</x:v>
      </x:c>
      <x:c r="H84" s="14" t="str">
        <x:v>src-pleiades-501570</x:v>
      </x:c>
    </x:row>
    <x:row r="85" ht="28" customHeight="1">
      <x:c r="A85" s="14" t="str">
        <x:v>ext-pleiades-colony-leontinoi</x:v>
      </x:c>
      <x:c r="B85" s="14" t="str">
        <x:v>colony-leontinoi</x:v>
      </x:c>
      <x:c r="C85" s="14"/>
      <x:c r="D85" s="14" t="str">
        <x:v>pleiades</x:v>
      </x:c>
      <x:c r="E85" s="14" t="str">
        <x:v>462279</x:v>
      </x:c>
      <x:c r="F85" s="14" t="str">
        <x:v>https://pleiades.stoa.org/places/462279</x:v>
      </x:c>
      <x:c r="G85" s="14" t="str">
        <x:v>exact</x:v>
      </x:c>
      <x:c r="H85" s="14" t="str">
        <x:v>src-pleiades-462279</x:v>
      </x:c>
    </x:row>
    <x:row r="86" ht="28" customHeight="1">
      <x:c r="A86" s="14" t="str">
        <x:v>ext-pleiades-colony-locri-epizephyrii</x:v>
      </x:c>
      <x:c r="B86" s="14" t="str">
        <x:v>colony-locri-epizephyrii</x:v>
      </x:c>
      <x:c r="C86" s="14"/>
      <x:c r="D86" s="14" t="str">
        <x:v>pleiades</x:v>
      </x:c>
      <x:c r="E86" s="14" t="str">
        <x:v>452369</x:v>
      </x:c>
      <x:c r="F86" s="14" t="str">
        <x:v>https://pleiades.stoa.org/places/452369</x:v>
      </x:c>
      <x:c r="G86" s="14" t="str">
        <x:v>exact</x:v>
      </x:c>
      <x:c r="H86" s="14" t="str">
        <x:v>src-pleiades-452369</x:v>
      </x:c>
    </x:row>
    <x:row r="87" ht="28" customHeight="1">
      <x:c r="A87" s="14" t="str">
        <x:v>ext-pleiades-colony-magnesia-maeander</x:v>
      </x:c>
      <x:c r="B87" s="14" t="str">
        <x:v>colony-magnesia-maeander</x:v>
      </x:c>
      <x:c r="C87" s="14"/>
      <x:c r="D87" s="14" t="str">
        <x:v>pleiades</x:v>
      </x:c>
      <x:c r="E87" s="14" t="str">
        <x:v>599778</x:v>
      </x:c>
      <x:c r="F87" s="14" t="str">
        <x:v>https://pleiades.stoa.org/places/599778</x:v>
      </x:c>
      <x:c r="G87" s="14" t="str">
        <x:v>exact</x:v>
      </x:c>
      <x:c r="H87" s="14" t="str">
        <x:v>src-pleiades-599778</x:v>
      </x:c>
    </x:row>
    <x:row r="88" ht="28" customHeight="1">
      <x:c r="A88" s="14" t="str">
        <x:v>ext-pleiades-colony-massalia</x:v>
      </x:c>
      <x:c r="B88" s="14" t="str">
        <x:v>colony-massalia</x:v>
      </x:c>
      <x:c r="C88" s="14"/>
      <x:c r="D88" s="14" t="str">
        <x:v>pleiades</x:v>
      </x:c>
      <x:c r="E88" s="14" t="str">
        <x:v>148127</x:v>
      </x:c>
      <x:c r="F88" s="14" t="str">
        <x:v>https://pleiades.stoa.org/places/148127</x:v>
      </x:c>
      <x:c r="G88" s="14" t="str">
        <x:v>exact</x:v>
      </x:c>
      <x:c r="H88" s="14" t="str">
        <x:v>src-pleiades-148127</x:v>
      </x:c>
    </x:row>
    <x:row r="89" ht="28" customHeight="1">
      <x:c r="A89" s="14" t="str">
        <x:v>ext-pleiades-colony-megara-hyblaea</x:v>
      </x:c>
      <x:c r="B89" s="14" t="str">
        <x:v>colony-megara-hyblaea</x:v>
      </x:c>
      <x:c r="C89" s="14"/>
      <x:c r="D89" s="14" t="str">
        <x:v>pleiades</x:v>
      </x:c>
      <x:c r="E89" s="14" t="str">
        <x:v>462307</x:v>
      </x:c>
      <x:c r="F89" s="14" t="str">
        <x:v>https://pleiades.stoa.org/places/462307</x:v>
      </x:c>
      <x:c r="G89" s="14" t="str">
        <x:v>exact</x:v>
      </x:c>
      <x:c r="H89" s="14" t="str">
        <x:v>src-pleiades-462307</x:v>
      </x:c>
    </x:row>
    <x:row r="90" ht="28" customHeight="1">
      <x:c r="A90" s="14" t="str">
        <x:v>ext-pleiades-colony-mesembria</x:v>
      </x:c>
      <x:c r="B90" s="14" t="str">
        <x:v>colony-mesembria</x:v>
      </x:c>
      <x:c r="C90" s="14"/>
      <x:c r="D90" s="14" t="str">
        <x:v>pleiades</x:v>
      </x:c>
      <x:c r="E90" s="14" t="str">
        <x:v>216882</x:v>
      </x:c>
      <x:c r="F90" s="14" t="str">
        <x:v>https://pleiades.stoa.org/places/216882</x:v>
      </x:c>
      <x:c r="G90" s="14" t="str">
        <x:v>exact</x:v>
      </x:c>
      <x:c r="H90" s="14" t="str">
        <x:v>src-pleiades-216882</x:v>
      </x:c>
    </x:row>
    <x:row r="91" ht="28" customHeight="1">
      <x:c r="A91" s="14" t="str">
        <x:v>ext-pleiades-colony-metapontum</x:v>
      </x:c>
      <x:c r="B91" s="14" t="str">
        <x:v>colony-metapontum</x:v>
      </x:c>
      <x:c r="C91" s="14"/>
      <x:c r="D91" s="14" t="str">
        <x:v>pleiades</x:v>
      </x:c>
      <x:c r="E91" s="14" t="str">
        <x:v>442658</x:v>
      </x:c>
      <x:c r="F91" s="14" t="str">
        <x:v>https://pleiades.stoa.org/places/442658</x:v>
      </x:c>
      <x:c r="G91" s="14" t="str">
        <x:v>exact</x:v>
      </x:c>
      <x:c r="H91" s="14" t="str">
        <x:v>src-pleiades-442658</x:v>
      </x:c>
    </x:row>
    <x:row r="92" ht="28" customHeight="1">
      <x:c r="A92" s="14" t="str">
        <x:v>ext-pleiades-colony-miletus</x:v>
      </x:c>
      <x:c r="B92" s="14" t="str">
        <x:v>colony-miletus</x:v>
      </x:c>
      <x:c r="C92" s="14"/>
      <x:c r="D92" s="14" t="str">
        <x:v>pleiades</x:v>
      </x:c>
      <x:c r="E92" s="14" t="str">
        <x:v>599799</x:v>
      </x:c>
      <x:c r="F92" s="14" t="str">
        <x:v>https://pleiades.stoa.org/places/599799</x:v>
      </x:c>
      <x:c r="G92" s="14" t="str">
        <x:v>exact</x:v>
      </x:c>
      <x:c r="H92" s="14" t="str">
        <x:v>src-pleiades-599799</x:v>
      </x:c>
    </x:row>
    <x:row r="93" ht="28" customHeight="1">
      <x:c r="A93" s="14" t="str">
        <x:v>ext-pleiades-colony-myrina-aeolis</x:v>
      </x:c>
      <x:c r="B93" s="14" t="str">
        <x:v>colony-myrina-aeolis</x:v>
      </x:c>
      <x:c r="C93" s="14"/>
      <x:c r="D93" s="14" t="str">
        <x:v>pleiades</x:v>
      </x:c>
      <x:c r="E93" s="14" t="str">
        <x:v>550756</x:v>
      </x:c>
      <x:c r="F93" s="14" t="str">
        <x:v>https://pleiades.stoa.org/places/550756</x:v>
      </x:c>
      <x:c r="G93" s="14" t="str">
        <x:v>exact</x:v>
      </x:c>
      <x:c r="H93" s="14" t="str">
        <x:v>src-pleiades-550756</x:v>
      </x:c>
    </x:row>
    <x:row r="94" ht="28" customHeight="1">
      <x:c r="A94" s="14" t="str">
        <x:v>ext-pleiades-colony-naucratis</x:v>
      </x:c>
      <x:c r="B94" s="14" t="str">
        <x:v>colony-naucratis</x:v>
      </x:c>
      <x:c r="C94" s="14"/>
      <x:c r="D94" s="14" t="str">
        <x:v>pleiades</x:v>
      </x:c>
      <x:c r="E94" s="14" t="str">
        <x:v>727169</x:v>
      </x:c>
      <x:c r="F94" s="14" t="str">
        <x:v>https://pleiades.stoa.org/places/727169</x:v>
      </x:c>
      <x:c r="G94" s="14" t="str">
        <x:v>exact</x:v>
      </x:c>
      <x:c r="H94" s="14" t="str">
        <x:v>src-pleiades-727169</x:v>
      </x:c>
    </x:row>
    <x:row r="95" ht="28" customHeight="1">
      <x:c r="A95" s="14" t="str">
        <x:v>ext-pleiades-colony-naxos-sicily</x:v>
      </x:c>
      <x:c r="B95" s="14" t="str">
        <x:v>colony-naxos-sicily</x:v>
      </x:c>
      <x:c r="C95" s="14"/>
      <x:c r="D95" s="14" t="str">
        <x:v>pleiades</x:v>
      </x:c>
      <x:c r="E95" s="14" t="str">
        <x:v>462386</x:v>
      </x:c>
      <x:c r="F95" s="14" t="str">
        <x:v>https://pleiades.stoa.org/places/462386</x:v>
      </x:c>
      <x:c r="G95" s="14" t="str">
        <x:v>exact</x:v>
      </x:c>
      <x:c r="H95" s="14" t="str">
        <x:v>src-pleiades-462386</x:v>
      </x:c>
    </x:row>
    <x:row r="96" ht="28" customHeight="1">
      <x:c r="A96" s="14" t="str">
        <x:v>ext-pleiades-colony-neapolis-campania</x:v>
      </x:c>
      <x:c r="B96" s="14" t="str">
        <x:v>colony-neapolis-campania</x:v>
      </x:c>
      <x:c r="C96" s="14"/>
      <x:c r="D96" s="14" t="str">
        <x:v>pleiades</x:v>
      </x:c>
      <x:c r="E96" s="14" t="str">
        <x:v>433014</x:v>
      </x:c>
      <x:c r="F96" s="14" t="str">
        <x:v>https://pleiades.stoa.org/places/433014</x:v>
      </x:c>
      <x:c r="G96" s="14" t="str">
        <x:v>exact</x:v>
      </x:c>
      <x:c r="H96" s="14" t="str">
        <x:v>src-pleiades-433014</x:v>
      </x:c>
    </x:row>
    <x:row r="97" ht="28" customHeight="1">
      <x:c r="A97" s="14" t="str">
        <x:v>ext-pleiades-colony-odessos</x:v>
      </x:c>
      <x:c r="B97" s="14" t="str">
        <x:v>colony-odessos</x:v>
      </x:c>
      <x:c r="C97" s="14"/>
      <x:c r="D97" s="14" t="str">
        <x:v>pleiades</x:v>
      </x:c>
      <x:c r="E97" s="14" t="str">
        <x:v>216904</x:v>
      </x:c>
      <x:c r="F97" s="14" t="str">
        <x:v>https://pleiades.stoa.org/places/216904</x:v>
      </x:c>
      <x:c r="G97" s="14" t="str">
        <x:v>exact</x:v>
      </x:c>
      <x:c r="H97" s="14" t="str">
        <x:v>src-pleiades-216904</x:v>
      </x:c>
    </x:row>
    <x:row r="98" ht="28" customHeight="1">
      <x:c r="A98" s="14" t="str">
        <x:v>ext-pleiades-colony-olbia-pontica</x:v>
      </x:c>
      <x:c r="B98" s="14" t="str">
        <x:v>colony-olbia-pontica</x:v>
      </x:c>
      <x:c r="C98" s="14"/>
      <x:c r="D98" s="14" t="str">
        <x:v>pleiades</x:v>
      </x:c>
      <x:c r="E98" s="14" t="str">
        <x:v>226546</x:v>
      </x:c>
      <x:c r="F98" s="14" t="str">
        <x:v>https://pleiades.stoa.org/places/226546</x:v>
      </x:c>
      <x:c r="G98" s="14" t="str">
        <x:v>exact</x:v>
      </x:c>
      <x:c r="H98" s="14" t="str">
        <x:v>src-pleiades-226546</x:v>
      </x:c>
    </x:row>
    <x:row r="99" ht="28" customHeight="1">
      <x:c r="A99" s="14" t="str">
        <x:v>ext-pleiades-colony-panticapaeum</x:v>
      </x:c>
      <x:c r="B99" s="14" t="str">
        <x:v>colony-panticapaeum</x:v>
      </x:c>
      <x:c r="C99" s="14"/>
      <x:c r="D99" s="14" t="str">
        <x:v>pleiades</x:v>
      </x:c>
      <x:c r="E99" s="14" t="str">
        <x:v>854719</x:v>
      </x:c>
      <x:c r="F99" s="14" t="str">
        <x:v>https://pleiades.stoa.org/places/854719</x:v>
      </x:c>
      <x:c r="G99" s="14" t="str">
        <x:v>exact</x:v>
      </x:c>
      <x:c r="H99" s="14" t="str">
        <x:v>src-pleiades-854719</x:v>
      </x:c>
    </x:row>
    <x:row r="100" ht="28" customHeight="1">
      <x:c r="A100" s="14" t="str">
        <x:v>ext-pleiades-colony-phanagoria</x:v>
      </x:c>
      <x:c r="B100" s="14" t="str">
        <x:v>colony-phanagoria</x:v>
      </x:c>
      <x:c r="C100" s="14"/>
      <x:c r="D100" s="14" t="str">
        <x:v>pleiades</x:v>
      </x:c>
      <x:c r="E100" s="14" t="str">
        <x:v>854724</x:v>
      </x:c>
      <x:c r="F100" s="14" t="str">
        <x:v>https://pleiades.stoa.org/places/854724</x:v>
      </x:c>
      <x:c r="G100" s="14" t="str">
        <x:v>exact</x:v>
      </x:c>
      <x:c r="H100" s="14" t="str">
        <x:v>src-pleiades-854724</x:v>
      </x:c>
    </x:row>
    <x:row r="101" ht="28" customHeight="1">
      <x:c r="A101" s="14" t="str">
        <x:v>ext-pleiades-colony-pharos-hvar</x:v>
      </x:c>
      <x:c r="B101" s="14" t="str">
        <x:v>colony-pharos-hvar</x:v>
      </x:c>
      <x:c r="C101" s="14"/>
      <x:c r="D101" s="14" t="str">
        <x:v>pleiades</x:v>
      </x:c>
      <x:c r="E101" s="14" t="str">
        <x:v>197433</x:v>
      </x:c>
      <x:c r="F101" s="14" t="str">
        <x:v>https://pleiades.stoa.org/places/197433</x:v>
      </x:c>
      <x:c r="G101" s="14" t="str">
        <x:v>exact</x:v>
      </x:c>
      <x:c r="H101" s="14" t="str">
        <x:v>src-pleiades-197433</x:v>
      </x:c>
    </x:row>
    <x:row r="102" ht="28" customHeight="1">
      <x:c r="A102" s="14" t="str">
        <x:v>ext-pleiades-colony-phaselis</x:v>
      </x:c>
      <x:c r="B102" s="14" t="str">
        <x:v>colony-phaselis</x:v>
      </x:c>
      <x:c r="C102" s="14"/>
      <x:c r="D102" s="14" t="str">
        <x:v>pleiades</x:v>
      </x:c>
      <x:c r="E102" s="14" t="str">
        <x:v>639051</x:v>
      </x:c>
      <x:c r="F102" s="14" t="str">
        <x:v>https://pleiades.stoa.org/places/639051</x:v>
      </x:c>
      <x:c r="G102" s="14" t="str">
        <x:v>exact</x:v>
      </x:c>
      <x:c r="H102" s="14" t="str">
        <x:v>src-pleiades-639051</x:v>
      </x:c>
    </x:row>
    <x:row r="103" ht="28" customHeight="1">
      <x:c r="A103" s="14" t="str">
        <x:v>ext-pleiades-colony-phasis-city</x:v>
      </x:c>
      <x:c r="B103" s="14" t="str">
        <x:v>colony-phasis-city</x:v>
      </x:c>
      <x:c r="C103" s="14"/>
      <x:c r="D103" s="14" t="str">
        <x:v>pleiades</x:v>
      </x:c>
      <x:c r="E103" s="14" t="str">
        <x:v>857275</x:v>
      </x:c>
      <x:c r="F103" s="14" t="str">
        <x:v>https://pleiades.stoa.org/places/857275</x:v>
      </x:c>
      <x:c r="G103" s="14" t="str">
        <x:v>exact</x:v>
      </x:c>
      <x:c r="H103" s="14" t="str">
        <x:v>src-pleiades-857275</x:v>
      </x:c>
    </x:row>
    <x:row r="104" ht="28" customHeight="1">
      <x:c r="A104" s="14" t="str">
        <x:v>ext-pleiades-colony-philippi</x:v>
      </x:c>
      <x:c r="B104" s="14" t="str">
        <x:v>colony-philippi</x:v>
      </x:c>
      <x:c r="C104" s="14"/>
      <x:c r="D104" s="14" t="str">
        <x:v>pleiades</x:v>
      </x:c>
      <x:c r="E104" s="14" t="str">
        <x:v>501482</x:v>
      </x:c>
      <x:c r="F104" s="14" t="str">
        <x:v>https://pleiades.stoa.org/places/501482</x:v>
      </x:c>
      <x:c r="G104" s="14" t="str">
        <x:v>exact</x:v>
      </x:c>
      <x:c r="H104" s="14" t="str">
        <x:v>src-pleiades-501482</x:v>
      </x:c>
    </x:row>
    <x:row r="105" ht="28" customHeight="1">
      <x:c r="A105" s="14" t="str">
        <x:v>ext-pleiades-colony-phocaea</x:v>
      </x:c>
      <x:c r="B105" s="14" t="str">
        <x:v>colony-phocaea</x:v>
      </x:c>
      <x:c r="C105" s="14"/>
      <x:c r="D105" s="14" t="str">
        <x:v>pleiades</x:v>
      </x:c>
      <x:c r="E105" s="14" t="str">
        <x:v>550823</x:v>
      </x:c>
      <x:c r="F105" s="14" t="str">
        <x:v>https://pleiades.stoa.org/places/550823</x:v>
      </x:c>
      <x:c r="G105" s="14" t="str">
        <x:v>exact</x:v>
      </x:c>
      <x:c r="H105" s="14" t="str">
        <x:v>src-pleiades-550823</x:v>
      </x:c>
    </x:row>
    <x:row r="106" ht="28" customHeight="1">
      <x:c r="A106" s="14" t="str">
        <x:v>ext-pleiades-colony-poseidonia</x:v>
      </x:c>
      <x:c r="B106" s="14" t="str">
        <x:v>colony-poseidonia</x:v>
      </x:c>
      <x:c r="C106" s="14"/>
      <x:c r="D106" s="14" t="str">
        <x:v>pleiades</x:v>
      </x:c>
      <x:c r="E106" s="14" t="str">
        <x:v>442733</x:v>
      </x:c>
      <x:c r="F106" s="14" t="str">
        <x:v>https://pleiades.stoa.org/places/442733</x:v>
      </x:c>
      <x:c r="G106" s="14" t="str">
        <x:v>exact</x:v>
      </x:c>
      <x:c r="H106" s="14" t="str">
        <x:v>src-pleiades-442733</x:v>
      </x:c>
    </x:row>
    <x:row r="107" ht="28" customHeight="1">
      <x:c r="A107" s="14" t="str">
        <x:v>ext-pleiades-colony-priene</x:v>
      </x:c>
      <x:c r="B107" s="14" t="str">
        <x:v>colony-priene</x:v>
      </x:c>
      <x:c r="C107" s="14"/>
      <x:c r="D107" s="14" t="str">
        <x:v>pleiades</x:v>
      </x:c>
      <x:c r="E107" s="14" t="str">
        <x:v>599905</x:v>
      </x:c>
      <x:c r="F107" s="14" t="str">
        <x:v>https://pleiades.stoa.org/places/599905</x:v>
      </x:c>
      <x:c r="G107" s="14" t="str">
        <x:v>exact</x:v>
      </x:c>
      <x:c r="H107" s="14" t="str">
        <x:v>src-pleiades-599905</x:v>
      </x:c>
    </x:row>
    <x:row r="108" ht="28" customHeight="1">
      <x:c r="A108" s="14" t="str">
        <x:v>ext-pleiades-colony-rhegion</x:v>
      </x:c>
      <x:c r="B108" s="14" t="str">
        <x:v>colony-rhegion</x:v>
      </x:c>
      <x:c r="C108" s="14"/>
      <x:c r="D108" s="14" t="str">
        <x:v>pleiades</x:v>
      </x:c>
      <x:c r="E108" s="14" t="str">
        <x:v>452416</x:v>
      </x:c>
      <x:c r="F108" s="14" t="str">
        <x:v>https://pleiades.stoa.org/places/452416</x:v>
      </x:c>
      <x:c r="G108" s="14" t="str">
        <x:v>exact</x:v>
      </x:c>
      <x:c r="H108" s="14" t="str">
        <x:v>src-pleiades-452416</x:v>
      </x:c>
    </x:row>
    <x:row r="109" ht="28" customHeight="1">
      <x:c r="A109" s="14" t="str">
        <x:v>ext-pleiades-colony-selinus</x:v>
      </x:c>
      <x:c r="B109" s="14" t="str">
        <x:v>colony-selinus</x:v>
      </x:c>
      <x:c r="C109" s="14"/>
      <x:c r="D109" s="14" t="str">
        <x:v>pleiades</x:v>
      </x:c>
      <x:c r="E109" s="14" t="str">
        <x:v>462489</x:v>
      </x:c>
      <x:c r="F109" s="14" t="str">
        <x:v>https://pleiades.stoa.org/places/462489</x:v>
      </x:c>
      <x:c r="G109" s="14" t="str">
        <x:v>exact</x:v>
      </x:c>
      <x:c r="H109" s="14" t="str">
        <x:v>src-pleiades-462489</x:v>
      </x:c>
    </x:row>
    <x:row r="110" ht="28" customHeight="1">
      <x:c r="A110" s="14" t="str">
        <x:v>ext-pleiades-colony-sinope</x:v>
      </x:c>
      <x:c r="B110" s="14" t="str">
        <x:v>colony-sinope</x:v>
      </x:c>
      <x:c r="C110" s="14"/>
      <x:c r="D110" s="14" t="str">
        <x:v>pleiades</x:v>
      </x:c>
      <x:c r="E110" s="14" t="str">
        <x:v>857321</x:v>
      </x:c>
      <x:c r="F110" s="14" t="str">
        <x:v>https://pleiades.stoa.org/places/857321</x:v>
      </x:c>
      <x:c r="G110" s="14" t="str">
        <x:v>exact</x:v>
      </x:c>
      <x:c r="H110" s="14" t="str">
        <x:v>src-pleiades-857321</x:v>
      </x:c>
    </x:row>
    <x:row r="111" ht="28" customHeight="1">
      <x:c r="A111" s="14" t="str">
        <x:v>ext-pleiades-colony-sybaris</x:v>
      </x:c>
      <x:c r="B111" s="14" t="str">
        <x:v>colony-sybaris</x:v>
      </x:c>
      <x:c r="C111" s="14"/>
      <x:c r="D111" s="14" t="str">
        <x:v>pleiades</x:v>
      </x:c>
      <x:c r="E111" s="14" t="str">
        <x:v>452457</x:v>
      </x:c>
      <x:c r="F111" s="14" t="str">
        <x:v>https://pleiades.stoa.org/places/452457</x:v>
      </x:c>
      <x:c r="G111" s="14" t="str">
        <x:v>exact</x:v>
      </x:c>
      <x:c r="H111" s="14" t="str">
        <x:v>src-pleiades-452457</x:v>
      </x:c>
    </x:row>
    <x:row r="112" ht="28" customHeight="1">
      <x:c r="A112" s="14" t="str">
        <x:v>ext-pleiades-colony-syracuse</x:v>
      </x:c>
      <x:c r="B112" s="14" t="str">
        <x:v>colony-syracuse</x:v>
      </x:c>
      <x:c r="C112" s="14"/>
      <x:c r="D112" s="14" t="str">
        <x:v>pleiades</x:v>
      </x:c>
      <x:c r="E112" s="14" t="str">
        <x:v>462503</x:v>
      </x:c>
      <x:c r="F112" s="14" t="str">
        <x:v>https://pleiades.stoa.org/places/462503</x:v>
      </x:c>
      <x:c r="G112" s="14" t="str">
        <x:v>exact</x:v>
      </x:c>
      <x:c r="H112" s="14" t="str">
        <x:v>src-pleiades-462503</x:v>
      </x:c>
    </x:row>
    <x:row r="113" ht="28" customHeight="1">
      <x:c r="A113" s="14" t="str">
        <x:v>ext-pleiades-colony-tanais</x:v>
      </x:c>
      <x:c r="B113" s="14" t="str">
        <x:v>colony-tanais</x:v>
      </x:c>
      <x:c r="C113" s="14"/>
      <x:c r="D113" s="14" t="str">
        <x:v>pleiades</x:v>
      </x:c>
      <x:c r="E113" s="14" t="str">
        <x:v>825397</x:v>
      </x:c>
      <x:c r="F113" s="14" t="str">
        <x:v>https://pleiades.stoa.org/places/825397</x:v>
      </x:c>
      <x:c r="G113" s="14" t="str">
        <x:v>exact</x:v>
      </x:c>
      <x:c r="H113" s="14" t="str">
        <x:v>src-pleiades-825397</x:v>
      </x:c>
    </x:row>
    <x:row r="114" ht="28" customHeight="1">
      <x:c r="A114" s="14" t="str">
        <x:v>ext-pleiades-colony-taras</x:v>
      </x:c>
      <x:c r="B114" s="14" t="str">
        <x:v>colony-taras</x:v>
      </x:c>
      <x:c r="C114" s="14"/>
      <x:c r="D114" s="14" t="str">
        <x:v>pleiades</x:v>
      </x:c>
      <x:c r="E114" s="14" t="str">
        <x:v>442810</x:v>
      </x:c>
      <x:c r="F114" s="14" t="str">
        <x:v>https://pleiades.stoa.org/places/442810</x:v>
      </x:c>
      <x:c r="G114" s="14" t="str">
        <x:v>exact</x:v>
      </x:c>
      <x:c r="H114" s="14" t="str">
        <x:v>src-pleiades-442810</x:v>
      </x:c>
    </x:row>
    <x:row r="115" ht="28" customHeight="1">
      <x:c r="A115" s="14" t="str">
        <x:v>ext-pleiades-colony-taucheira</x:v>
      </x:c>
      <x:c r="B115" s="14" t="str">
        <x:v>colony-taucheira</x:v>
      </x:c>
      <x:c r="C115" s="14"/>
      <x:c r="D115" s="14" t="str">
        <x:v>pleiades</x:v>
      </x:c>
      <x:c r="E115" s="14" t="str">
        <x:v>373736</x:v>
      </x:c>
      <x:c r="F115" s="14" t="str">
        <x:v>https://pleiades.stoa.org/places/373736</x:v>
      </x:c>
      <x:c r="G115" s="14" t="str">
        <x:v>exact</x:v>
      </x:c>
      <x:c r="H115" s="14" t="str">
        <x:v>src-pleiades-373736</x:v>
      </x:c>
    </x:row>
    <x:row r="116" ht="28" customHeight="1">
      <x:c r="A116" s="14" t="str">
        <x:v>ext-pleiades-colony-teos</x:v>
      </x:c>
      <x:c r="B116" s="14" t="str">
        <x:v>colony-teos</x:v>
      </x:c>
      <x:c r="C116" s="14"/>
      <x:c r="D116" s="14" t="str">
        <x:v>pleiades</x:v>
      </x:c>
      <x:c r="E116" s="14" t="str">
        <x:v>550913</x:v>
      </x:c>
      <x:c r="F116" s="14" t="str">
        <x:v>https://pleiades.stoa.org/places/550913</x:v>
      </x:c>
      <x:c r="G116" s="14" t="str">
        <x:v>exact</x:v>
      </x:c>
      <x:c r="H116" s="14" t="str">
        <x:v>src-pleiades-550913</x:v>
      </x:c>
    </x:row>
    <x:row r="117" ht="28" customHeight="1">
      <x:c r="A117" s="14" t="str">
        <x:v>ext-pleiades-colony-theodosia-crimea</x:v>
      </x:c>
      <x:c r="B117" s="14" t="str">
        <x:v>colony-theodosia-crimea</x:v>
      </x:c>
      <x:c r="C117" s="14"/>
      <x:c r="D117" s="14" t="str">
        <x:v>pleiades</x:v>
      </x:c>
      <x:c r="E117" s="14" t="str">
        <x:v>854743</x:v>
      </x:c>
      <x:c r="F117" s="14" t="str">
        <x:v>https://pleiades.stoa.org/places/854743</x:v>
      </x:c>
      <x:c r="G117" s="14" t="str">
        <x:v>exact</x:v>
      </x:c>
      <x:c r="H117" s="14" t="str">
        <x:v>src-pleiades-854743</x:v>
      </x:c>
    </x:row>
    <x:row r="118" ht="28" customHeight="1">
      <x:c r="A118" s="14" t="str">
        <x:v>ext-pleiades-colony-tomis</x:v>
      </x:c>
      <x:c r="B118" s="14" t="str">
        <x:v>colony-tomis</x:v>
      </x:c>
      <x:c r="C118" s="14"/>
      <x:c r="D118" s="14" t="str">
        <x:v>pleiades</x:v>
      </x:c>
      <x:c r="E118" s="14" t="str">
        <x:v>217016</x:v>
      </x:c>
      <x:c r="F118" s="14" t="str">
        <x:v>https://pleiades.stoa.org/places/217016</x:v>
      </x:c>
      <x:c r="G118" s="14" t="str">
        <x:v>exact</x:v>
      </x:c>
      <x:c r="H118" s="14" t="str">
        <x:v>src-pleiades-217016</x:v>
      </x:c>
    </x:row>
    <x:row r="119" ht="28" customHeight="1">
      <x:c r="A119" s="14" t="str">
        <x:v>ext-pleiades-colony-tragurion</x:v>
      </x:c>
      <x:c r="B119" s="14" t="str">
        <x:v>colony-tragurion</x:v>
      </x:c>
      <x:c r="C119" s="14"/>
      <x:c r="D119" s="14" t="str">
        <x:v>pleiades</x:v>
      </x:c>
      <x:c r="E119" s="14" t="str">
        <x:v>197555</x:v>
      </x:c>
      <x:c r="F119" s="14" t="str">
        <x:v>https://pleiades.stoa.org/places/197555</x:v>
      </x:c>
      <x:c r="G119" s="14" t="str">
        <x:v>exact</x:v>
      </x:c>
      <x:c r="H119" s="14" t="str">
        <x:v>src-pleiades-197555</x:v>
      </x:c>
    </x:row>
    <x:row r="120" ht="28" customHeight="1">
      <x:c r="A120" s="14" t="str">
        <x:v>ext-pleiades-colony-trapezus</x:v>
      </x:c>
      <x:c r="B120" s="14" t="str">
        <x:v>colony-trapezus</x:v>
      </x:c>
      <x:c r="C120" s="14"/>
      <x:c r="D120" s="14" t="str">
        <x:v>pleiades</x:v>
      </x:c>
      <x:c r="E120" s="14" t="str">
        <x:v>857359</x:v>
      </x:c>
      <x:c r="F120" s="14" t="str">
        <x:v>https://pleiades.stoa.org/places/857359</x:v>
      </x:c>
      <x:c r="G120" s="14" t="str">
        <x:v>exact</x:v>
      </x:c>
      <x:c r="H120" s="14" t="str">
        <x:v>src-pleiades-857359</x:v>
      </x:c>
    </x:row>
    <x:row r="121" ht="28" customHeight="1">
      <x:c r="A121" s="14" t="str">
        <x:v>ext-pleiades-colony-tyras</x:v>
      </x:c>
      <x:c r="B121" s="14" t="str">
        <x:v>colony-tyras</x:v>
      </x:c>
      <x:c r="C121" s="14"/>
      <x:c r="D121" s="14" t="str">
        <x:v>pleiades</x:v>
      </x:c>
      <x:c r="E121" s="14" t="str">
        <x:v>226800</x:v>
      </x:c>
      <x:c r="F121" s="14" t="str">
        <x:v>https://pleiades.stoa.org/places/226800</x:v>
      </x:c>
      <x:c r="G121" s="14" t="str">
        <x:v>exact</x:v>
      </x:c>
      <x:c r="H121" s="14" t="str">
        <x:v>src-pleiades-226800</x:v>
      </x:c>
    </x:row>
    <x:row r="122" ht="28" customHeight="1">
      <x:c r="A122" s="14" t="str">
        <x:v>ext-pleiades-colony-zancle-messana</x:v>
      </x:c>
      <x:c r="B122" s="14" t="str">
        <x:v>colony-zancle-messana</x:v>
      </x:c>
      <x:c r="C122" s="14"/>
      <x:c r="D122" s="14" t="str">
        <x:v>pleiades</x:v>
      </x:c>
      <x:c r="E122" s="14" t="str">
        <x:v>462538</x:v>
      </x:c>
      <x:c r="F122" s="14" t="str">
        <x:v>https://pleiades.stoa.org/places/462538</x:v>
      </x:c>
      <x:c r="G122" s="14" t="str">
        <x:v>exact</x:v>
      </x:c>
      <x:c r="H122" s="14" t="str">
        <x:v>src-pleiades-462538</x:v>
      </x:c>
    </x:row>
    <x:row r="123" ht="28" customHeight="1">
      <x:c r="A123" s="14" t="str">
        <x:v>ext-pleiades-kingdom-lysimachid</x:v>
      </x:c>
      <x:c r="B123" s="14"/>
      <x:c r="C123" s="14" t="str">
        <x:v>place-kingdom-lysimachid</x:v>
      </x:c>
      <x:c r="D123" s="14" t="str">
        <x:v>pleiades</x:v>
      </x:c>
      <x:c r="E123" s="14" t="str">
        <x:v>501458</x:v>
      </x:c>
      <x:c r="F123" s="14" t="str">
        <x:v>https://pleiades.stoa.org/places/501458</x:v>
      </x:c>
      <x:c r="G123" s="14" t="str">
        <x:v>representative_center</x:v>
      </x:c>
      <x:c r="H123" s="14" t="str">
        <x:v>src-pleiades-501458</x:v>
      </x:c>
    </x:row>
    <x:row r="124" ht="28" customHeight="1">
      <x:c r="A124" s="14" t="str">
        <x:v>ext-pleiades-sanctuary-aegina-aphaia-sanctuary</x:v>
      </x:c>
      <x:c r="B124" s="14" t="str">
        <x:v>sanctuary-aegina-aphaia-sanctuary</x:v>
      </x:c>
      <x:c r="C124" s="14"/>
      <x:c r="D124" s="14" t="str">
        <x:v>pleiades</x:v>
      </x:c>
      <x:c r="E124" s="14" t="str">
        <x:v>579872</x:v>
      </x:c>
      <x:c r="F124" s="14" t="str">
        <x:v>https://pleiades.stoa.org/places/579872</x:v>
      </x:c>
      <x:c r="G124" s="14" t="str">
        <x:v>exact</x:v>
      </x:c>
      <x:c r="H124" s="14" t="str">
        <x:v>src-pleiades-579872</x:v>
      </x:c>
    </x:row>
    <x:row r="125" ht="28" customHeight="1">
      <x:c r="A125" s="14" t="str">
        <x:v>ext-pleiades-sanctuary-akragas-concordia-temple-sanctuary</x:v>
      </x:c>
      <x:c r="B125" s="14" t="str">
        <x:v>sanctuary-akragas-concordia-temple-sanctuary</x:v>
      </x:c>
      <x:c r="C125" s="14"/>
      <x:c r="D125" s="14" t="str">
        <x:v>pleiades</x:v>
      </x:c>
      <x:c r="E125" s="14" t="str">
        <x:v>943504072</x:v>
      </x:c>
      <x:c r="F125" s="14" t="str">
        <x:v>https://pleiades.stoa.org/places/943504072</x:v>
      </x:c>
      <x:c r="G125" s="14" t="str">
        <x:v>exact</x:v>
      </x:c>
      <x:c r="H125" s="14" t="str">
        <x:v>src-pleiades-943504072</x:v>
      </x:c>
    </x:row>
    <x:row r="126" ht="28" customHeight="1">
      <x:c r="A126" s="14" t="str">
        <x:v>ext-pleiades-sanctuary-alexandria-serapeum</x:v>
      </x:c>
      <x:c r="B126" s="14" t="str">
        <x:v>sanctuary-alexandria-serapeum</x:v>
      </x:c>
      <x:c r="C126" s="14"/>
      <x:c r="D126" s="14" t="str">
        <x:v>pleiades</x:v>
      </x:c>
      <x:c r="E126" s="14" t="str">
        <x:v>182618516</x:v>
      </x:c>
      <x:c r="F126" s="14" t="str">
        <x:v>https://pleiades.stoa.org/places/182618516</x:v>
      </x:c>
      <x:c r="G126" s="14" t="str">
        <x:v>exact</x:v>
      </x:c>
      <x:c r="H126" s="14" t="str">
        <x:v>src-pleiades-182618516</x:v>
      </x:c>
    </x:row>
    <x:row r="127" ht="28" customHeight="1">
      <x:c r="A127" s="14" t="str">
        <x:v>ext-pleiades-sanctuary-amyklaion-apollo-sanctuary</x:v>
      </x:c>
      <x:c r="B127" s="14" t="str">
        <x:v>sanctuary-amyklaion-apollo-sanctuary</x:v>
      </x:c>
      <x:c r="C127" s="14"/>
      <x:c r="D127" s="14" t="str">
        <x:v>pleiades</x:v>
      </x:c>
      <x:c r="E127" s="14" t="str">
        <x:v>73644851</x:v>
      </x:c>
      <x:c r="F127" s="14" t="str">
        <x:v>https://pleiades.stoa.org/places/73644851</x:v>
      </x:c>
      <x:c r="G127" s="14" t="str">
        <x:v>exact</x:v>
      </x:c>
      <x:c r="H127" s="14" t="str">
        <x:v>src-pleiades-73644851</x:v>
      </x:c>
    </x:row>
    <x:row r="128" ht="28" customHeight="1">
      <x:c r="A128" s="14" t="str">
        <x:v>ext-pleiades-sanctuary-apollonia-pontica-apollo-ietros-sanctuary</x:v>
      </x:c>
      <x:c r="B128" s="14" t="str">
        <x:v>sanctuary-apollonia-pontica-apollo-ietros-sanctuary</x:v>
      </x:c>
      <x:c r="C128" s="14"/>
      <x:c r="D128" s="14" t="str">
        <x:v>pleiades</x:v>
      </x:c>
      <x:c r="E128" s="14" t="str">
        <x:v>216706</x:v>
      </x:c>
      <x:c r="F128" s="14" t="str">
        <x:v>https://pleiades.stoa.org/places/216706</x:v>
      </x:c>
      <x:c r="G128" s="14" t="str">
        <x:v>exact</x:v>
      </x:c>
      <x:c r="H128" s="14" t="str">
        <x:v>src-pleiades-216706</x:v>
      </x:c>
    </x:row>
    <x:row r="129" ht="28" customHeight="1">
      <x:c r="A129" s="14" t="str">
        <x:v>ext-pleiades-sanctuary-argive-heraion</x:v>
      </x:c>
      <x:c r="B129" s="14" t="str">
        <x:v>sanctuary-argive-heraion</x:v>
      </x:c>
      <x:c r="C129" s="14"/>
      <x:c r="D129" s="14" t="str">
        <x:v>pleiades</x:v>
      </x:c>
      <x:c r="E129" s="14" t="str">
        <x:v>570289</x:v>
      </x:c>
      <x:c r="F129" s="14" t="str">
        <x:v>https://pleiades.stoa.org/places/570289</x:v>
      </x:c>
      <x:c r="G129" s="14" t="str">
        <x:v>exact</x:v>
      </x:c>
      <x:c r="H129" s="14" t="str">
        <x:v>src-pleiades-570289</x:v>
      </x:c>
    </x:row>
    <x:row r="130" ht="28" customHeight="1">
      <x:c r="A130" s="14" t="str">
        <x:v>ext-pleiades-sanctuary-athens-acropolis-sacred-center</x:v>
      </x:c>
      <x:c r="B130" s="14" t="str">
        <x:v>sanctuary-athens-acropolis-sacred-center</x:v>
      </x:c>
      <x:c r="C130" s="14"/>
      <x:c r="D130" s="14" t="str">
        <x:v>pleiades</x:v>
      </x:c>
      <x:c r="E130" s="14" t="str">
        <x:v>638356144</x:v>
      </x:c>
      <x:c r="F130" s="14" t="str">
        <x:v>https://pleiades.stoa.org/places/638356144</x:v>
      </x:c>
      <x:c r="G130" s="14" t="str">
        <x:v>exact</x:v>
      </x:c>
      <x:c r="H130" s="14" t="str">
        <x:v>src-pleiades-638356144</x:v>
      </x:c>
    </x:row>
    <x:row r="131" ht="28" customHeight="1">
      <x:c r="A131" s="14" t="str">
        <x:v>ext-pleiades-sanctuary-bassae-apollo-epikourios</x:v>
      </x:c>
      <x:c r="B131" s="14" t="str">
        <x:v>sanctuary-bassae-apollo-epikourios</x:v>
      </x:c>
      <x:c r="C131" s="14"/>
      <x:c r="D131" s="14" t="str">
        <x:v>pleiades</x:v>
      </x:c>
      <x:c r="E131" s="14" t="str">
        <x:v>570148</x:v>
      </x:c>
      <x:c r="F131" s="14" t="str">
        <x:v>https://pleiades.stoa.org/places/570148</x:v>
      </x:c>
      <x:c r="G131" s="14" t="str">
        <x:v>exact</x:v>
      </x:c>
      <x:c r="H131" s="14" t="str">
        <x:v>src-pleiades-570148</x:v>
      </x:c>
    </x:row>
    <x:row r="132" ht="28" customHeight="1">
      <x:c r="A132" s="14" t="str">
        <x:v>ext-pleiades-sanctuary-brauron-artemis-sanctuary</x:v>
      </x:c>
      <x:c r="B132" s="14" t="str">
        <x:v>sanctuary-brauron-artemis-sanctuary</x:v>
      </x:c>
      <x:c r="C132" s="14"/>
      <x:c r="D132" s="14" t="str">
        <x:v>pleiades</x:v>
      </x:c>
      <x:c r="E132" s="14" t="str">
        <x:v>579879</x:v>
      </x:c>
      <x:c r="F132" s="14" t="str">
        <x:v>https://pleiades.stoa.org/places/579879</x:v>
      </x:c>
      <x:c r="G132" s="14" t="str">
        <x:v>exact</x:v>
      </x:c>
      <x:c r="H132" s="14" t="str">
        <x:v>src-pleiades-579879</x:v>
      </x:c>
    </x:row>
    <x:row r="133" ht="28" customHeight="1">
      <x:c r="A133" s="14" t="str">
        <x:v>ext-pleiades-sanctuary-claros-apollo-oracle</x:v>
      </x:c>
      <x:c r="B133" s="14" t="str">
        <x:v>sanctuary-claros-apollo-oracle</x:v>
      </x:c>
      <x:c r="C133" s="14"/>
      <x:c r="D133" s="14" t="str">
        <x:v>pleiades</x:v>
      </x:c>
      <x:c r="E133" s="14" t="str">
        <x:v>599719</x:v>
      </x:c>
      <x:c r="F133" s="14" t="str">
        <x:v>https://pleiades.stoa.org/places/599719</x:v>
      </x:c>
      <x:c r="G133" s="14" t="str">
        <x:v>exact</x:v>
      </x:c>
      <x:c r="H133" s="14" t="str">
        <x:v>src-pleiades-599719</x:v>
      </x:c>
    </x:row>
    <x:row r="134" ht="28" customHeight="1">
      <x:c r="A134" s="14" t="str">
        <x:v>ext-pleiades-sanctuary-crete-idaion-antron</x:v>
      </x:c>
      <x:c r="B134" s="14" t="str">
        <x:v>sanctuary-crete-idaion-antron</x:v>
      </x:c>
      <x:c r="C134" s="14"/>
      <x:c r="D134" s="14" t="str">
        <x:v>pleiades</x:v>
      </x:c>
      <x:c r="E134" s="14" t="str">
        <x:v>589817</x:v>
      </x:c>
      <x:c r="F134" s="14" t="str">
        <x:v>https://pleiades.stoa.org/places/589817</x:v>
      </x:c>
      <x:c r="G134" s="14" t="str">
        <x:v>exact</x:v>
      </x:c>
      <x:c r="H134" s="14" t="str">
        <x:v>src-pleiades-589817</x:v>
      </x:c>
    </x:row>
    <x:row r="135" ht="28" customHeight="1">
      <x:c r="A135" s="14" t="str">
        <x:v>ext-pleiades-sanctuary-crete-iuktas-peak-sanctuary</x:v>
      </x:c>
      <x:c r="B135" s="14" t="str">
        <x:v>sanctuary-crete-iuktas-peak-sanctuary</x:v>
      </x:c>
      <x:c r="C135" s="14"/>
      <x:c r="D135" s="14" t="str">
        <x:v>pleiades</x:v>
      </x:c>
      <x:c r="E135" s="14" t="str">
        <x:v>559217802</x:v>
      </x:c>
      <x:c r="F135" s="14" t="str">
        <x:v>https://pleiades.stoa.org/places/559217802</x:v>
      </x:c>
      <x:c r="G135" s="14" t="str">
        <x:v>exact</x:v>
      </x:c>
      <x:c r="H135" s="14" t="str">
        <x:v>src-pleiades-559217802</x:v>
      </x:c>
    </x:row>
    <x:row r="136" ht="28" customHeight="1">
      <x:c r="A136" s="14" t="str">
        <x:v>ext-pleiades-sanctuary-croton-hera-lacinia-sanctuary</x:v>
      </x:c>
      <x:c r="B136" s="14" t="str">
        <x:v>sanctuary-croton-hera-lacinia-sanctuary</x:v>
      </x:c>
      <x:c r="C136" s="14"/>
      <x:c r="D136" s="14" t="str">
        <x:v>pleiades</x:v>
      </x:c>
      <x:c r="E136" s="14" t="str">
        <x:v>452332</x:v>
      </x:c>
      <x:c r="F136" s="14" t="str">
        <x:v>https://pleiades.stoa.org/places/452332</x:v>
      </x:c>
      <x:c r="G136" s="14" t="str">
        <x:v>exact</x:v>
      </x:c>
      <x:c r="H136" s="14" t="str">
        <x:v>src-pleiades-452332</x:v>
      </x:c>
    </x:row>
    <x:row r="137" ht="28" customHeight="1">
      <x:c r="A137" s="14" t="str">
        <x:v>ext-pleiades-sanctuary-cyrene-apollo-sanctuary</x:v>
      </x:c>
      <x:c r="B137" s="14" t="str">
        <x:v>sanctuary-cyrene-apollo-sanctuary</x:v>
      </x:c>
      <x:c r="C137" s="14"/>
      <x:c r="D137" s="14" t="str">
        <x:v>pleiades</x:v>
      </x:c>
      <x:c r="E137" s="14" t="str">
        <x:v>464482220</x:v>
      </x:c>
      <x:c r="F137" s="14" t="str">
        <x:v>https://pleiades.stoa.org/places/464482220</x:v>
      </x:c>
      <x:c r="G137" s="14" t="str">
        <x:v>exact</x:v>
      </x:c>
      <x:c r="H137" s="14" t="str">
        <x:v>src-pleiades-464482220</x:v>
      </x:c>
    </x:row>
    <x:row r="138" ht="28" customHeight="1">
      <x:c r="A138" s="14" t="str">
        <x:v>ext-pleiades-sanctuary-cyrene-zeus-sanctuary</x:v>
      </x:c>
      <x:c r="B138" s="14" t="str">
        <x:v>sanctuary-cyrene-zeus-sanctuary</x:v>
      </x:c>
      <x:c r="C138" s="14"/>
      <x:c r="D138" s="14" t="str">
        <x:v>pleiades</x:v>
      </x:c>
      <x:c r="E138" s="14" t="str">
        <x:v>103565779</x:v>
      </x:c>
      <x:c r="F138" s="14" t="str">
        <x:v>https://pleiades.stoa.org/places/103565779</x:v>
      </x:c>
      <x:c r="G138" s="14" t="str">
        <x:v>exact</x:v>
      </x:c>
      <x:c r="H138" s="14" t="str">
        <x:v>src-pleiades-103565779</x:v>
      </x:c>
    </x:row>
    <x:row r="139" ht="28" customHeight="1">
      <x:c r="A139" s="14" t="str">
        <x:v>ext-pleiades-sanctuary-delos-apollo-sanctuary</x:v>
      </x:c>
      <x:c r="B139" s="14" t="str">
        <x:v>sanctuary-delos-apollo-sanctuary</x:v>
      </x:c>
      <x:c r="C139" s="14"/>
      <x:c r="D139" s="14" t="str">
        <x:v>pleiades</x:v>
      </x:c>
      <x:c r="E139" s="14" t="str">
        <x:v>599506</x:v>
      </x:c>
      <x:c r="F139" s="14" t="str">
        <x:v>https://pleiades.stoa.org/places/599506</x:v>
      </x:c>
      <x:c r="G139" s="14" t="str">
        <x:v>exact</x:v>
      </x:c>
      <x:c r="H139" s="14" t="str">
        <x:v>src-pleiades-599506</x:v>
      </x:c>
    </x:row>
    <x:row r="140" ht="28" customHeight="1">
      <x:c r="A140" s="14" t="str">
        <x:v>ext-pleiades-sanctuary-delphi-apollo-sanctuary</x:v>
      </x:c>
      <x:c r="B140" s="14" t="str">
        <x:v>sanctuary-delphi-apollo-sanctuary</x:v>
      </x:c>
      <x:c r="C140" s="14"/>
      <x:c r="D140" s="14" t="str">
        <x:v>pleiades</x:v>
      </x:c>
      <x:c r="E140" s="14" t="str">
        <x:v>540726</x:v>
      </x:c>
      <x:c r="F140" s="14" t="str">
        <x:v>https://pleiades.stoa.org/places/540726</x:v>
      </x:c>
      <x:c r="G140" s="14" t="str">
        <x:v>exact</x:v>
      </x:c>
      <x:c r="H140" s="14" t="str">
        <x:v>src-pleiades-540726</x:v>
      </x:c>
    </x:row>
    <x:row r="141" ht="28" customHeight="1">
      <x:c r="A141" s="14" t="str">
        <x:v>ext-pleiades-sanctuary-delphi-athena-pronaia-sanctuary</x:v>
      </x:c>
      <x:c r="B141" s="14" t="str">
        <x:v>sanctuary-delphi-athena-pronaia-sanctuary</x:v>
      </x:c>
      <x:c r="C141" s="14"/>
      <x:c r="D141" s="14" t="str">
        <x:v>pleiades</x:v>
      </x:c>
      <x:c r="E141" s="14" t="str">
        <x:v>513711610</x:v>
      </x:c>
      <x:c r="F141" s="14" t="str">
        <x:v>https://pleiades.stoa.org/places/513711610</x:v>
      </x:c>
      <x:c r="G141" s="14" t="str">
        <x:v>exact</x:v>
      </x:c>
      <x:c r="H141" s="14" t="str">
        <x:v>src-pleiades-513711610</x:v>
      </x:c>
    </x:row>
    <x:row r="142" ht="28" customHeight="1">
      <x:c r="A142" s="14" t="str">
        <x:v>ext-pleiades-sanctuary-despotiko-apollo-sanctuary</x:v>
      </x:c>
      <x:c r="B142" s="14" t="str">
        <x:v>sanctuary-despotiko-apollo-sanctuary</x:v>
      </x:c>
      <x:c r="C142" s="14"/>
      <x:c r="D142" s="14" t="str">
        <x:v>pleiades</x:v>
      </x:c>
      <x:c r="E142" s="14" t="str">
        <x:v>854812387</x:v>
      </x:c>
      <x:c r="F142" s="14" t="str">
        <x:v>https://pleiades.stoa.org/places/854812387</x:v>
      </x:c>
      <x:c r="G142" s="14" t="str">
        <x:v>exact</x:v>
      </x:c>
      <x:c r="H142" s="14" t="str">
        <x:v>src-pleiades-854812387</x:v>
      </x:c>
    </x:row>
    <x:row r="143" ht="28" customHeight="1">
      <x:c r="A143" s="14" t="str">
        <x:v>ext-pleiades-sanctuary-didyma-apollo-oracle</x:v>
      </x:c>
      <x:c r="B143" s="14" t="str">
        <x:v>sanctuary-didyma-apollo-oracle</x:v>
      </x:c>
      <x:c r="C143" s="14"/>
      <x:c r="D143" s="14" t="str">
        <x:v>pleiades</x:v>
      </x:c>
      <x:c r="E143" s="14" t="str">
        <x:v>599593</x:v>
      </x:c>
      <x:c r="F143" s="14" t="str">
        <x:v>https://pleiades.stoa.org/places/599593</x:v>
      </x:c>
      <x:c r="G143" s="14" t="str">
        <x:v>exact</x:v>
      </x:c>
      <x:c r="H143" s="14" t="str">
        <x:v>src-pleiades-599593</x:v>
      </x:c>
    </x:row>
    <x:row r="144" ht="28" customHeight="1">
      <x:c r="A144" s="14" t="str">
        <x:v>ext-pleiades-sanctuary-dodona-zeus-oracle</x:v>
      </x:c>
      <x:c r="B144" s="14" t="str">
        <x:v>sanctuary-dodona-zeus-oracle</x:v>
      </x:c>
      <x:c r="C144" s="14"/>
      <x:c r="D144" s="14" t="str">
        <x:v>pleiades</x:v>
      </x:c>
      <x:c r="E144" s="14" t="str">
        <x:v>530843</x:v>
      </x:c>
      <x:c r="F144" s="14" t="str">
        <x:v>https://pleiades.stoa.org/places/530843</x:v>
      </x:c>
      <x:c r="G144" s="14" t="str">
        <x:v>exact</x:v>
      </x:c>
      <x:c r="H144" s="14" t="str">
        <x:v>src-pleiades-530843</x:v>
      </x:c>
    </x:row>
    <x:row r="145" ht="28" customHeight="1">
      <x:c r="A145" s="14" t="str">
        <x:v>ext-pleiades-sanctuary-eleusis-demeter-sanctuary</x:v>
      </x:c>
      <x:c r="B145" s="14" t="str">
        <x:v>sanctuary-eleusis-demeter-sanctuary</x:v>
      </x:c>
      <x:c r="C145" s="14"/>
      <x:c r="D145" s="14" t="str">
        <x:v>pleiades</x:v>
      </x:c>
      <x:c r="E145" s="14" t="str">
        <x:v>579910</x:v>
      </x:c>
      <x:c r="F145" s="14" t="str">
        <x:v>https://pleiades.stoa.org/places/579910</x:v>
      </x:c>
      <x:c r="G145" s="14" t="str">
        <x:v>exact</x:v>
      </x:c>
      <x:c r="H145" s="14" t="str">
        <x:v>src-pleiades-579910</x:v>
      </x:c>
    </x:row>
    <x:row r="146" ht="28" customHeight="1">
      <x:c r="A146" s="14" t="str">
        <x:v>ext-pleiades-sanctuary-ephesus-artemis-sanctuary</x:v>
      </x:c>
      <x:c r="B146" s="14" t="str">
        <x:v>sanctuary-ephesus-artemis-sanctuary</x:v>
      </x:c>
      <x:c r="C146" s="14"/>
      <x:c r="D146" s="14" t="str">
        <x:v>pleiades</x:v>
      </x:c>
      <x:c r="E146" s="14" t="str">
        <x:v>873985034</x:v>
      </x:c>
      <x:c r="F146" s="14" t="str">
        <x:v>https://pleiades.stoa.org/places/873985034</x:v>
      </x:c>
      <x:c r="G146" s="14" t="str">
        <x:v>exact</x:v>
      </x:c>
      <x:c r="H146" s="14" t="str">
        <x:v>src-pleiades-873985034</x:v>
      </x:c>
    </x:row>
    <x:row r="147" ht="28" customHeight="1">
      <x:c r="A147" s="14" t="str">
        <x:v>ext-pleiades-sanctuary-epidauros-asklepios-sanctuary</x:v>
      </x:c>
      <x:c r="B147" s="14" t="str">
        <x:v>sanctuary-epidauros-asklepios-sanctuary</x:v>
      </x:c>
      <x:c r="C147" s="14"/>
      <x:c r="D147" s="14" t="str">
        <x:v>pleiades</x:v>
      </x:c>
      <x:c r="E147" s="14" t="str">
        <x:v>570127</x:v>
      </x:c>
      <x:c r="F147" s="14" t="str">
        <x:v>https://pleiades.stoa.org/places/570127</x:v>
      </x:c>
      <x:c r="G147" s="14" t="str">
        <x:v>exact</x:v>
      </x:c>
      <x:c r="H147" s="14" t="str">
        <x:v>src-pleiades-570127</x:v>
      </x:c>
    </x:row>
    <x:row r="148" ht="28" customHeight="1">
      <x:c r="A148" s="14" t="str">
        <x:v>ext-pleiades-sanctuary-foce-del-sele-heraion</x:v>
      </x:c>
      <x:c r="B148" s="14" t="str">
        <x:v>sanctuary-foce-del-sele-heraion</x:v>
      </x:c>
      <x:c r="C148" s="14"/>
      <x:c r="D148" s="14" t="str">
        <x:v>pleiades</x:v>
      </x:c>
      <x:c r="E148" s="14" t="str">
        <x:v>442610</x:v>
      </x:c>
      <x:c r="F148" s="14" t="str">
        <x:v>https://pleiades.stoa.org/places/442610</x:v>
      </x:c>
      <x:c r="G148" s="14" t="str">
        <x:v>exact</x:v>
      </x:c>
      <x:c r="H148" s="14" t="str">
        <x:v>src-pleiades-442610</x:v>
      </x:c>
    </x:row>
    <x:row r="149" ht="28" customHeight="1">
      <x:c r="A149" s="14" t="str">
        <x:v>ext-pleiades-sanctuary-golgoi-aphrodite-sanctuary</x:v>
      </x:c>
      <x:c r="B149" s="14" t="str">
        <x:v>sanctuary-golgoi-aphrodite-sanctuary</x:v>
      </x:c>
      <x:c r="C149" s="14"/>
      <x:c r="D149" s="14" t="str">
        <x:v>pleiades</x:v>
      </x:c>
      <x:c r="E149" s="14" t="str">
        <x:v>707470</x:v>
      </x:c>
      <x:c r="F149" s="14" t="str">
        <x:v>https://pleiades.stoa.org/places/707470</x:v>
      </x:c>
      <x:c r="G149" s="14" t="str">
        <x:v>exact</x:v>
      </x:c>
      <x:c r="H149" s="14" t="str">
        <x:v>src-pleiades-707470</x:v>
      </x:c>
    </x:row>
    <x:row r="150" ht="28" customHeight="1">
      <x:c r="A150" s="14" t="str">
        <x:v>ext-pleiades-sanctuary-gyroulas-demeter-sanctuary</x:v>
      </x:c>
      <x:c r="B150" s="14" t="str">
        <x:v>sanctuary-gyroulas-demeter-sanctuary</x:v>
      </x:c>
      <x:c r="C150" s="14"/>
      <x:c r="D150" s="14" t="str">
        <x:v>pleiades</x:v>
      </x:c>
      <x:c r="E150" s="14" t="str">
        <x:v>599631</x:v>
      </x:c>
      <x:c r="F150" s="14" t="str">
        <x:v>https://pleiades.stoa.org/places/599631</x:v>
      </x:c>
      <x:c r="G150" s="14" t="str">
        <x:v>exact</x:v>
      </x:c>
      <x:c r="H150" s="14" t="str">
        <x:v>src-pleiades-599631</x:v>
      </x:c>
    </x:row>
    <x:row r="151" ht="28" customHeight="1">
      <x:c r="A151" s="14" t="str">
        <x:v>ext-pleiades-sanctuary-hierapolis-ploutonion</x:v>
      </x:c>
      <x:c r="B151" s="14" t="str">
        <x:v>sanctuary-hierapolis-ploutonion</x:v>
      </x:c>
      <x:c r="C151" s="14"/>
      <x:c r="D151" s="14" t="str">
        <x:v>pleiades</x:v>
      </x:c>
      <x:c r="E151" s="14" t="str">
        <x:v>232079424</x:v>
      </x:c>
      <x:c r="F151" s="14" t="str">
        <x:v>https://pleiades.stoa.org/places/232079424</x:v>
      </x:c>
      <x:c r="G151" s="14" t="str">
        <x:v>exact</x:v>
      </x:c>
      <x:c r="H151" s="14" t="str">
        <x:v>src-pleiades-232079424</x:v>
      </x:c>
    </x:row>
    <x:row r="152" ht="28" customHeight="1">
      <x:c r="A152" s="14" t="str">
        <x:v>ext-pleiades-sanctuary-histria-sacred-zone</x:v>
      </x:c>
      <x:c r="B152" s="14" t="str">
        <x:v>sanctuary-histria-sacred-zone</x:v>
      </x:c>
      <x:c r="C152" s="14"/>
      <x:c r="D152" s="14" t="str">
        <x:v>pleiades</x:v>
      </x:c>
      <x:c r="E152" s="14" t="str">
        <x:v>216839</x:v>
      </x:c>
      <x:c r="F152" s="14" t="str">
        <x:v>https://pleiades.stoa.org/places/216839</x:v>
      </x:c>
      <x:c r="G152" s="14" t="str">
        <x:v>exact</x:v>
      </x:c>
      <x:c r="H152" s="14" t="str">
        <x:v>src-pleiades-216839</x:v>
      </x:c>
    </x:row>
    <x:row r="153" ht="28" customHeight="1">
      <x:c r="A153" s="14" t="str">
        <x:v>ext-pleiades-sanctuary-hyria-dionysos-sanctuary</x:v>
      </x:c>
      <x:c r="B153" s="14" t="str">
        <x:v>sanctuary-hyria-dionysos-sanctuary</x:v>
      </x:c>
      <x:c r="C153" s="14"/>
      <x:c r="D153" s="14" t="str">
        <x:v>pleiades</x:v>
      </x:c>
      <x:c r="E153" s="14" t="str">
        <x:v>599661</x:v>
      </x:c>
      <x:c r="F153" s="14" t="str">
        <x:v>https://pleiades.stoa.org/places/599661</x:v>
      </x:c>
      <x:c r="G153" s="14" t="str">
        <x:v>exact</x:v>
      </x:c>
      <x:c r="H153" s="14" t="str">
        <x:v>src-pleiades-599661</x:v>
      </x:c>
    </x:row>
    <x:row r="154" ht="28" customHeight="1">
      <x:c r="A154" s="14" t="str">
        <x:v>ext-pleiades-sanctuary-isthmia-poseidon-sanctuary</x:v>
      </x:c>
      <x:c r="B154" s="14" t="str">
        <x:v>sanctuary-isthmia-poseidon-sanctuary</x:v>
      </x:c>
      <x:c r="C154" s="14"/>
      <x:c r="D154" s="14" t="str">
        <x:v>pleiades</x:v>
      </x:c>
      <x:c r="E154" s="14" t="str">
        <x:v>570316</x:v>
      </x:c>
      <x:c r="F154" s="14" t="str">
        <x:v>https://pleiades.stoa.org/places/570316</x:v>
      </x:c>
      <x:c r="G154" s="14" t="str">
        <x:v>exact</x:v>
      </x:c>
      <x:c r="H154" s="14" t="str">
        <x:v>src-pleiades-570316</x:v>
      </x:c>
    </x:row>
    <x:row r="155" ht="28" customHeight="1">
      <x:c r="A155" s="14" t="str">
        <x:v>ext-pleiades-sanctuary-kalapodi-artemis-apollo-sanctuary</x:v>
      </x:c>
      <x:c r="B155" s="14" t="str">
        <x:v>sanctuary-kalapodi-artemis-apollo-sanctuary</x:v>
      </x:c>
      <x:c r="C155" s="14"/>
      <x:c r="D155" s="14" t="str">
        <x:v>pleiades</x:v>
      </x:c>
      <x:c r="E155" s="14" t="str">
        <x:v>955675680</x:v>
      </x:c>
      <x:c r="F155" s="14" t="str">
        <x:v>https://pleiades.stoa.org/places/955675680</x:v>
      </x:c>
      <x:c r="G155" s="14" t="str">
        <x:v>exact</x:v>
      </x:c>
      <x:c r="H155" s="14" t="str">
        <x:v>src-pleiades-955675680</x:v>
      </x:c>
    </x:row>
    <x:row r="156" ht="28" customHeight="1">
      <x:c r="A156" s="14" t="str">
        <x:v>ext-pleiades-sanctuary-kos-asklepieion</x:v>
      </x:c>
      <x:c r="B156" s="14" t="str">
        <x:v>sanctuary-kos-asklepieion</x:v>
      </x:c>
      <x:c r="C156" s="14"/>
      <x:c r="D156" s="14" t="str">
        <x:v>pleiades</x:v>
      </x:c>
      <x:c r="E156" s="14" t="str">
        <x:v>599528</x:v>
      </x:c>
      <x:c r="F156" s="14" t="str">
        <x:v>https://pleiades.stoa.org/places/599528</x:v>
      </x:c>
      <x:c r="G156" s="14" t="str">
        <x:v>exact</x:v>
      </x:c>
      <x:c r="H156" s="14" t="str">
        <x:v>src-pleiades-599528</x:v>
      </x:c>
    </x:row>
    <x:row r="157" ht="28" customHeight="1">
      <x:c r="A157" s="14" t="str">
        <x:v>ext-pleiades-sanctuary-kourion-apollo-hylates-sanctuary</x:v>
      </x:c>
      <x:c r="B157" s="14" t="str">
        <x:v>sanctuary-kourion-apollo-hylates-sanctuary</x:v>
      </x:c>
      <x:c r="C157" s="14"/>
      <x:c r="D157" s="14" t="str">
        <x:v>pleiades</x:v>
      </x:c>
      <x:c r="E157" s="14" t="str">
        <x:v>707476</x:v>
      </x:c>
      <x:c r="F157" s="14" t="str">
        <x:v>https://pleiades.stoa.org/places/707476</x:v>
      </x:c>
      <x:c r="G157" s="14" t="str">
        <x:v>exact</x:v>
      </x:c>
      <x:c r="H157" s="14" t="str">
        <x:v>src-pleiades-707476</x:v>
      </x:c>
    </x:row>
    <x:row r="158" ht="28" customHeight="1">
      <x:c r="A158" s="14" t="str">
        <x:v>ext-pleiades-sanctuary-labraunda-zeus-sanctuary</x:v>
      </x:c>
      <x:c r="B158" s="14" t="str">
        <x:v>sanctuary-labraunda-zeus-sanctuary</x:v>
      </x:c>
      <x:c r="C158" s="14"/>
      <x:c r="D158" s="14" t="str">
        <x:v>pleiades</x:v>
      </x:c>
      <x:c r="E158" s="14" t="str">
        <x:v>599745</x:v>
      </x:c>
      <x:c r="F158" s="14" t="str">
        <x:v>https://pleiades.stoa.org/places/599745</x:v>
      </x:c>
      <x:c r="G158" s="14" t="str">
        <x:v>exact</x:v>
      </x:c>
      <x:c r="H158" s="14" t="str">
        <x:v>src-pleiades-599745</x:v>
      </x:c>
    </x:row>
    <x:row r="159" ht="28" customHeight="1">
      <x:c r="A159" s="14" t="str">
        <x:v>ext-pleiades-sanctuary-lagina-hekate-sanctuary</x:v>
      </x:c>
      <x:c r="B159" s="14" t="str">
        <x:v>sanctuary-lagina-hekate-sanctuary</x:v>
      </x:c>
      <x:c r="C159" s="14"/>
      <x:c r="D159" s="14" t="str">
        <x:v>pleiades</x:v>
      </x:c>
      <x:c r="E159" s="14" t="str">
        <x:v>376215160</x:v>
      </x:c>
      <x:c r="F159" s="14" t="str">
        <x:v>https://pleiades.stoa.org/places/376215160</x:v>
      </x:c>
      <x:c r="G159" s="14" t="str">
        <x:v>exact</x:v>
      </x:c>
      <x:c r="H159" s="14" t="str">
        <x:v>src-pleiades-376215160</x:v>
      </x:c>
    </x:row>
    <x:row r="160" ht="28" customHeight="1">
      <x:c r="A160" s="14" t="str">
        <x:v>ext-pleiades-sanctuary-lemnos-kabeirion</x:v>
      </x:c>
      <x:c r="B160" s="14" t="str">
        <x:v>sanctuary-lemnos-kabeirion</x:v>
      </x:c>
      <x:c r="C160" s="14"/>
      <x:c r="D160" s="14" t="str">
        <x:v>pleiades</x:v>
      </x:c>
      <x:c r="E160" s="14" t="str">
        <x:v>550604</x:v>
      </x:c>
      <x:c r="F160" s="14" t="str">
        <x:v>https://pleiades.stoa.org/places/550604</x:v>
      </x:c>
      <x:c r="G160" s="14" t="str">
        <x:v>exact</x:v>
      </x:c>
      <x:c r="H160" s="14" t="str">
        <x:v>src-pleiades-550604</x:v>
      </x:c>
    </x:row>
    <x:row r="161" ht="28" customHeight="1">
      <x:c r="A161" s="14" t="str">
        <x:v>ext-pleiades-sanctuary-letoon-lycian-sanctuary</x:v>
      </x:c>
      <x:c r="B161" s="14" t="str">
        <x:v>sanctuary-letoon-lycian-sanctuary</x:v>
      </x:c>
      <x:c r="C161" s="14"/>
      <x:c r="D161" s="14" t="str">
        <x:v>pleiades</x:v>
      </x:c>
      <x:c r="E161" s="14" t="str">
        <x:v>638958</x:v>
      </x:c>
      <x:c r="F161" s="14" t="str">
        <x:v>https://pleiades.stoa.org/places/638958</x:v>
      </x:c>
      <x:c r="G161" s="14" t="str">
        <x:v>exact</x:v>
      </x:c>
      <x:c r="H161" s="14" t="str">
        <x:v>src-pleiades-638958</x:v>
      </x:c>
    </x:row>
    <x:row r="162" ht="28" customHeight="1">
      <x:c r="A162" s="14" t="str">
        <x:v>ext-pleiades-sanctuary-lindos-athena-sanctuary</x:v>
      </x:c>
      <x:c r="B162" s="14" t="str">
        <x:v>sanctuary-lindos-athena-sanctuary</x:v>
      </x:c>
      <x:c r="C162" s="14"/>
      <x:c r="D162" s="14" t="str">
        <x:v>pleiades</x:v>
      </x:c>
      <x:c r="E162" s="14" t="str">
        <x:v>414067217</x:v>
      </x:c>
      <x:c r="F162" s="14" t="str">
        <x:v>https://pleiades.stoa.org/places/414067217</x:v>
      </x:c>
      <x:c r="G162" s="14" t="str">
        <x:v>exact</x:v>
      </x:c>
      <x:c r="H162" s="14" t="str">
        <x:v>src-pleiades-414067217</x:v>
      </x:c>
    </x:row>
    <x:row r="163" ht="28" customHeight="1">
      <x:c r="A163" s="14" t="str">
        <x:v>ext-pleiades-sanctuary-magnesia-artemis-leukophryene</x:v>
      </x:c>
      <x:c r="B163" s="14" t="str">
        <x:v>sanctuary-magnesia-artemis-leukophryene</x:v>
      </x:c>
      <x:c r="C163" s="14"/>
      <x:c r="D163" s="14" t="str">
        <x:v>pleiades</x:v>
      </x:c>
      <x:c r="E163" s="14" t="str">
        <x:v>599778</x:v>
      </x:c>
      <x:c r="F163" s="14" t="str">
        <x:v>https://pleiades.stoa.org/places/599778</x:v>
      </x:c>
      <x:c r="G163" s="14" t="str">
        <x:v>exact</x:v>
      </x:c>
      <x:c r="H163" s="14" t="str">
        <x:v>src-pleiades-599778</x:v>
      </x:c>
    </x:row>
    <x:row r="164" ht="28" customHeight="1">
      <x:c r="A164" s="14" t="str">
        <x:v>ext-pleiades-sanctuary-menelaion-sparta</x:v>
      </x:c>
      <x:c r="B164" s="14" t="str">
        <x:v>sanctuary-menelaion-sparta</x:v>
      </x:c>
      <x:c r="C164" s="14"/>
      <x:c r="D164" s="14" t="str">
        <x:v>pleiades</x:v>
      </x:c>
      <x:c r="E164" s="14" t="str">
        <x:v>570477</x:v>
      </x:c>
      <x:c r="F164" s="14" t="str">
        <x:v>https://pleiades.stoa.org/places/570477</x:v>
      </x:c>
      <x:c r="G164" s="14" t="str">
        <x:v>exact</x:v>
      </x:c>
      <x:c r="H164" s="14" t="str">
        <x:v>src-pleiades-570477</x:v>
      </x:c>
    </x:row>
    <x:row r="165" ht="28" customHeight="1">
      <x:c r="A165" s="14" t="str">
        <x:v>ext-pleiades-sanctuary-metapontum-tavole-palatine-heraion</x:v>
      </x:c>
      <x:c r="B165" s="14" t="str">
        <x:v>sanctuary-metapontum-tavole-palatine-heraion</x:v>
      </x:c>
      <x:c r="C165" s="14"/>
      <x:c r="D165" s="14" t="str">
        <x:v>pleiades</x:v>
      </x:c>
      <x:c r="E165" s="14" t="str">
        <x:v>442611</x:v>
      </x:c>
      <x:c r="F165" s="14" t="str">
        <x:v>https://pleiades.stoa.org/places/442611</x:v>
      </x:c>
      <x:c r="G165" s="14" t="str">
        <x:v>exact</x:v>
      </x:c>
      <x:c r="H165" s="14" t="str">
        <x:v>src-pleiades-442611</x:v>
      </x:c>
    </x:row>
    <x:row r="166" ht="28" customHeight="1">
      <x:c r="A166" s="14" t="str">
        <x:v>ext-pleiades-sanctuary-mount-lykaion-zeus-sanctuary</x:v>
      </x:c>
      <x:c r="B166" s="14" t="str">
        <x:v>sanctuary-mount-lykaion-zeus-sanctuary</x:v>
      </x:c>
      <x:c r="C166" s="14"/>
      <x:c r="D166" s="14" t="str">
        <x:v>pleiades</x:v>
      </x:c>
      <x:c r="E166" s="14" t="str">
        <x:v>570764</x:v>
      </x:c>
      <x:c r="F166" s="14" t="str">
        <x:v>https://pleiades.stoa.org/places/570764</x:v>
      </x:c>
      <x:c r="G166" s="14" t="str">
        <x:v>exact</x:v>
      </x:c>
      <x:c r="H166" s="14" t="str">
        <x:v>src-pleiades-570764</x:v>
      </x:c>
    </x:row>
    <x:row r="167" ht="28" customHeight="1">
      <x:c r="A167" s="14" t="str">
        <x:v>ext-pleiades-sanctuary-nemea-zeus-sanctuary</x:v>
      </x:c>
      <x:c r="B167" s="14" t="str">
        <x:v>sanctuary-nemea-zeus-sanctuary</x:v>
      </x:c>
      <x:c r="C167" s="14"/>
      <x:c r="D167" s="14" t="str">
        <x:v>pleiades</x:v>
      </x:c>
      <x:c r="E167" s="14" t="str">
        <x:v>570504</x:v>
      </x:c>
      <x:c r="F167" s="14" t="str">
        <x:v>https://pleiades.stoa.org/places/570504</x:v>
      </x:c>
      <x:c r="G167" s="14" t="str">
        <x:v>exact</x:v>
      </x:c>
      <x:c r="H167" s="14" t="str">
        <x:v>src-pleiades-570504</x:v>
      </x:c>
    </x:row>
    <x:row r="168" ht="28" customHeight="1">
      <x:c r="A168" s="14" t="str">
        <x:v>ext-pleiades-sanctuary-olympia-zeus-sanctuary</x:v>
      </x:c>
      <x:c r="B168" s="14" t="str">
        <x:v>sanctuary-olympia-zeus-sanctuary</x:v>
      </x:c>
      <x:c r="C168" s="14"/>
      <x:c r="D168" s="14" t="str">
        <x:v>pleiades</x:v>
      </x:c>
      <x:c r="E168" s="14" t="str">
        <x:v>570531</x:v>
      </x:c>
      <x:c r="F168" s="14" t="str">
        <x:v>https://pleiades.stoa.org/places/570531</x:v>
      </x:c>
      <x:c r="G168" s="14" t="str">
        <x:v>exact</x:v>
      </x:c>
      <x:c r="H168" s="14" t="str">
        <x:v>src-pleiades-570531</x:v>
      </x:c>
    </x:row>
    <x:row r="169" ht="28" customHeight="1">
      <x:c r="A169" s="14" t="str">
        <x:v>ext-pleiades-sanctuary-oropos-amphiareion</x:v>
      </x:c>
      <x:c r="B169" s="14" t="str">
        <x:v>sanctuary-oropos-amphiareion</x:v>
      </x:c>
      <x:c r="C169" s="14"/>
      <x:c r="D169" s="14" t="str">
        <x:v>pleiades</x:v>
      </x:c>
      <x:c r="E169" s="14" t="str">
        <x:v>540628</x:v>
      </x:c>
      <x:c r="F169" s="14" t="str">
        <x:v>https://pleiades.stoa.org/places/540628</x:v>
      </x:c>
      <x:c r="G169" s="14" t="str">
        <x:v>exact</x:v>
      </x:c>
      <x:c r="H169" s="14" t="str">
        <x:v>src-pleiades-540628</x:v>
      </x:c>
    </x:row>
    <x:row r="170" ht="28" customHeight="1">
      <x:c r="A170" s="14" t="str">
        <x:v>ext-pleiades-sanctuary-palaepaphos-aphrodite-sanctuary</x:v>
      </x:c>
      <x:c r="B170" s="14" t="str">
        <x:v>sanctuary-palaepaphos-aphrodite-sanctuary</x:v>
      </x:c>
      <x:c r="C170" s="14"/>
      <x:c r="D170" s="14" t="str">
        <x:v>pleiades</x:v>
      </x:c>
      <x:c r="E170" s="14" t="str">
        <x:v>828989863</x:v>
      </x:c>
      <x:c r="F170" s="14" t="str">
        <x:v>https://pleiades.stoa.org/places/828989863</x:v>
      </x:c>
      <x:c r="G170" s="14" t="str">
        <x:v>exact</x:v>
      </x:c>
      <x:c r="H170" s="14" t="str">
        <x:v>src-pleiades-828989863</x:v>
      </x:c>
    </x:row>
    <x:row r="171" ht="28" customHeight="1">
      <x:c r="A171" s="14" t="str">
        <x:v>ext-pleiades-sanctuary-panionion-poseidon-sanctuary</x:v>
      </x:c>
      <x:c r="B171" s="14" t="str">
        <x:v>sanctuary-panionion-poseidon-sanctuary</x:v>
      </x:c>
      <x:c r="C171" s="14"/>
      <x:c r="D171" s="14" t="str">
        <x:v>pleiades</x:v>
      </x:c>
      <x:c r="E171" s="14" t="str">
        <x:v>599855</x:v>
      </x:c>
      <x:c r="F171" s="14" t="str">
        <x:v>https://pleiades.stoa.org/places/599855</x:v>
      </x:c>
      <x:c r="G171" s="14" t="str">
        <x:v>exact</x:v>
      </x:c>
      <x:c r="H171" s="14" t="str">
        <x:v>src-pleiades-599855</x:v>
      </x:c>
    </x:row>
    <x:row r="172" ht="28" customHeight="1">
      <x:c r="A172" s="14" t="str">
        <x:v>ext-pleiades-sanctuary-pantikapaion-apollo-ietros-sanctuary</x:v>
      </x:c>
      <x:c r="B172" s="14" t="str">
        <x:v>sanctuary-pantikapaion-apollo-ietros-sanctuary</x:v>
      </x:c>
      <x:c r="C172" s="14"/>
      <x:c r="D172" s="14" t="str">
        <x:v>pleiades</x:v>
      </x:c>
      <x:c r="E172" s="14" t="str">
        <x:v>854719</x:v>
      </x:c>
      <x:c r="F172" s="14" t="str">
        <x:v>https://pleiades.stoa.org/places/854719</x:v>
      </x:c>
      <x:c r="G172" s="14" t="str">
        <x:v>exact</x:v>
      </x:c>
      <x:c r="H172" s="14" t="str">
        <x:v>src-pleiades-854719</x:v>
      </x:c>
    </x:row>
    <x:row r="173" ht="28" customHeight="1">
      <x:c r="A173" s="14" t="str">
        <x:v>ext-pleiades-sanctuary-perachora-heraion</x:v>
      </x:c>
      <x:c r="B173" s="14" t="str">
        <x:v>sanctuary-perachora-heraion</x:v>
      </x:c>
      <x:c r="C173" s="14"/>
      <x:c r="D173" s="14" t="str">
        <x:v>pleiades</x:v>
      </x:c>
      <x:c r="E173" s="14" t="str">
        <x:v>570288</x:v>
      </x:c>
      <x:c r="F173" s="14" t="str">
        <x:v>https://pleiades.stoa.org/places/570288</x:v>
      </x:c>
      <x:c r="G173" s="14" t="str">
        <x:v>exact</x:v>
      </x:c>
      <x:c r="H173" s="14" t="str">
        <x:v>src-pleiades-570288</x:v>
      </x:c>
    </x:row>
    <x:row r="174" ht="28" customHeight="1">
      <x:c r="A174" s="14" t="str">
        <x:v>ext-pleiades-sanctuary-pergamon-asklepieion</x:v>
      </x:c>
      <x:c r="B174" s="14" t="str">
        <x:v>sanctuary-pergamon-asklepieion</x:v>
      </x:c>
      <x:c r="C174" s="14"/>
      <x:c r="D174" s="14" t="str">
        <x:v>pleiades</x:v>
      </x:c>
      <x:c r="E174" s="14" t="str">
        <x:v>550459</x:v>
      </x:c>
      <x:c r="F174" s="14" t="str">
        <x:v>https://pleiades.stoa.org/places/550459</x:v>
      </x:c>
      <x:c r="G174" s="14" t="str">
        <x:v>exact</x:v>
      </x:c>
      <x:c r="H174" s="14" t="str">
        <x:v>src-pleiades-550459</x:v>
      </x:c>
    </x:row>
    <x:row r="175" ht="28" customHeight="1">
      <x:c r="A175" s="14" t="str">
        <x:v>ext-pleiades-sanctuary-priene-athena-polias-sanctuary</x:v>
      </x:c>
      <x:c r="B175" s="14" t="str">
        <x:v>sanctuary-priene-athena-polias-sanctuary</x:v>
      </x:c>
      <x:c r="C175" s="14"/>
      <x:c r="D175" s="14" t="str">
        <x:v>pleiades</x:v>
      </x:c>
      <x:c r="E175" s="14" t="str">
        <x:v>298577312</x:v>
      </x:c>
      <x:c r="F175" s="14" t="str">
        <x:v>https://pleiades.stoa.org/places/298577312</x:v>
      </x:c>
      <x:c r="G175" s="14" t="str">
        <x:v>exact</x:v>
      </x:c>
      <x:c r="H175" s="14" t="str">
        <x:v>src-pleiades-298577312</x:v>
      </x:c>
    </x:row>
    <x:row r="176" ht="28" customHeight="1">
      <x:c r="A176" s="14" t="str">
        <x:v>ext-pleiades-sanctuary-rhodes-zeus-atabyrios-sanctuary</x:v>
      </x:c>
      <x:c r="B176" s="14" t="str">
        <x:v>sanctuary-rhodes-zeus-atabyrios-sanctuary</x:v>
      </x:c>
      <x:c r="C176" s="14"/>
      <x:c r="D176" s="14" t="str">
        <x:v>pleiades</x:v>
      </x:c>
      <x:c r="E176" s="14" t="str">
        <x:v>590099</x:v>
      </x:c>
      <x:c r="F176" s="14" t="str">
        <x:v>https://pleiades.stoa.org/places/590099</x:v>
      </x:c>
      <x:c r="G176" s="14" t="str">
        <x:v>exact</x:v>
      </x:c>
      <x:c r="H176" s="14" t="str">
        <x:v>src-pleiades-590099</x:v>
      </x:c>
    </x:row>
    <x:row r="177" ht="28" customHeight="1">
      <x:c r="A177" s="14" t="str">
        <x:v>ext-pleiades-sanctuary-samos-heraion</x:v>
      </x:c>
      <x:c r="B177" s="14" t="str">
        <x:v>sanctuary-samos-heraion</x:v>
      </x:c>
      <x:c r="C177" s="14"/>
      <x:c r="D177" s="14" t="str">
        <x:v>pleiades</x:v>
      </x:c>
      <x:c r="E177" s="14" t="str">
        <x:v>599641</x:v>
      </x:c>
      <x:c r="F177" s="14" t="str">
        <x:v>https://pleiades.stoa.org/places/599641</x:v>
      </x:c>
      <x:c r="G177" s="14" t="str">
        <x:v>exact</x:v>
      </x:c>
      <x:c r="H177" s="14" t="str">
        <x:v>src-pleiades-599641</x:v>
      </x:c>
    </x:row>
    <x:row r="178" ht="28" customHeight="1">
      <x:c r="A178" s="14" t="str">
        <x:v>ext-pleiades-sanctuary-samothrace-great-gods-sanctuary</x:v>
      </x:c>
      <x:c r="B178" s="14" t="str">
        <x:v>sanctuary-samothrace-great-gods-sanctuary</x:v>
      </x:c>
      <x:c r="C178" s="14"/>
      <x:c r="D178" s="14" t="str">
        <x:v>pleiades</x:v>
      </x:c>
      <x:c r="E178" s="14" t="str">
        <x:v>501511</x:v>
      </x:c>
      <x:c r="F178" s="14" t="str">
        <x:v>https://pleiades.stoa.org/places/501511</x:v>
      </x:c>
      <x:c r="G178" s="14" t="str">
        <x:v>exact</x:v>
      </x:c>
      <x:c r="H178" s="14" t="str">
        <x:v>src-pleiades-501511</x:v>
      </x:c>
    </x:row>
    <x:row r="179" ht="28" customHeight="1">
      <x:c r="A179" s="14" t="str">
        <x:v>ext-pleiades-sanctuary-sardis-artemis-sanctuary</x:v>
      </x:c>
      <x:c r="B179" s="14" t="str">
        <x:v>sanctuary-sardis-artemis-sanctuary</x:v>
      </x:c>
      <x:c r="C179" s="14"/>
      <x:c r="D179" s="14" t="str">
        <x:v>pleiades</x:v>
      </x:c>
      <x:c r="E179" s="14" t="str">
        <x:v>66376536</x:v>
      </x:c>
      <x:c r="F179" s="14" t="str">
        <x:v>https://pleiades.stoa.org/places/66376536</x:v>
      </x:c>
      <x:c r="G179" s="14" t="str">
        <x:v>exact</x:v>
      </x:c>
      <x:c r="H179" s="14" t="str">
        <x:v>src-pleiades-66376536</x:v>
      </x:c>
    </x:row>
    <x:row r="180" ht="28" customHeight="1">
      <x:c r="A180" s="14" t="str">
        <x:v>ext-pleiades-sanctuary-segesta-doric-temple-sanctuary</x:v>
      </x:c>
      <x:c r="B180" s="14" t="str">
        <x:v>sanctuary-segesta-doric-temple-sanctuary</x:v>
      </x:c>
      <x:c r="C180" s="14"/>
      <x:c r="D180" s="14" t="str">
        <x:v>pleiades</x:v>
      </x:c>
      <x:c r="E180" s="14" t="str">
        <x:v>963441586</x:v>
      </x:c>
      <x:c r="F180" s="14" t="str">
        <x:v>https://pleiades.stoa.org/places/963441586</x:v>
      </x:c>
      <x:c r="G180" s="14" t="str">
        <x:v>exact</x:v>
      </x:c>
      <x:c r="H180" s="14" t="str">
        <x:v>src-pleiades-963441586</x:v>
      </x:c>
    </x:row>
    <x:row r="181" ht="28" customHeight="1">
      <x:c r="A181" s="14" t="str">
        <x:v>ext-pleiades-sanctuary-selinous-demeter-malophoros-sanctuary</x:v>
      </x:c>
      <x:c r="B181" s="14" t="str">
        <x:v>sanctuary-selinous-demeter-malophoros-sanctuary</x:v>
      </x:c>
      <x:c r="C181" s="14"/>
      <x:c r="D181" s="14" t="str">
        <x:v>pleiades</x:v>
      </x:c>
      <x:c r="E181" s="14" t="str">
        <x:v>502577471</x:v>
      </x:c>
      <x:c r="F181" s="14" t="str">
        <x:v>https://pleiades.stoa.org/places/502577471</x:v>
      </x:c>
      <x:c r="G181" s="14" t="str">
        <x:v>exact</x:v>
      </x:c>
      <x:c r="H181" s="14" t="str">
        <x:v>src-pleiades-502577471</x:v>
      </x:c>
    </x:row>
    <x:row r="182" ht="28" customHeight="1">
      <x:c r="A182" s="14" t="str">
        <x:v>ext-pleiades-sanctuary-siwa-amun-zeus-oracle</x:v>
      </x:c>
      <x:c r="B182" s="14" t="str">
        <x:v>sanctuary-siwa-amun-zeus-oracle</x:v>
      </x:c>
      <x:c r="C182" s="14"/>
      <x:c r="D182" s="14" t="str">
        <x:v>pleiades</x:v>
      </x:c>
      <x:c r="E182" s="14" t="str">
        <x:v>716520</x:v>
      </x:c>
      <x:c r="F182" s="14" t="str">
        <x:v>https://pleiades.stoa.org/places/716520</x:v>
      </x:c>
      <x:c r="G182" s="14" t="str">
        <x:v>exact</x:v>
      </x:c>
      <x:c r="H182" s="14" t="str">
        <x:v>src-pleiades-716520</x:v>
      </x:c>
    </x:row>
    <x:row r="183" ht="28" customHeight="1">
      <x:c r="A183" s="14" t="str">
        <x:v>ext-pleiades-sanctuary-smintheion-apollo-sanctuary</x:v>
      </x:c>
      <x:c r="B183" s="14" t="str">
        <x:v>sanctuary-smintheion-apollo-sanctuary</x:v>
      </x:c>
      <x:c r="C183" s="14"/>
      <x:c r="D183" s="14" t="str">
        <x:v>pleiades</x:v>
      </x:c>
      <x:c r="E183" s="14" t="str">
        <x:v>550892</x:v>
      </x:c>
      <x:c r="F183" s="14" t="str">
        <x:v>https://pleiades.stoa.org/places/550892</x:v>
      </x:c>
      <x:c r="G183" s="14" t="str">
        <x:v>exact</x:v>
      </x:c>
      <x:c r="H183" s="14" t="str">
        <x:v>src-pleiades-550892</x:v>
      </x:c>
    </x:row>
    <x:row r="184" ht="28" customHeight="1">
      <x:c r="A184" s="14" t="str">
        <x:v>ext-pleiades-sanctuary-sounion-poseidon-sanctuary</x:v>
      </x:c>
      <x:c r="B184" s="14" t="str">
        <x:v>sanctuary-sounion-poseidon-sanctuary</x:v>
      </x:c>
      <x:c r="C184" s="14"/>
      <x:c r="D184" s="14" t="str">
        <x:v>pleiades</x:v>
      </x:c>
      <x:c r="E184" s="14" t="str">
        <x:v>580086</x:v>
      </x:c>
      <x:c r="F184" s="14" t="str">
        <x:v>https://pleiades.stoa.org/places/580086</x:v>
      </x:c>
      <x:c r="G184" s="14" t="str">
        <x:v>exact</x:v>
      </x:c>
      <x:c r="H184" s="14" t="str">
        <x:v>src-pleiades-580086</x:v>
      </x:c>
    </x:row>
    <x:row r="185" ht="28" customHeight="1">
      <x:c r="A185" s="14" t="str">
        <x:v>ext-pleiades-sanctuary-syracuse-apollo-sanctuary</x:v>
      </x:c>
      <x:c r="B185" s="14" t="str">
        <x:v>sanctuary-syracuse-apollo-sanctuary</x:v>
      </x:c>
      <x:c r="C185" s="14"/>
      <x:c r="D185" s="14" t="str">
        <x:v>pleiades</x:v>
      </x:c>
      <x:c r="E185" s="14" t="str">
        <x:v>418729933</x:v>
      </x:c>
      <x:c r="F185" s="14" t="str">
        <x:v>https://pleiades.stoa.org/places/418729933</x:v>
      </x:c>
      <x:c r="G185" s="14" t="str">
        <x:v>exact</x:v>
      </x:c>
      <x:c r="H185" s="14" t="str">
        <x:v>src-pleiades-418729933</x:v>
      </x:c>
    </x:row>
    <x:row r="186" ht="28" customHeight="1">
      <x:c r="A186" s="14" t="str">
        <x:v>ext-pleiades-sanctuary-tegea-athena-alea-sanctuary</x:v>
      </x:c>
      <x:c r="B186" s="14" t="str">
        <x:v>sanctuary-tegea-athena-alea-sanctuary</x:v>
      </x:c>
      <x:c r="C186" s="14"/>
      <x:c r="D186" s="14" t="str">
        <x:v>pleiades</x:v>
      </x:c>
      <x:c r="E186" s="14" t="str">
        <x:v>372843530</x:v>
      </x:c>
      <x:c r="F186" s="14" t="str">
        <x:v>https://pleiades.stoa.org/places/372843530</x:v>
      </x:c>
      <x:c r="G186" s="14" t="str">
        <x:v>exact</x:v>
      </x:c>
      <x:c r="H186" s="14" t="str">
        <x:v>src-pleiades-372843530</x:v>
      </x:c>
    </x:row>
    <x:row r="187" ht="28" customHeight="1">
      <x:c r="A187" s="14" t="str">
        <x:v>ext-pleiades-sanctuary-thermon-apollo-sanctuary</x:v>
      </x:c>
      <x:c r="B187" s="14" t="str">
        <x:v>sanctuary-thermon-apollo-sanctuary</x:v>
      </x:c>
      <x:c r="C187" s="14"/>
      <x:c r="D187" s="14" t="str">
        <x:v>pleiades</x:v>
      </x:c>
      <x:c r="E187" s="14" t="str">
        <x:v>728329645</x:v>
      </x:c>
      <x:c r="F187" s="14" t="str">
        <x:v>https://pleiades.stoa.org/places/728329645</x:v>
      </x:c>
      <x:c r="G187" s="14" t="str">
        <x:v>exact</x:v>
      </x:c>
      <x:c r="H187" s="14" t="str">
        <x:v>src-pleiades-728329645</x:v>
      </x:c>
    </x:row>
    <x:row r="188" ht="28" customHeight="1">
      <x:c r="A188" s="14" t="str">
        <x:v>ext-pleiades-sanctuary-tinos-poseidon-amphitrite-sanctuary</x:v>
      </x:c>
      <x:c r="B188" s="14" t="str">
        <x:v>sanctuary-tinos-poseidon-amphitrite-sanctuary</x:v>
      </x:c>
      <x:c r="C188" s="14"/>
      <x:c r="D188" s="14" t="str">
        <x:v>pleiades</x:v>
      </x:c>
      <x:c r="E188" s="14" t="str">
        <x:v>590006</x:v>
      </x:c>
      <x:c r="F188" s="14" t="str">
        <x:v>https://pleiades.stoa.org/places/590006</x:v>
      </x:c>
      <x:c r="G188" s="14" t="str">
        <x:v>exact</x:v>
      </x:c>
      <x:c r="H188" s="14" t="str">
        <x:v>src-pleiades-590006</x:v>
      </x:c>
    </x:row>
  </x:sheetData>
  <x:mergeCells>
    <x:mergeCell ref="A1:H1"/>
    <x:mergeCell ref="A2:H2"/>
  </x:mergeCells>
  <x:pageMargins left="0.7" right="0.7" top="0.75" bottom="0.75" header="0.3" footer="0.3"/>
  <x:tableParts count="1">
    <x:tablePart xmlns:r="http://schemas.openxmlformats.org/officeDocument/2006/relationships" r:id="Rb732d336da7546f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18" hidden="0" customWidth="1"/>
    <x:col min="4" max="4" width="44" hidden="0" customWidth="1"/>
    <x:col min="5" max="5" width="60" hidden="0" customWidth="1"/>
    <x:col min="6" max="6" width="62" hidden="0" customWidth="1"/>
  </x:cols>
  <x:sheetData>
    <x:row r="1" ht="34" customHeight="1">
      <x:c r="A1" s="3" t="str">
        <x:v>Review Queue / Ουρά ελέγχου</x:v>
      </x:c>
      <x:c r="B1" s="3"/>
      <x:c r="C1" s="3"/>
      <x:c r="D1" s="3"/>
      <x:c r="E1" s="3"/>
      <x:c r="F1" s="3"/>
    </x:row>
    <x:row r="2" ht="28" customHeight="1">
      <x:c r="A2" s="8" t="str">
        <x:v>Zero-error release warnings: retained uncertainty, proxy points, URL access conditions and measured coordinate offsets.</x:v>
      </x:c>
      <x:c r="B2" s="8"/>
      <x:c r="C2" s="8"/>
      <x:c r="D2" s="8"/>
      <x:c r="E2" s="8"/>
      <x:c r="F2" s="8"/>
    </x:row>
    <x:row r="4" ht="30" customHeight="1">
      <x:c r="A4" s="13" t="str">
        <x:v>severity</x:v>
      </x:c>
      <x:c r="B4" s="13" t="str">
        <x:v>code</x:v>
      </x:c>
      <x:c r="C4" s="13" t="str">
        <x:v>table</x:v>
      </x:c>
      <x:c r="D4" s="13" t="str">
        <x:v>record_id</x:v>
      </x:c>
      <x:c r="E4" s="13" t="str">
        <x:v>message</x:v>
      </x:c>
      <x:c r="F4" s="13" t="str">
        <x:v>recommendation</x:v>
      </x:c>
    </x:row>
    <x:row r="5" ht="44" customHeight="1">
      <x:c r="A5" s="14" t="str">
        <x:v>warning</x:v>
      </x:c>
      <x:c r="B5" s="14" t="str">
        <x:v>PLEIADES_COORDINATE_OFFSET</x:v>
      </x:c>
      <x:c r="C5" s="14" t="str">
        <x:v>places</x:v>
      </x:c>
      <x:c r="D5" s="14" t="str">
        <x:v>sanctuary-apollonia-pontica-apollo-ietros-sanctuary</x:v>
      </x:c>
      <x:c r="E5" s="14" t="str">
        <x:v>Local and Pleiades representative points differ by 639.99 metres.</x:v>
      </x:c>
      <x:c r="F5" s="14" t="str">
        <x:v>Keep the measured difference visible and review only with monument-specific evidence.</x:v>
      </x:c>
    </x:row>
    <x:row r="6" ht="44" customHeight="1">
      <x:c r="A6" s="14" t="str">
        <x:v>warning</x:v>
      </x:c>
      <x:c r="B6" s="14" t="str">
        <x:v>PROXY_GEOMETRY</x:v>
      </x:c>
      <x:c r="C6" s="14" t="str">
        <x:v>places</x:v>
      </x:c>
      <x:c r="D6" s="14" t="str">
        <x:v>place-sanctuary-apollonia-pontica-apollo-ietros-sanctuary</x:v>
      </x:c>
      <x:c r="E6" s="14" t="str">
        <x:v>The point is intentionally an approximate proxy, not a surveyed footprint.</x:v>
      </x:c>
      <x:c r="F6" s="14" t="str">
        <x:v>Replace only with a monument-specific coordinate supported by an authoritative source.</x:v>
      </x:c>
    </x:row>
    <x:row r="7" ht="44" customHeight="1">
      <x:c r="A7" s="14" t="str">
        <x:v>warning</x:v>
      </x:c>
      <x:c r="B7" s="14" t="str">
        <x:v>PROXY_GEOMETRY</x:v>
      </x:c>
      <x:c r="C7" s="14" t="str">
        <x:v>places</x:v>
      </x:c>
      <x:c r="D7" s="14" t="str">
        <x:v>place-sanctuary-chersonesos-parthenos-sanctuary</x:v>
      </x:c>
      <x:c r="E7" s="14" t="str">
        <x:v>The point is intentionally an approximate proxy, not a surveyed footprint.</x:v>
      </x:c>
      <x:c r="F7" s="14" t="str">
        <x:v>Replace only with a monument-specific coordinate supported by an authoritative source.</x:v>
      </x:c>
    </x:row>
    <x:row r="8" ht="44" customHeight="1">
      <x:c r="A8" s="14" t="str">
        <x:v>warning</x:v>
      </x:c>
      <x:c r="B8" s="14" t="str">
        <x:v>PROXY_GEOMETRY</x:v>
      </x:c>
      <x:c r="C8" s="14" t="str">
        <x:v>places</x:v>
      </x:c>
      <x:c r="D8" s="14" t="str">
        <x:v>place-sanctuary-golgoi-aphrodite-sanctuary</x:v>
      </x:c>
      <x:c r="E8" s="14" t="str">
        <x:v>The point is intentionally an approximate proxy, not a surveyed footprint.</x:v>
      </x:c>
      <x:c r="F8" s="14" t="str">
        <x:v>Replace only with a monument-specific coordinate supported by an authoritative source.</x:v>
      </x:c>
    </x:row>
    <x:row r="9" ht="44" customHeight="1">
      <x:c r="A9" s="14" t="str">
        <x:v>warning</x:v>
      </x:c>
      <x:c r="B9" s="14" t="str">
        <x:v>PROXY_GEOMETRY</x:v>
      </x:c>
      <x:c r="C9" s="14" t="str">
        <x:v>places</x:v>
      </x:c>
      <x:c r="D9" s="14" t="str">
        <x:v>place-sanctuary-histria-sacred-zone</x:v>
      </x:c>
      <x:c r="E9" s="14" t="str">
        <x:v>The point is intentionally an approximate proxy, not a surveyed footprint.</x:v>
      </x:c>
      <x:c r="F9" s="14" t="str">
        <x:v>Replace only with a monument-specific coordinate supported by an authoritative source.</x:v>
      </x:c>
    </x:row>
    <x:row r="10" ht="44" customHeight="1">
      <x:c r="A10" s="14" t="str">
        <x:v>warning</x:v>
      </x:c>
      <x:c r="B10" s="14" t="str">
        <x:v>PROXY_GEOMETRY</x:v>
      </x:c>
      <x:c r="C10" s="14" t="str">
        <x:v>places</x:v>
      </x:c>
      <x:c r="D10" s="14" t="str">
        <x:v>place-sanctuary-magnesia-artemis-leukophryene</x:v>
      </x:c>
      <x:c r="E10" s="14" t="str">
        <x:v>The point is intentionally an approximate proxy, not a surveyed footprint.</x:v>
      </x:c>
      <x:c r="F10" s="14" t="str">
        <x:v>Replace only with a monument-specific coordinate supported by an authoritative source.</x:v>
      </x:c>
    </x:row>
    <x:row r="11" ht="44" customHeight="1">
      <x:c r="A11" s="14" t="str">
        <x:v>warning</x:v>
      </x:c>
      <x:c r="B11" s="14" t="str">
        <x:v>PROXY_GEOMETRY</x:v>
      </x:c>
      <x:c r="C11" s="14" t="str">
        <x:v>places</x:v>
      </x:c>
      <x:c r="D11" s="14" t="str">
        <x:v>place-sanctuary-naukratis-hellenion</x:v>
      </x:c>
      <x:c r="E11" s="14" t="str">
        <x:v>The point is intentionally an approximate proxy, not a surveyed footprint.</x:v>
      </x:c>
      <x:c r="F11" s="14" t="str">
        <x:v>Replace only with a monument-specific coordinate supported by an authoritative source.</x:v>
      </x:c>
    </x:row>
    <x:row r="12" ht="44" customHeight="1">
      <x:c r="A12" s="14" t="str">
        <x:v>warning</x:v>
      </x:c>
      <x:c r="B12" s="14" t="str">
        <x:v>PROXY_GEOMETRY</x:v>
      </x:c>
      <x:c r="C12" s="14" t="str">
        <x:v>places</x:v>
      </x:c>
      <x:c r="D12" s="14" t="str">
        <x:v>place-sanctuary-olbia-apollo-delphinios-sanctuary</x:v>
      </x:c>
      <x:c r="E12" s="14" t="str">
        <x:v>The point is intentionally an approximate proxy, not a surveyed footprint.</x:v>
      </x:c>
      <x:c r="F12" s="14" t="str">
        <x:v>Replace only with a monument-specific coordinate supported by an authoritative source.</x:v>
      </x:c>
    </x:row>
    <x:row r="13" ht="44" customHeight="1">
      <x:c r="A13" s="14" t="str">
        <x:v>warning</x:v>
      </x:c>
      <x:c r="B13" s="14" t="str">
        <x:v>PROXY_GEOMETRY</x:v>
      </x:c>
      <x:c r="C13" s="14" t="str">
        <x:v>places</x:v>
      </x:c>
      <x:c r="D13" s="14" t="str">
        <x:v>place-sanctuary-pantikapaion-apollo-ietros-sanctuary</x:v>
      </x:c>
      <x:c r="E13" s="14" t="str">
        <x:v>The point is intentionally an approximate proxy, not a surveyed footprint.</x:v>
      </x:c>
      <x:c r="F13" s="14" t="str">
        <x:v>Replace only with a monument-specific coordinate supported by an authoritative source.</x:v>
      </x:c>
    </x:row>
    <x:row r="14" ht="44" customHeight="1">
      <x:c r="A14" s="14" t="str">
        <x:v>warning</x:v>
      </x:c>
      <x:c r="B14" s="14" t="str">
        <x:v>RETAINED_UNCERTAINTY</x:v>
      </x:c>
      <x:c r="C14" s="14" t="str">
        <x:v>entities</x:v>
      </x:c>
      <x:c r="D14" s="14" t="str">
        <x:v>city-ptolemais-cyrenaica</x:v>
      </x:c>
      <x:c r="E14" s="14" t="str">
        <x:v>The record is reviewed but intentionally retains medium confidence.</x:v>
      </x:c>
      <x:c r="F14" s="14" t="str">
        <x:v>Revisit only when stronger entity-specific evidence becomes available.</x:v>
      </x:c>
    </x:row>
    <x:row r="15" ht="44" customHeight="1">
      <x:c r="A15" s="14" t="str">
        <x:v>warning</x:v>
      </x:c>
      <x:c r="B15" s="14" t="str">
        <x:v>RETAINED_UNCERTAINTY</x:v>
      </x:c>
      <x:c r="C15" s="14" t="str">
        <x:v>entities</x:v>
      </x:c>
      <x:c r="D15" s="14" t="str">
        <x:v>colony-issa-vis</x:v>
      </x:c>
      <x:c r="E15" s="14" t="str">
        <x:v>The record is reviewed but intentionally retains medium confidence.</x:v>
      </x:c>
      <x:c r="F15" s="14" t="str">
        <x:v>Revisit only when stronger entity-specific evidence becomes available.</x:v>
      </x:c>
    </x:row>
    <x:row r="16" ht="44" customHeight="1">
      <x:c r="A16" s="14" t="str">
        <x:v>warning</x:v>
      </x:c>
      <x:c r="B16" s="14" t="str">
        <x:v>RETAINED_UNCERTAINTY</x:v>
      </x:c>
      <x:c r="C16" s="14" t="str">
        <x:v>entities</x:v>
      </x:c>
      <x:c r="D16" s="14" t="str">
        <x:v>colony-myrina-aeolis</x:v>
      </x:c>
      <x:c r="E16" s="14" t="str">
        <x:v>The record is reviewed but intentionally retains medium confidence.</x:v>
      </x:c>
      <x:c r="F16" s="14" t="str">
        <x:v>Revisit only when stronger entity-specific evidence becomes available.</x:v>
      </x:c>
    </x:row>
    <x:row r="17" ht="44" customHeight="1">
      <x:c r="A17" s="14" t="str">
        <x:v>warning</x:v>
      </x:c>
      <x:c r="B17" s="14" t="str">
        <x:v>RETAINED_UNCERTAINTY</x:v>
      </x:c>
      <x:c r="C17" s="14" t="str">
        <x:v>entities</x:v>
      </x:c>
      <x:c r="D17" s="14" t="str">
        <x:v>colony-phasis-city</x:v>
      </x:c>
      <x:c r="E17" s="14" t="str">
        <x:v>The record is reviewed but intentionally retains medium confidence.</x:v>
      </x:c>
      <x:c r="F17" s="14" t="str">
        <x:v>Revisit only when stronger entity-specific evidence becomes available.</x:v>
      </x:c>
    </x:row>
    <x:row r="18" ht="44" customHeight="1">
      <x:c r="A18" s="14" t="str">
        <x:v>warning</x:v>
      </x:c>
      <x:c r="B18" s="14" t="str">
        <x:v>RETAINED_UNCERTAINTY</x:v>
      </x:c>
      <x:c r="C18" s="14" t="str">
        <x:v>entities</x:v>
      </x:c>
      <x:c r="D18" s="14" t="str">
        <x:v>kingdom-attalid-pergamon</x:v>
      </x:c>
      <x:c r="E18" s="14" t="str">
        <x:v>The record is reviewed but intentionally retains medium confidence.</x:v>
      </x:c>
      <x:c r="F18" s="14" t="str">
        <x:v>Revisit only when stronger entity-specific evidence becomes available.</x:v>
      </x:c>
    </x:row>
    <x:row r="19" ht="44" customHeight="1">
      <x:c r="A19" s="14" t="str">
        <x:v>warning</x:v>
      </x:c>
      <x:c r="B19" s="14" t="str">
        <x:v>RETAINED_UNCERTAINTY</x:v>
      </x:c>
      <x:c r="C19" s="14" t="str">
        <x:v>entities</x:v>
      </x:c>
      <x:c r="D19" s="14" t="str">
        <x:v>kingdom-cappadocia-late-client</x:v>
      </x:c>
      <x:c r="E19" s="14" t="str">
        <x:v>The record is reviewed but intentionally retains medium confidence.</x:v>
      </x:c>
      <x:c r="F19" s="14" t="str">
        <x:v>Revisit only when stronger entity-specific evidence becomes available.</x:v>
      </x:c>
    </x:row>
    <x:row r="20" ht="44" customHeight="1">
      <x:c r="A20" s="14" t="str">
        <x:v>warning</x:v>
      </x:c>
      <x:c r="B20" s="14" t="str">
        <x:v>RETAINED_UNCERTAINTY</x:v>
      </x:c>
      <x:c r="C20" s="14" t="str">
        <x:v>entities</x:v>
      </x:c>
      <x:c r="D20" s="14" t="str">
        <x:v>kingdom-commagene</x:v>
      </x:c>
      <x:c r="E20" s="14" t="str">
        <x:v>The record is reviewed but intentionally retains medium confidence.</x:v>
      </x:c>
      <x:c r="F20" s="14" t="str">
        <x:v>Revisit only when stronger entity-specific evidence becomes available.</x:v>
      </x:c>
    </x:row>
    <x:row r="21" ht="44" customHeight="1">
      <x:c r="A21" s="14" t="str">
        <x:v>warning</x:v>
      </x:c>
      <x:c r="B21" s="14" t="str">
        <x:v>RETAINED_UNCERTAINTY</x:v>
      </x:c>
      <x:c r="C21" s="14" t="str">
        <x:v>entities</x:v>
      </x:c>
      <x:c r="D21" s="14" t="str">
        <x:v>kingdom-indo-greek-early</x:v>
      </x:c>
      <x:c r="E21" s="14" t="str">
        <x:v>The record is reviewed but intentionally retains medium confidence.</x:v>
      </x:c>
      <x:c r="F21" s="14" t="str">
        <x:v>Revisit only when stronger entity-specific evidence becomes available.</x:v>
      </x:c>
    </x:row>
    <x:row r="22" ht="44" customHeight="1">
      <x:c r="A22" s="14" t="str">
        <x:v>warning</x:v>
      </x:c>
      <x:c r="B22" s="14" t="str">
        <x:v>RETAINED_UNCERTAINTY</x:v>
      </x:c>
      <x:c r="C22" s="14" t="str">
        <x:v>entities</x:v>
      </x:c>
      <x:c r="D22" s="14" t="str">
        <x:v>kingdom-indo-greek-late</x:v>
      </x:c>
      <x:c r="E22" s="14" t="str">
        <x:v>The record is reviewed but intentionally retains medium confidence.</x:v>
      </x:c>
      <x:c r="F22" s="14" t="str">
        <x:v>Revisit only when stronger entity-specific evidence becomes available.</x:v>
      </x:c>
    </x:row>
    <x:row r="23" ht="44" customHeight="1">
      <x:c r="A23" s="14" t="str">
        <x:v>warning</x:v>
      </x:c>
      <x:c r="B23" s="14" t="str">
        <x:v>RETAINED_UNCERTAINTY</x:v>
      </x:c>
      <x:c r="C23" s="14" t="str">
        <x:v>entities</x:v>
      </x:c>
      <x:c r="D23" s="14" t="str">
        <x:v>sanctuary-akragas-concordia-temple-sanctuary</x:v>
      </x:c>
      <x:c r="E23" s="14" t="str">
        <x:v>The record is reviewed but intentionally retains medium confidence.</x:v>
      </x:c>
      <x:c r="F23" s="14" t="str">
        <x:v>Revisit only when stronger entity-specific evidence becomes available.</x:v>
      </x:c>
    </x:row>
    <x:row r="24" ht="44" customHeight="1">
      <x:c r="A24" s="14" t="str">
        <x:v>warning</x:v>
      </x:c>
      <x:c r="B24" s="14" t="str">
        <x:v>RETAINED_UNCERTAINTY</x:v>
      </x:c>
      <x:c r="C24" s="14" t="str">
        <x:v>entities</x:v>
      </x:c>
      <x:c r="D24" s="14" t="str">
        <x:v>sanctuary-apollonia-pontica-apollo-ietros-sanctuary</x:v>
      </x:c>
      <x:c r="E24" s="14" t="str">
        <x:v>The record is reviewed but intentionally retains medium confidence.</x:v>
      </x:c>
      <x:c r="F24" s="14" t="str">
        <x:v>Revisit only when stronger entity-specific evidence becomes available.</x:v>
      </x:c>
    </x:row>
    <x:row r="25" ht="44" customHeight="1">
      <x:c r="A25" s="14" t="str">
        <x:v>warning</x:v>
      </x:c>
      <x:c r="B25" s="14" t="str">
        <x:v>RETAINED_UNCERTAINTY</x:v>
      </x:c>
      <x:c r="C25" s="14" t="str">
        <x:v>entities</x:v>
      </x:c>
      <x:c r="D25" s="14" t="str">
        <x:v>sanctuary-chersonesos-parthenos-sanctuary</x:v>
      </x:c>
      <x:c r="E25" s="14" t="str">
        <x:v>The record is reviewed but intentionally retains medium confidence.</x:v>
      </x:c>
      <x:c r="F25" s="14" t="str">
        <x:v>Revisit only when stronger entity-specific evidence becomes available.</x:v>
      </x:c>
    </x:row>
    <x:row r="26" ht="44" customHeight="1">
      <x:c r="A26" s="14" t="str">
        <x:v>warning</x:v>
      </x:c>
      <x:c r="B26" s="14" t="str">
        <x:v>RETAINED_UNCERTAINTY</x:v>
      </x:c>
      <x:c r="C26" s="14" t="str">
        <x:v>entities</x:v>
      </x:c>
      <x:c r="D26" s="14" t="str">
        <x:v>sanctuary-golgoi-aphrodite-sanctuary</x:v>
      </x:c>
      <x:c r="E26" s="14" t="str">
        <x:v>The record is reviewed but intentionally retains medium confidence.</x:v>
      </x:c>
      <x:c r="F26" s="14" t="str">
        <x:v>Revisit only when stronger entity-specific evidence becomes available.</x:v>
      </x:c>
    </x:row>
    <x:row r="27" ht="44" customHeight="1">
      <x:c r="A27" s="14" t="str">
        <x:v>warning</x:v>
      </x:c>
      <x:c r="B27" s="14" t="str">
        <x:v>RETAINED_UNCERTAINTY</x:v>
      </x:c>
      <x:c r="C27" s="14" t="str">
        <x:v>entities</x:v>
      </x:c>
      <x:c r="D27" s="14" t="str">
        <x:v>sanctuary-histria-sacred-zone</x:v>
      </x:c>
      <x:c r="E27" s="14" t="str">
        <x:v>The record is reviewed but intentionally retains medium confidence.</x:v>
      </x:c>
      <x:c r="F27" s="14" t="str">
        <x:v>Revisit only when stronger entity-specific evidence becomes available.</x:v>
      </x:c>
    </x:row>
    <x:row r="28" ht="44" customHeight="1">
      <x:c r="A28" s="14" t="str">
        <x:v>warning</x:v>
      </x:c>
      <x:c r="B28" s="14" t="str">
        <x:v>RETAINED_UNCERTAINTY</x:v>
      </x:c>
      <x:c r="C28" s="14" t="str">
        <x:v>entities</x:v>
      </x:c>
      <x:c r="D28" s="14" t="str">
        <x:v>sanctuary-magnesia-artemis-leukophryene</x:v>
      </x:c>
      <x:c r="E28" s="14" t="str">
        <x:v>The record is reviewed but intentionally retains medium confidence.</x:v>
      </x:c>
      <x:c r="F28" s="14" t="str">
        <x:v>Revisit only when stronger entity-specific evidence becomes available.</x:v>
      </x:c>
    </x:row>
    <x:row r="29" ht="44" customHeight="1">
      <x:c r="A29" s="14" t="str">
        <x:v>warning</x:v>
      </x:c>
      <x:c r="B29" s="14" t="str">
        <x:v>RETAINED_UNCERTAINTY</x:v>
      </x:c>
      <x:c r="C29" s="14" t="str">
        <x:v>entities</x:v>
      </x:c>
      <x:c r="D29" s="14" t="str">
        <x:v>sanctuary-naukratis-hellenion</x:v>
      </x:c>
      <x:c r="E29" s="14" t="str">
        <x:v>The record is reviewed but intentionally retains medium confidence.</x:v>
      </x:c>
      <x:c r="F29" s="14" t="str">
        <x:v>Revisit only when stronger entity-specific evidence becomes available.</x:v>
      </x:c>
    </x:row>
    <x:row r="30" ht="44" customHeight="1">
      <x:c r="A30" s="14" t="str">
        <x:v>warning</x:v>
      </x:c>
      <x:c r="B30" s="14" t="str">
        <x:v>RETAINED_UNCERTAINTY</x:v>
      </x:c>
      <x:c r="C30" s="14" t="str">
        <x:v>entities</x:v>
      </x:c>
      <x:c r="D30" s="14" t="str">
        <x:v>sanctuary-olbia-apollo-delphinios-sanctuary</x:v>
      </x:c>
      <x:c r="E30" s="14" t="str">
        <x:v>The record is reviewed but intentionally retains medium confidence.</x:v>
      </x:c>
      <x:c r="F30" s="14" t="str">
        <x:v>Revisit only when stronger entity-specific evidence becomes available.</x:v>
      </x:c>
    </x:row>
    <x:row r="31" ht="44" customHeight="1">
      <x:c r="A31" s="14" t="str">
        <x:v>warning</x:v>
      </x:c>
      <x:c r="B31" s="14" t="str">
        <x:v>RETAINED_UNCERTAINTY</x:v>
      </x:c>
      <x:c r="C31" s="14" t="str">
        <x:v>entities</x:v>
      </x:c>
      <x:c r="D31" s="14" t="str">
        <x:v>sanctuary-pantikapaion-apollo-ietros-sanctuary</x:v>
      </x:c>
      <x:c r="E31" s="14" t="str">
        <x:v>The record is reviewed but intentionally retains medium confidence.</x:v>
      </x:c>
      <x:c r="F31" s="14" t="str">
        <x:v>Revisit only when stronger entity-specific evidence becomes available.</x:v>
      </x:c>
    </x:row>
    <x:row r="32" ht="44" customHeight="1">
      <x:c r="A32" s="14" t="str">
        <x:v>warning</x:v>
      </x:c>
      <x:c r="B32" s="14" t="str">
        <x:v>RETAINED_UNCERTAINTY</x:v>
      </x:c>
      <x:c r="C32" s="14" t="str">
        <x:v>entities</x:v>
      </x:c>
      <x:c r="D32" s="14" t="str">
        <x:v>sanctuary-segesta-doric-temple-sanctuary</x:v>
      </x:c>
      <x:c r="E32" s="14" t="str">
        <x:v>The record is reviewed but intentionally retains medium confidence.</x:v>
      </x:c>
      <x:c r="F32" s="14" t="str">
        <x:v>Revisit only when stronger entity-specific evidence becomes available.</x:v>
      </x:c>
    </x:row>
    <x:row r="33" ht="44" customHeight="1">
      <x:c r="A33" s="14" t="str">
        <x:v>warning</x:v>
      </x:c>
      <x:c r="B33" s="14" t="str">
        <x:v>SOURCE_URL_ACCESS</x:v>
      </x:c>
      <x:c r="C33" s="14" t="str">
        <x:v>sources</x:v>
      </x:c>
      <x:c r="D33" s="14" t="str">
        <x:v>src-assets-5a2ee3f98c16</x:v>
      </x:c>
      <x:c r="E33" s="14" t="str">
        <x:v>Source URL is unchecked; this is an accessibility warning, not a scholarly verdict.</x:v>
      </x:c>
      <x:c r="F33" s="14" t="str">
        <x:v>Recheck periodically without discarding relevant institutional evidence.</x:v>
      </x:c>
    </x:row>
    <x:row r="34" ht="44" customHeight="1">
      <x:c r="A34" s="14" t="str">
        <x:v>warning</x:v>
      </x:c>
      <x:c r="B34" s="14" t="str">
        <x:v>SOURCE_URL_ACCESS</x:v>
      </x:c>
      <x:c r="C34" s="14" t="str">
        <x:v>sources</x:v>
      </x:c>
      <x:c r="D34" s="14" t="str">
        <x:v>src-britishmuseum-4626abd5cbdd</x:v>
      </x:c>
      <x:c r="E34" s="14" t="str">
        <x:v>Source URL is unavailable; this is an accessibility warning, not a scholarly verdict.</x:v>
      </x:c>
      <x:c r="F34" s="14" t="str">
        <x:v>Recheck periodically without discarding relevant institutional evidence.</x:v>
      </x:c>
    </x:row>
    <x:row r="35" ht="44" customHeight="1">
      <x:c r="A35" s="14" t="str">
        <x:v>warning</x:v>
      </x:c>
      <x:c r="B35" s="14" t="str">
        <x:v>SOURCE_URL_ACCESS</x:v>
      </x:c>
      <x:c r="C35" s="14" t="str">
        <x:v>sources</x:v>
      </x:c>
      <x:c r="D35" s="14" t="str">
        <x:v>src-britishmuseum-d101eb623c92</x:v>
      </x:c>
      <x:c r="E35" s="14" t="str">
        <x:v>Source URL is unavailable; this is an accessibility warning, not a scholarly verdict.</x:v>
      </x:c>
      <x:c r="F35" s="14" t="str">
        <x:v>Recheck periodically without discarding relevant institutional evidence.</x:v>
      </x:c>
    </x:row>
    <x:row r="36" ht="44" customHeight="1">
      <x:c r="A36" s="14" t="str">
        <x:v>warning</x:v>
      </x:c>
      <x:c r="B36" s="14" t="str">
        <x:v>SOURCE_URL_ACCESS</x:v>
      </x:c>
      <x:c r="C36" s="14" t="str">
        <x:v>sources</x:v>
      </x:c>
      <x:c r="D36" s="14" t="str">
        <x:v>src-metmuseum-31540f5687cf</x:v>
      </x:c>
      <x:c r="E36" s="14" t="str">
        <x:v>Source URL is unavailable; this is an accessibility warning, not a scholarly verdict.</x:v>
      </x:c>
      <x:c r="F36" s="14" t="str">
        <x:v>Recheck periodically without discarding relevant institutional evidence.</x:v>
      </x:c>
    </x:row>
    <x:row r="37" ht="44" customHeight="1">
      <x:c r="A37" s="14" t="str">
        <x:v>warning</x:v>
      </x:c>
      <x:c r="B37" s="14" t="str">
        <x:v>SOURCE_URL_ACCESS</x:v>
      </x:c>
      <x:c r="C37" s="14" t="str">
        <x:v>sources</x:v>
      </x:c>
      <x:c r="D37" s="14" t="str">
        <x:v>src-metmuseum-50fe20dc493f</x:v>
      </x:c>
      <x:c r="E37" s="14" t="str">
        <x:v>Source URL is unavailable; this is an accessibility warning, not a scholarly verdict.</x:v>
      </x:c>
      <x:c r="F37" s="14" t="str">
        <x:v>Recheck periodically without discarding relevant institutional evidence.</x:v>
      </x:c>
    </x:row>
    <x:row r="38" ht="44" customHeight="1">
      <x:c r="A38" s="14" t="str">
        <x:v>warning</x:v>
      </x:c>
      <x:c r="B38" s="14" t="str">
        <x:v>SOURCE_URL_ACCESS</x:v>
      </x:c>
      <x:c r="C38" s="14" t="str">
        <x:v>sources</x:v>
      </x:c>
      <x:c r="D38" s="14" t="str">
        <x:v>src-metmuseum-89019924e8c3</x:v>
      </x:c>
      <x:c r="E38" s="14" t="str">
        <x:v>Source URL is unavailable; this is an accessibility warning, not a scholarly verdict.</x:v>
      </x:c>
      <x:c r="F38" s="14" t="str">
        <x:v>Recheck periodically without discarding relevant institutional evidence.</x:v>
      </x:c>
    </x:row>
    <x:row r="39" ht="44" customHeight="1">
      <x:c r="A39" s="14" t="str">
        <x:v>warning</x:v>
      </x:c>
      <x:c r="B39" s="14" t="str">
        <x:v>SOURCE_URL_ACCESS</x:v>
      </x:c>
      <x:c r="C39" s="14" t="str">
        <x:v>sources</x:v>
      </x:c>
      <x:c r="D39" s="14" t="str">
        <x:v>src-metmuseum-9200258a95cb</x:v>
      </x:c>
      <x:c r="E39" s="14" t="str">
        <x:v>Source URL is unavailable; this is an accessibility warning, not a scholarly verdict.</x:v>
      </x:c>
      <x:c r="F39" s="14" t="str">
        <x:v>Recheck periodically without discarding relevant institutional evidence.</x:v>
      </x:c>
    </x:row>
    <x:row r="40" ht="44" customHeight="1">
      <x:c r="A40" s="14" t="str">
        <x:v>warning</x:v>
      </x:c>
      <x:c r="B40" s="14" t="str">
        <x:v>SOURCE_URL_ACCESS</x:v>
      </x:c>
      <x:c r="C40" s="14" t="str">
        <x:v>sources</x:v>
      </x:c>
      <x:c r="D40" s="14" t="str">
        <x:v>src-museoarcheologicoreggiocalabria-a34e7a2bfa16</x:v>
      </x:c>
      <x:c r="E40" s="14" t="str">
        <x:v>Source URL is unavailable; this is an accessibility warning, not a scholarly verdict.</x:v>
      </x:c>
      <x:c r="F40" s="14" t="str">
        <x:v>Recheck periodically without discarding relevant institutional evidence.</x:v>
      </x:c>
    </x:row>
    <x:row r="41" ht="44" customHeight="1">
      <x:c r="A41" s="14" t="str">
        <x:v>warning</x:v>
      </x:c>
      <x:c r="B41" s="14" t="str">
        <x:v>SOURCE_URL_ACCESS</x:v>
      </x:c>
      <x:c r="C41" s="14" t="str">
        <x:v>sources</x:v>
      </x:c>
      <x:c r="D41" s="14" t="str">
        <x:v>src-odysseus-00e2d87ae4a8</x:v>
      </x:c>
      <x:c r="E41" s="14" t="str">
        <x:v>Source URL is unavailable; this is an accessibility warning, not a scholarly verdict.</x:v>
      </x:c>
      <x:c r="F41" s="14" t="str">
        <x:v>Recheck periodically without discarding relevant institutional evidence.</x:v>
      </x:c>
    </x:row>
    <x:row r="42" ht="44" customHeight="1">
      <x:c r="A42" s="14" t="str">
        <x:v>warning</x:v>
      </x:c>
      <x:c r="B42" s="14" t="str">
        <x:v>SOURCE_URL_ACCESS</x:v>
      </x:c>
      <x:c r="C42" s="14" t="str">
        <x:v>sources</x:v>
      </x:c>
      <x:c r="D42" s="14" t="str">
        <x:v>src-odysseus-589898851f92</x:v>
      </x:c>
      <x:c r="E42" s="14" t="str">
        <x:v>Source URL is unavailable; this is an accessibility warning, not a scholarly verdict.</x:v>
      </x:c>
      <x:c r="F42" s="14" t="str">
        <x:v>Recheck periodically without discarding relevant institutional evidence.</x:v>
      </x:c>
    </x:row>
    <x:row r="43" ht="44" customHeight="1">
      <x:c r="A43" s="14" t="str">
        <x:v>warning</x:v>
      </x:c>
      <x:c r="B43" s="14" t="str">
        <x:v>SOURCE_URL_ACCESS</x:v>
      </x:c>
      <x:c r="C43" s="14" t="str">
        <x:v>sources</x:v>
      </x:c>
      <x:c r="D43" s="14" t="str">
        <x:v>src-odysseus-9e3ae0cba911</x:v>
      </x:c>
      <x:c r="E43" s="14" t="str">
        <x:v>Source URL is unavailable; this is an accessibility warning, not a scholarly verdict.</x:v>
      </x:c>
      <x:c r="F43" s="14" t="str">
        <x:v>Recheck periodically without discarding relevant institutional evidence.</x:v>
      </x:c>
    </x:row>
    <x:row r="44" ht="44" customHeight="1">
      <x:c r="A44" s="14" t="str">
        <x:v>warning</x:v>
      </x:c>
      <x:c r="B44" s="14" t="str">
        <x:v>SOURCE_URL_ACCESS</x:v>
      </x:c>
      <x:c r="C44" s="14" t="str">
        <x:v>sources</x:v>
      </x:c>
      <x:c r="D44" s="14" t="str">
        <x:v>src-persee-a9866e5e43d7</x:v>
      </x:c>
      <x:c r="E44" s="14" t="str">
        <x:v>Source URL is unchecked; this is an accessibility warning, not a scholarly verdict.</x:v>
      </x:c>
      <x:c r="F44" s="14" t="str">
        <x:v>Recheck periodically without discarding relevant institutional evidence.</x:v>
      </x:c>
    </x:row>
    <x:row r="45" ht="44" customHeight="1">
      <x:c r="A45" s="14" t="str">
        <x:v>warning</x:v>
      </x:c>
      <x:c r="B45" s="14" t="str">
        <x:v>SOURCE_URL_ACCESS</x:v>
      </x:c>
      <x:c r="C45" s="14" t="str">
        <x:v>sources</x:v>
      </x:c>
      <x:c r="D45" s="14" t="str">
        <x:v>src-pleiades-491572</x:v>
      </x:c>
      <x:c r="E45" s="14" t="str">
        <x:v>Source URL is unavailable; this is an accessibility warning, not a scholarly verdict.</x:v>
      </x:c>
      <x:c r="F45" s="14" t="str">
        <x:v>Recheck periodically without discarding relevant institutional evidence.</x:v>
      </x:c>
    </x:row>
    <x:row r="46" ht="44" customHeight="1">
      <x:c r="A46" s="14" t="str">
        <x:v>warning</x:v>
      </x:c>
      <x:c r="B46" s="14" t="str">
        <x:v>SOURCE_URL_ACCESS</x:v>
      </x:c>
      <x:c r="C46" s="14" t="str">
        <x:v>sources</x:v>
      </x:c>
      <x:c r="D46" s="14" t="str">
        <x:v>src-pleiades-727070</x:v>
      </x:c>
      <x:c r="E46" s="14" t="str">
        <x:v>Source URL is unavailable; this is an accessibility warning, not a scholarly verdict.</x:v>
      </x:c>
      <x:c r="F46" s="14" t="str">
        <x:v>Recheck periodically without discarding relevant institutional evidence.</x:v>
      </x:c>
    </x:row>
    <x:row r="47" ht="44" customHeight="1">
      <x:c r="A47" s="14" t="str">
        <x:v>warning</x:v>
      </x:c>
      <x:c r="B47" s="14" t="str">
        <x:v>SOURCE_URL_ACCESS</x:v>
      </x:c>
      <x:c r="C47" s="14" t="str">
        <x:v>sources</x:v>
      </x:c>
      <x:c r="D47" s="14" t="str">
        <x:v>src-websites-d5246844b076</x:v>
      </x:c>
      <x:c r="E47" s="14" t="str">
        <x:v>Source URL is unavailable; this is an accessibility warning, not a scholarly verdict.</x:v>
      </x:c>
      <x:c r="F47" s="14" t="str">
        <x:v>Recheck periodically without discarding relevant institutional evidence.</x:v>
      </x:c>
    </x:row>
  </x:sheetData>
  <x:mergeCells>
    <x:mergeCell ref="A1:F1"/>
    <x:mergeCell ref="A2:F2"/>
  </x:mergeCells>
  <x:conditionalFormatting sqref="A5:A47">
    <x:cfRule type="containsText" dxfId="0" priority="1" operator="containsText" text="error"/>
    <x:cfRule type="containsText" dxfId="1" priority="2" operator="containsText" text="warning"/>
  </x:conditionalFormatting>
  <x:pageMargins left="0.7" right="0.7" top="0.75" bottom="0.75" header="0.3" footer="0.3"/>
  <x:tableParts count="1">
    <x:tablePart xmlns:r="http://schemas.openxmlformats.org/officeDocument/2006/relationships" r:id="Rc2281dd2f72b4ae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2" hidden="0" customWidth="1"/>
    <x:col min="2" max="2" width="28" hidden="0" customWidth="1"/>
    <x:col min="3" max="3" width="28" hidden="0" customWidth="1"/>
    <x:col min="4" max="4" width="18" hidden="0" customWidth="1"/>
    <x:col min="5" max="5" width="18" hidden="0" customWidth="1"/>
    <x:col min="6" max="6" width="52" hidden="0" customWidth="1"/>
    <x:col min="7" max="7" width="18" hidden="0" customWidth="1"/>
    <x:col min="8" max="8" width="18" hidden="0" customWidth="1"/>
    <x:col min="9" max="9" width="58" hidden="0" customWidth="1"/>
    <x:col min="10" max="10" width="58" hidden="0" customWidth="1"/>
    <x:col min="11" max="11" width="18" hidden="0" customWidth="1"/>
  </x:cols>
  <x:sheetData>
    <x:row r="1" ht="34" customHeight="1">
      <x:c r="A1" s="3" t="str">
        <x:v>Candidate Audit / Έλεγχος επεκτάσεων</x:v>
      </x:c>
      <x:c r="B1" s="3"/>
      <x:c r="C1" s="3"/>
      <x:c r="D1" s="3"/>
      <x:c r="E1" s="3"/>
      <x:c r="F1" s="3"/>
      <x:c r="G1" s="3"/>
      <x:c r="H1" s="3"/>
      <x:c r="I1" s="3"/>
      <x:c r="J1" s="3"/>
      <x:c r="K1" s="3"/>
    </x:row>
    <x:row r="2" ht="28" customHeight="1">
      <x:c r="A2" s="8" t="str">
        <x:v>Material omissions are recorded here. Deferred candidates are not silently inserted with incomplete chronology, geometry or bilingual evidence.</x:v>
      </x:c>
      <x:c r="B2" s="8"/>
      <x:c r="C2" s="8"/>
      <x:c r="D2" s="8"/>
      <x:c r="E2" s="8"/>
      <x:c r="F2" s="8"/>
      <x:c r="G2" s="8"/>
      <x:c r="H2" s="8"/>
      <x:c r="I2" s="8"/>
      <x:c r="J2" s="8"/>
      <x:c r="K2" s="8"/>
    </x:row>
    <x:row r="4" ht="30" customHeight="1">
      <x:c r="A4" s="13" t="str">
        <x:v>candidate_id</x:v>
      </x:c>
      <x:c r="B4" s="13" t="str">
        <x:v>name_el</x:v>
      </x:c>
      <x:c r="C4" s="13" t="str">
        <x:v>name_en</x:v>
      </x:c>
      <x:c r="D4" s="13" t="str">
        <x:v>entity_class</x:v>
      </x:c>
      <x:c r="E4" s="13" t="str">
        <x:v>collection</x:v>
      </x:c>
      <x:c r="F4" s="13" t="str">
        <x:v>authoritative_source</x:v>
      </x:c>
      <x:c r="G4" s="13" t="str">
        <x:v>external_identifier</x:v>
      </x:c>
      <x:c r="H4" s="13" t="str">
        <x:v>decision</x:v>
      </x:c>
      <x:c r="I4" s="13" t="str">
        <x:v>reason_el</x:v>
      </x:c>
      <x:c r="J4" s="13" t="str">
        <x:v>reason_en</x:v>
      </x:c>
      <x:c r="K4" s="13" t="str">
        <x:v>reviewed_on</x:v>
      </x:c>
    </x:row>
    <x:row r="5" ht="68" customHeight="1">
      <x:c r="A5" s="14" t="str">
        <x:v>candidate-delphi-settlement</x:v>
      </x:c>
      <x:c r="B5" s="14" t="str">
        <x:v>Δελφοί</x:v>
      </x:c>
      <x:c r="C5" s="14" t="str">
        <x:v>Delphi</x:v>
      </x:c>
      <x:c r="D5" s="14" t="str">
        <x:v>settlement</x:v>
      </x:c>
      <x:c r="E5" s="14" t="str">
        <x:v>city</x:v>
      </x:c>
      <x:c r="F5" s="14" t="str">
        <x:v>https://pleiades.stoa.org/places/540726</x:v>
      </x:c>
      <x:c r="G5" s="14" t="str">
        <x:v>pleiades:540726</x:v>
      </x:c>
      <x:c r="H5" s="14" t="str">
        <x:v>defer</x:v>
      </x:c>
      <x:c r="I5" s="16" t="str">
        <x:v>Η εγγραφή Pleiades συνδυάζει ιερό και οικισμό· απαιτείται διαχωρισμός από τις δύο υπάρχουσες εγγραφές ιερών πριν από ένταξη.</x:v>
      </x:c>
      <x:c r="J5" s="16" t="str">
        <x:v>The Pleiades record combines sanctuary and settlement; it must be disentangled from the two existing sanctuary records before inclusion.</x:v>
      </x:c>
      <x:c r="K5" s="17" t="n">
        <x:v>46249</x:v>
      </x:c>
    </x:row>
    <x:row r="6" ht="68" customHeight="1">
      <x:c r="A6" s="14" t="str">
        <x:v>candidate-mycenae-settlement</x:v>
      </x:c>
      <x:c r="B6" s="14" t="str">
        <x:v>Μυκήνες</x:v>
      </x:c>
      <x:c r="C6" s="14" t="str">
        <x:v>Mycenae</x:v>
      </x:c>
      <x:c r="D6" s="14" t="str">
        <x:v>settlement</x:v>
      </x:c>
      <x:c r="E6" s="14" t="str">
        <x:v>city</x:v>
      </x:c>
      <x:c r="F6" s="14" t="str">
        <x:v>https://pleiades.stoa.org/places/570491</x:v>
      </x:c>
      <x:c r="G6" s="14" t="str">
        <x:v>pleiades:570491</x:v>
      </x:c>
      <x:c r="H6" s="14" t="str">
        <x:v>defer</x:v>
      </x:c>
      <x:c r="I6" s="16" t="str">
        <x:v>Λείπει ως οικισμός αλλά υπάρχει παλατιακή πολιτεία· χρειάζεται ανεξάρτητη χρονολόγηση κατοίκησης και αποφυγή διπλομέτρησης.</x:v>
      </x:c>
      <x:c r="J6" s="16" t="str">
        <x:v>Missing as a settlement but present as a palatial polity; inclusion needs an independent occupation chronology and duplicate-control.</x:v>
      </x:c>
      <x:c r="K6" s="17" t="n">
        <x:v>46249</x:v>
      </x:c>
    </x:row>
    <x:row r="7" ht="68" customHeight="1">
      <x:c r="A7" s="14" t="str">
        <x:v>candidate-tiryns-settlement</x:v>
      </x:c>
      <x:c r="B7" s="14" t="str">
        <x:v>Τίρυνθα</x:v>
      </x:c>
      <x:c r="C7" s="14" t="str">
        <x:v>Tiryns</x:v>
      </x:c>
      <x:c r="D7" s="14" t="str">
        <x:v>settlement</x:v>
      </x:c>
      <x:c r="E7" s="14" t="str">
        <x:v>city</x:v>
      </x:c>
      <x:c r="F7" s="14" t="str">
        <x:v>https://pleiades.stoa.org/places/570740</x:v>
      </x:c>
      <x:c r="G7" s="14" t="str">
        <x:v>pleiades:570740</x:v>
      </x:c>
      <x:c r="H7" s="14" t="str">
        <x:v>defer</x:v>
      </x:c>
      <x:c r="I7" s="16" t="str">
        <x:v>Λείπει ως οικισμός αλλά υπάρχει παλατιακή πολιτεία· χρειάζεται χωριστή τεκμηρίωση της μετανακτορικής κατοίκησης.</x:v>
      </x:c>
      <x:c r="J7" s="16" t="str">
        <x:v>Missing as a settlement but present as a palatial polity; post-palatial occupation requires separate documentation.</x:v>
      </x:c>
      <x:c r="K7" s="17" t="n">
        <x:v>46249</x:v>
      </x:c>
    </x:row>
    <x:row r="8" ht="68" customHeight="1">
      <x:c r="A8" s="14" t="str">
        <x:v>candidate-thasos</x:v>
      </x:c>
      <x:c r="B8" s="14" t="str">
        <x:v>Θάσος</x:v>
      </x:c>
      <x:c r="C8" s="14" t="str">
        <x:v>Thasos</x:v>
      </x:c>
      <x:c r="D8" s="14" t="str">
        <x:v>settlement</x:v>
      </x:c>
      <x:c r="E8" s="14" t="str">
        <x:v>colony</x:v>
      </x:c>
      <x:c r="F8" s="14" t="str">
        <x:v>https://pleiades.stoa.org/places/501634</x:v>
      </x:c>
      <x:c r="G8" s="14" t="str">
        <x:v>pleiades:501634</x:v>
      </x:c>
      <x:c r="H8" s="14" t="str">
        <x:v>defer</x:v>
      </x:c>
      <x:c r="I8" s="16" t="str">
        <x:v>Σημαντική παριανή αποικία και ουσιώδης μελλοντική προσθήκη· απαιτούνται πλήρη δίγλωσσα και χρονολογικά πεδία.</x:v>
      </x:c>
      <x:c r="J8" s="16" t="str">
        <x:v>A major Parian colony and material future addition; complete bilingual and chronological fields are required.</x:v>
      </x:c>
      <x:c r="K8" s="17" t="n">
        <x:v>46249</x:v>
      </x:c>
    </x:row>
    <x:row r="9" ht="68" customHeight="1">
      <x:c r="A9" s="14" t="str">
        <x:v>candidate-abdera</x:v>
      </x:c>
      <x:c r="B9" s="14" t="str">
        <x:v>Άβδηρα</x:v>
      </x:c>
      <x:c r="C9" s="14" t="str">
        <x:v>Abdera</x:v>
      </x:c>
      <x:c r="D9" s="14" t="str">
        <x:v>settlement</x:v>
      </x:c>
      <x:c r="E9" s="14" t="str">
        <x:v>colony</x:v>
      </x:c>
      <x:c r="F9" s="14" t="str">
        <x:v>https://pleiades.stoa.org/places/501323</x:v>
      </x:c>
      <x:c r="G9" s="14" t="str">
        <x:v>pleiades:501323</x:v>
      </x:c>
      <x:c r="H9" s="14" t="str">
        <x:v>defer</x:v>
      </x:c>
      <x:c r="I9" s="16" t="str">
        <x:v>Σημαντική αποικία που πρέπει να ενταχθεί σε ελεγχόμενη επέκταση μαζί με σχέσεις μητρόπολης και επανίδρυσης.</x:v>
      </x:c>
      <x:c r="J9" s="16" t="str">
        <x:v>A major colony to add in a controlled expansion together with metropolis and refoundation relationships.</x:v>
      </x:c>
      <x:c r="K9" s="17" t="n">
        <x:v>46249</x:v>
      </x:c>
    </x:row>
    <x:row r="10" ht="68" customHeight="1">
      <x:c r="A10" s="14" t="str">
        <x:v>candidate-akanthos</x:v>
      </x:c>
      <x:c r="B10" s="14" t="str">
        <x:v>Άκανθος</x:v>
      </x:c>
      <x:c r="C10" s="14" t="str">
        <x:v>Akanthos</x:v>
      </x:c>
      <x:c r="D10" s="14" t="str">
        <x:v>settlement</x:v>
      </x:c>
      <x:c r="E10" s="14" t="str">
        <x:v>colony</x:v>
      </x:c>
      <x:c r="F10" s="14" t="str">
        <x:v>https://pleiades.stoa.org/places/501339</x:v>
      </x:c>
      <x:c r="G10" s="14" t="str">
        <x:v>pleiades:501339</x:v>
      </x:c>
      <x:c r="H10" s="14" t="str">
        <x:v>defer</x:v>
      </x:c>
      <x:c r="I10" s="16" t="str">
        <x:v>Υλική παράλειψη στη Χαλκιδική· απαιτείται τεκμηρίωση ίδρυσης, διάρκειας και νεότερων φάσεων.</x:v>
      </x:c>
      <x:c r="J10" s="16" t="str">
        <x:v>A material omission in Chalkidike; foundation, duration and later phases require documentation.</x:v>
      </x:c>
      <x:c r="K10" s="17" t="n">
        <x:v>46249</x:v>
      </x:c>
    </x:row>
    <x:row r="11" ht="68" customHeight="1">
      <x:c r="A11" s="14" t="str">
        <x:v>candidate-stageira</x:v>
      </x:c>
      <x:c r="B11" s="14" t="str">
        <x:v>Στάγειρα</x:v>
      </x:c>
      <x:c r="C11" s="14" t="str">
        <x:v>Stageira</x:v>
      </x:c>
      <x:c r="D11" s="14" t="str">
        <x:v>settlement</x:v>
      </x:c>
      <x:c r="E11" s="14" t="str">
        <x:v>city</x:v>
      </x:c>
      <x:c r="F11" s="14" t="str">
        <x:v>https://pleiades.stoa.org/places/501625</x:v>
      </x:c>
      <x:c r="G11" s="14" t="str">
        <x:v>pleiades:501625</x:v>
      </x:c>
      <x:c r="H11" s="14" t="str">
        <x:v>defer</x:v>
      </x:c>
      <x:c r="I11" s="16" t="str">
        <x:v>Σημαντική πόλη και αρχαιολογικός τόπος· θα προστεθεί μόνο με πλήρη πηγή χρονολόγησης και ονομασιών.</x:v>
      </x:c>
      <x:c r="J11" s="16" t="str">
        <x:v>An important city and archaeological site; add only with complete chronology and name sourcing.</x:v>
      </x:c>
      <x:c r="K11" s="17" t="n">
        <x:v>46249</x:v>
      </x:c>
    </x:row>
    <x:row r="12" ht="68" customHeight="1">
      <x:c r="A12" s="14" t="str">
        <x:v>candidate-poteidaia</x:v>
      </x:c>
      <x:c r="B12" s="14" t="str">
        <x:v>Ποτείδαια</x:v>
      </x:c>
      <x:c r="C12" s="14" t="str">
        <x:v>Poteidaia / Kassandreia</x:v>
      </x:c>
      <x:c r="D12" s="14" t="str">
        <x:v>settlement</x:v>
      </x:c>
      <x:c r="E12" s="14" t="str">
        <x:v>colony</x:v>
      </x:c>
      <x:c r="F12" s="14" t="str">
        <x:v>https://pleiades.stoa.org/places/491701</x:v>
      </x:c>
      <x:c r="G12" s="14" t="str">
        <x:v>pleiades:491701</x:v>
      </x:c>
      <x:c r="H12" s="14" t="str">
        <x:v>defer</x:v>
      </x:c>
      <x:c r="I12" s="16" t="str">
        <x:v>Η αποικιακή Ποτείδαια και η μεταγενέστερη Κασσάνδρεια χρειάζονται χωριστές ή ρητά φασικές εγγραφές.</x:v>
      </x:c>
      <x:c r="J12" s="16" t="str">
        <x:v>Colonial Poteidaia and later Kassandreia require separate or explicitly phased records.</x:v>
      </x:c>
      <x:c r="K12" s="17" t="n">
        <x:v>46249</x:v>
      </x:c>
    </x:row>
    <x:row r="13" ht="68" customHeight="1">
      <x:c r="A13" s="14" t="str">
        <x:v>candidate-palaipaphos</x:v>
      </x:c>
      <x:c r="B13" s="14" t="str">
        <x:v>Παλαίπαφος</x:v>
      </x:c>
      <x:c r="C13" s="14" t="str">
        <x:v>PalaiPaphos</x:v>
      </x:c>
      <x:c r="D13" s="14" t="str">
        <x:v>settlement</x:v>
      </x:c>
      <x:c r="E13" s="14" t="str">
        <x:v>city</x:v>
      </x:c>
      <x:c r="F13" s="14" t="str">
        <x:v>https://pleiades.stoa.org/places/707596</x:v>
      </x:c>
      <x:c r="G13" s="14" t="str">
        <x:v>pleiades:707596</x:v>
      </x:c>
      <x:c r="H13" s="14" t="str">
        <x:v>defer</x:v>
      </x:c>
      <x:c r="I13" s="16" t="str">
        <x:v>Υπάρχουν ήδη πολιτειακή και ιερή εγγραφή· ο οικισμός πρέπει να προστεθεί χωρίς να συγχέονται οι τρεις οντότητες.</x:v>
      </x:c>
      <x:c r="J13" s="16" t="str">
        <x:v>Polity and sanctuary records already exist; add the settlement without conflating the three entities.</x:v>
      </x:c>
      <x:c r="K13" s="17" t="n">
        <x:v>46249</x:v>
      </x:c>
    </x:row>
    <x:row r="14" ht="68" customHeight="1">
      <x:c r="A14" s="14" t="str">
        <x:v>candidate-nea-paphos</x:v>
      </x:c>
      <x:c r="B14" s="14" t="str">
        <x:v>Νέα Πάφος</x:v>
      </x:c>
      <x:c r="C14" s="14" t="str">
        <x:v>Nea Paphos</x:v>
      </x:c>
      <x:c r="D14" s="14" t="str">
        <x:v>settlement</x:v>
      </x:c>
      <x:c r="E14" s="14" t="str">
        <x:v>city</x:v>
      </x:c>
      <x:c r="F14" s="14" t="str">
        <x:v>https://pleiades.stoa.org/places/707586</x:v>
      </x:c>
      <x:c r="G14" s="14" t="str">
        <x:v>pleiades:707586</x:v>
      </x:c>
      <x:c r="H14" s="14" t="str">
        <x:v>defer</x:v>
      </x:c>
      <x:c r="I14" s="16" t="str">
        <x:v>Απαιτείται σαφής διάκριση από την Παλαίπαφο και τεκμηρίωση της μεταφοράς του αστικού κέντρου.</x:v>
      </x:c>
      <x:c r="J14" s="16" t="str">
        <x:v>Requires clear distinction from PalaiPaphos and documentation of the transfer of the urban centre.</x:v>
      </x:c>
      <x:c r="K14" s="17" t="n">
        <x:v>46249</x:v>
      </x:c>
    </x:row>
    <x:row r="15" ht="68" customHeight="1">
      <x:c r="A15" s="14" t="str">
        <x:v>candidate-sardis</x:v>
      </x:c>
      <x:c r="B15" s="14" t="str">
        <x:v>Σάρδεις</x:v>
      </x:c>
      <x:c r="C15" s="14" t="str">
        <x:v>Sardis</x:v>
      </x:c>
      <x:c r="D15" s="14" t="str">
        <x:v>settlement</x:v>
      </x:c>
      <x:c r="E15" s="14" t="str">
        <x:v>city</x:v>
      </x:c>
      <x:c r="F15" s="14" t="str">
        <x:v>https://pleiades.stoa.org/places/550867</x:v>
      </x:c>
      <x:c r="G15" s="14" t="str">
        <x:v>pleiades:550867</x:v>
      </x:c>
      <x:c r="H15" s="14" t="str">
        <x:v>defer</x:v>
      </x:c>
      <x:c r="I15" s="16" t="str">
        <x:v>Σημαντική μη ελληνική και κατόπιν ελληνιστική πόλη· χρειάζεται σαφές κριτήριο ένταξης στον ελληνικό κόσμο και πολυφασική χρονολόγηση.</x:v>
      </x:c>
      <x:c r="J15" s="16" t="str">
        <x:v>A major non-Greek and later Hellenistic city; inclusion needs an explicit Greek-world criterion and multi-phase chronology.</x:v>
      </x:c>
      <x:c r="K15" s="17" t="n">
        <x:v>46249</x:v>
      </x:c>
    </x:row>
    <x:row r="16" ht="68" customHeight="1">
      <x:c r="A16" s="14" t="str">
        <x:v>candidate-hierapolis</x:v>
      </x:c>
      <x:c r="B16" s="14" t="str">
        <x:v>Ιεράπολις</x:v>
      </x:c>
      <x:c r="C16" s="14" t="str">
        <x:v>Hierapolis</x:v>
      </x:c>
      <x:c r="D16" s="14" t="str">
        <x:v>settlement</x:v>
      </x:c>
      <x:c r="E16" s="14" t="str">
        <x:v>city</x:v>
      </x:c>
      <x:c r="F16" s="14" t="str">
        <x:v>https://pleiades.stoa.org/places/638860</x:v>
      </x:c>
      <x:c r="G16" s="14" t="str">
        <x:v>pleiades:638860</x:v>
      </x:c>
      <x:c r="H16" s="14" t="str">
        <x:v>defer</x:v>
      </x:c>
      <x:c r="I16" s="16" t="str">
        <x:v>Υπάρχει ήδη το Πλουτώνιο· η πόλη απαιτεί ανεξάρτητη εγγραφή και αποφυγή συγχώνευσης με το ιερό.</x:v>
      </x:c>
      <x:c r="J16" s="16" t="str">
        <x:v>The Ploutonion already exists; the city needs an independent record without merging it with the sanctuary.</x:v>
      </x:c>
      <x:c r="K16" s="17" t="n">
        <x:v>46249</x:v>
      </x:c>
    </x:row>
    <x:row r="17" ht="68" customHeight="1">
      <x:c r="A17" s="14" t="str">
        <x:v>candidate-segesta</x:v>
      </x:c>
      <x:c r="B17" s="14" t="str">
        <x:v>Έγεστα</x:v>
      </x:c>
      <x:c r="C17" s="14" t="str">
        <x:v>Segesta / Egesta</x:v>
      </x:c>
      <x:c r="D17" s="14" t="str">
        <x:v>settlement</x:v>
      </x:c>
      <x:c r="E17" s="14" t="str">
        <x:v>city</x:v>
      </x:c>
      <x:c r="F17" s="14" t="str">
        <x:v>https://pleiades.stoa.org/places/462487</x:v>
      </x:c>
      <x:c r="G17" s="14" t="str">
        <x:v>pleiades:462487</x:v>
      </x:c>
      <x:c r="H17" s="14" t="str">
        <x:v>defer</x:v>
      </x:c>
      <x:c r="I17" s="16" t="str">
        <x:v>Υπάρχει ήδη ο δωρικός ναός· η ελυμική πόλη χρειάζεται χωριστή εγγραφή και ρητή αιτιολόγηση της ελληνικής πολιτισμικής συνάφειας.</x:v>
      </x:c>
      <x:c r="J17" s="16" t="str">
        <x:v>The Doric temple already exists; the Elymian city needs a separate record and explicit rationale for Greek-cultural relevance.</x:v>
      </x:c>
      <x:c r="K17" s="17" t="n">
        <x:v>46249</x:v>
      </x:c>
    </x:row>
    <x:row r="18" ht="68" customHeight="1">
      <x:c r="A18" s="14" t="str">
        <x:v>candidate-dodona-settlement</x:v>
      </x:c>
      <x:c r="B18" s="14" t="str">
        <x:v>Δωδώνη</x:v>
      </x:c>
      <x:c r="C18" s="14" t="str">
        <x:v>Dodona</x:v>
      </x:c>
      <x:c r="D18" s="14" t="str">
        <x:v>settlement</x:v>
      </x:c>
      <x:c r="E18" s="14" t="str">
        <x:v>city</x:v>
      </x:c>
      <x:c r="F18" s="14" t="str">
        <x:v>https://pleiades.stoa.org/places/530843</x:v>
      </x:c>
      <x:c r="G18" s="14" t="str">
        <x:v>pleiades:530843</x:v>
      </x:c>
      <x:c r="H18" s="14" t="str">
        <x:v>defer</x:v>
      </x:c>
      <x:c r="I18" s="16" t="str">
        <x:v>Το μαντείο υπάρχει ήδη· η οικιστική και πολιτειακή διάσταση χρειάζεται χωριστή τεκμηρίωση.</x:v>
      </x:c>
      <x:c r="J18" s="16" t="str">
        <x:v>The oracle already exists; settlement and civic dimensions require separate documentation.</x:v>
      </x:c>
      <x:c r="K18" s="17" t="n">
        <x:v>46249</x:v>
      </x:c>
    </x:row>
    <x:row r="19" ht="68" customHeight="1">
      <x:c r="A19" s="14" t="str">
        <x:v>candidate-olympia-settlement</x:v>
      </x:c>
      <x:c r="B19" s="14" t="str">
        <x:v>Ολυμπία ως οικισμός</x:v>
      </x:c>
      <x:c r="C19" s="14" t="str">
        <x:v>Olympia as settlement</x:v>
      </x:c>
      <x:c r="D19" s="14" t="str">
        <x:v>settlement</x:v>
      </x:c>
      <x:c r="E19" s="14" t="str">
        <x:v>city</x:v>
      </x:c>
      <x:c r="F19" s="14" t="str">
        <x:v>https://pleiades.stoa.org/places/570531</x:v>
      </x:c>
      <x:c r="G19" s="14" t="str">
        <x:v>pleiades:570531</x:v>
      </x:c>
      <x:c r="H19" s="14" t="str">
        <x:v>exclude</x:v>
      </x:c>
      <x:c r="I19" s="16" t="str">
        <x:v>Η αυθεντική εγγραφή ταξινομεί την Ολυμπία ως ιερό και αρχαιολογικό τόπο· δεν δημιουργείται τεχνητή πόλη.</x:v>
      </x:c>
      <x:c r="J19" s="16" t="str">
        <x:v>The authority record classifies Olympia as a sanctuary and archaeological site; no artificial city entity is created.</x:v>
      </x:c>
      <x:c r="K19" s="17" t="n">
        <x:v>46249</x:v>
      </x:c>
    </x:row>
  </x:sheetData>
  <x:mergeCells>
    <x:mergeCell ref="A1:K1"/>
    <x:mergeCell ref="A2:K2"/>
  </x:mergeCells>
  <x:pageMargins left="0.7" right="0.7" top="0.75" bottom="0.75" header="0.3" footer="0.3"/>
  <x:tableParts count="1">
    <x:tablePart xmlns:r="http://schemas.openxmlformats.org/officeDocument/2006/relationships" r:id="R38b05253553d4139"/>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30" hidden="0" customWidth="1"/>
    <x:col min="4" max="4" width="30" hidden="0" customWidth="1"/>
    <x:col min="5" max="5" width="52" hidden="0" customWidth="1"/>
    <x:col min="6" max="6" width="52" hidden="0" customWidth="1"/>
    <x:col min="7" max="7" width="18" hidden="0" customWidth="1"/>
  </x:cols>
  <x:sheetData>
    <x:row r="1" ht="34" customHeight="1">
      <x:c r="A1" s="3" t="str">
        <x:v>Controlled Vocabularies / Ελεγχόμενα λεξιλόγια</x:v>
      </x:c>
      <x:c r="B1" s="3"/>
      <x:c r="C1" s="3"/>
      <x:c r="D1" s="3"/>
      <x:c r="E1" s="3"/>
      <x:c r="F1" s="3"/>
      <x:c r="G1" s="3"/>
    </x:row>
    <x:row r="2" ht="28" customHeight="1">
      <x:c r="A2" s="8" t="str">
        <x:v>Machine-readable codes with bilingual labels and definitions. Changes require a deliberate schema/version update.</x:v>
      </x:c>
      <x:c r="B2" s="8"/>
      <x:c r="C2" s="8"/>
      <x:c r="D2" s="8"/>
      <x:c r="E2" s="8"/>
      <x:c r="F2" s="8"/>
      <x:c r="G2" s="8"/>
    </x:row>
    <x:row r="4" ht="30" customHeight="1">
      <x:c r="A4" s="13" t="str">
        <x:v>vocabulary</x:v>
      </x:c>
      <x:c r="B4" s="13" t="str">
        <x:v>code</x:v>
      </x:c>
      <x:c r="C4" s="13" t="str">
        <x:v>label_el</x:v>
      </x:c>
      <x:c r="D4" s="13" t="str">
        <x:v>label_en</x:v>
      </x:c>
      <x:c r="E4" s="13" t="str">
        <x:v>definition_el</x:v>
      </x:c>
      <x:c r="F4" s="13" t="str">
        <x:v>definition_en</x:v>
      </x:c>
      <x:c r="G4" s="13" t="str">
        <x:v>sort_order</x:v>
      </x:c>
    </x:row>
    <x:row r="5" ht="42" customHeight="1">
      <x:c r="A5" s="14" t="str">
        <x:v>authority_types</x:v>
      </x:c>
      <x:c r="B5" s="14" t="str">
        <x:v>ancient_region</x:v>
      </x:c>
      <x:c r="C5" s="16" t="str">
        <x:v>Αρχαία περιοχή</x:v>
      </x:c>
      <x:c r="D5" s="16" t="str">
        <x:v>Ancient region</x:v>
      </x:c>
      <x:c r="E5" s="14" t="str">
        <x:v>Ιστορική γεωγραφική περιοχή</x:v>
      </x:c>
      <x:c r="F5" s="14" t="str">
        <x:v>Historical geographic region</x:v>
      </x:c>
      <x:c r="G5" s="21" t="n">
        <x:v>10</x:v>
      </x:c>
    </x:row>
    <x:row r="6" ht="42" customHeight="1">
      <x:c r="A6" s="14" t="str">
        <x:v>authority_types</x:v>
      </x:c>
      <x:c r="B6" s="14" t="str">
        <x:v>deity_or_cult</x:v>
      </x:c>
      <x:c r="C6" s="16" t="str">
        <x:v>Θεότητα ή λατρεία</x:v>
      </x:c>
      <x:c r="D6" s="16" t="str">
        <x:v>Deity or cult</x:v>
      </x:c>
      <x:c r="E6" s="14" t="str">
        <x:v>Θεότητα επίκληση ή λατρευτική παράδοση</x:v>
      </x:c>
      <x:c r="F6" s="14" t="str">
        <x:v>Deity epithet or cult tradition</x:v>
      </x:c>
      <x:c r="G6" s="21" t="n">
        <x:v>20</x:v>
      </x:c>
    </x:row>
    <x:row r="7" ht="42" customHeight="1">
      <x:c r="A7" s="14" t="str">
        <x:v>authority_types</x:v>
      </x:c>
      <x:c r="B7" s="14" t="str">
        <x:v>dynasty</x:v>
      </x:c>
      <x:c r="C7" s="16" t="str">
        <x:v>Δυναστεία</x:v>
      </x:c>
      <x:c r="D7" s="16" t="str">
        <x:v>Dynasty</x:v>
      </x:c>
      <x:c r="E7" s="14" t="str">
        <x:v>Ηγεμονικός οίκος ή δυναστική γραμμή</x:v>
      </x:c>
      <x:c r="F7" s="14" t="str">
        <x:v>Ruling house or dynastic line</x:v>
      </x:c>
      <x:c r="G7" s="21" t="n">
        <x:v>30</x:v>
      </x:c>
    </x:row>
    <x:row r="8" ht="42" customHeight="1">
      <x:c r="A8" s="14" t="str">
        <x:v>authority_types</x:v>
      </x:c>
      <x:c r="B8" s="14" t="str">
        <x:v>settlement</x:v>
      </x:c>
      <x:c r="C8" s="16" t="str">
        <x:v>Οικισμός</x:v>
      </x:c>
      <x:c r="D8" s="16" t="str">
        <x:v>Settlement</x:v>
      </x:c>
      <x:c r="E8" s="14" t="str">
        <x:v>Εξωτερικός οικισμός που χρησιμοποιείται ως στόχος σχέσης</x:v>
      </x:c>
      <x:c r="F8" s="14" t="str">
        <x:v>External settlement used as a relationship target</x:v>
      </x:c>
      <x:c r="G8" s="21" t="n">
        <x:v>40</x:v>
      </x:c>
    </x:row>
    <x:row r="9" ht="42" customHeight="1">
      <x:c r="A9" s="14" t="str">
        <x:v>authority_types</x:v>
      </x:c>
      <x:c r="B9" s="14" t="str">
        <x:v>polity</x:v>
      </x:c>
      <x:c r="C9" s="16" t="str">
        <x:v>Πολιτική οντότητα</x:v>
      </x:c>
      <x:c r="D9" s="16" t="str">
        <x:v>Polity</x:v>
      </x:c>
      <x:c r="E9" s="14" t="str">
        <x:v>Εξωτερική πολιτική οντότητα που χρησιμοποιείται ως στόχος σχέσης</x:v>
      </x:c>
      <x:c r="F9" s="14" t="str">
        <x:v>External polity used as a relationship target</x:v>
      </x:c>
      <x:c r="G9" s="21" t="n">
        <x:v>50</x:v>
      </x:c>
    </x:row>
    <x:row r="10" ht="42" customHeight="1">
      <x:c r="A10" s="14" t="str">
        <x:v>authority_types</x:v>
      </x:c>
      <x:c r="B10" s="14" t="str">
        <x:v>geographic_region</x:v>
      </x:c>
      <x:c r="C10" s="16" t="str">
        <x:v>Γεωγραφική περιοχή</x:v>
      </x:c>
      <x:c r="D10" s="16" t="str">
        <x:v>Geographic region</x:v>
      </x:c>
      <x:c r="E10" s="14" t="str">
        <x:v>Μη πολιτική γεωγραφική ενότητα</x:v>
      </x:c>
      <x:c r="F10" s="14" t="str">
        <x:v>Non-political geographic unit</x:v>
      </x:c>
      <x:c r="G10" s="21" t="n">
        <x:v>60</x:v>
      </x:c>
    </x:row>
    <x:row r="11" ht="42" customHeight="1">
      <x:c r="A11" s="14" t="str">
        <x:v>certainty_terms</x:v>
      </x:c>
      <x:c r="B11" s="14" t="str">
        <x:v>high</x:v>
      </x:c>
      <x:c r="C11" s="16" t="str">
        <x:v>Υψηλή</x:v>
      </x:c>
      <x:c r="D11" s="16" t="str">
        <x:v>High</x:v>
      </x:c>
      <x:c r="E11" s="14" t="str">
        <x:v>Ισχυρή τεκμηρίωση για την απόδοση</x:v>
      </x:c>
      <x:c r="F11" s="14" t="str">
        <x:v>Strong support for the assertion</x:v>
      </x:c>
      <x:c r="G11" s="21" t="n">
        <x:v>10</x:v>
      </x:c>
    </x:row>
    <x:row r="12" ht="42" customHeight="1">
      <x:c r="A12" s="14" t="str">
        <x:v>certainty_terms</x:v>
      </x:c>
      <x:c r="B12" s="14" t="str">
        <x:v>medium</x:v>
      </x:c>
      <x:c r="C12" s="16" t="str">
        <x:v>Μέση</x:v>
      </x:c>
      <x:c r="D12" s="16" t="str">
        <x:v>Medium</x:v>
      </x:c>
      <x:c r="E12" s="14" t="str">
        <x:v>Επαρκής αλλά όχι οριστική τεκμηρίωση</x:v>
      </x:c>
      <x:c r="F12" s="14" t="str">
        <x:v>Adequate but not conclusive support</x:v>
      </x:c>
      <x:c r="G12" s="21" t="n">
        <x:v>20</x:v>
      </x:c>
    </x:row>
    <x:row r="13" ht="42" customHeight="1">
      <x:c r="A13" s="14" t="str">
        <x:v>certainty_terms</x:v>
      </x:c>
      <x:c r="B13" s="14" t="str">
        <x:v>low</x:v>
      </x:c>
      <x:c r="C13" s="16" t="str">
        <x:v>Χαμηλή</x:v>
      </x:c>
      <x:c r="D13" s="16" t="str">
        <x:v>Low</x:v>
      </x:c>
      <x:c r="E13" s="14" t="str">
        <x:v>Περιορισμένη τεκμηρίωση ή ισχυρή επιφύλαξη</x:v>
      </x:c>
      <x:c r="F13" s="14" t="str">
        <x:v>Limited support or substantial reservation</x:v>
      </x:c>
      <x:c r="G13" s="21" t="n">
        <x:v>30</x:v>
      </x:c>
    </x:row>
    <x:row r="14" ht="42" customHeight="1">
      <x:c r="A14" s="14" t="str">
        <x:v>certainty_terms</x:v>
      </x:c>
      <x:c r="B14" s="14" t="str">
        <x:v>disputed</x:v>
      </x:c>
      <x:c r="C14" s="16" t="str">
        <x:v>Αμφισβητούμενη</x:v>
      </x:c>
      <x:c r="D14" s="16" t="str">
        <x:v>Disputed</x:v>
      </x:c>
      <x:c r="E14" s="14" t="str">
        <x:v>Υπάρχουν ανταγωνιστικές επιστημονικές ερμηνείες</x:v>
      </x:c>
      <x:c r="F14" s="14" t="str">
        <x:v>Competing scholarly interpretations exist</x:v>
      </x:c>
      <x:c r="G14" s="21" t="n">
        <x:v>40</x:v>
      </x:c>
    </x:row>
    <x:row r="15" ht="42" customHeight="1">
      <x:c r="A15" s="14" t="str">
        <x:v>certainty_terms</x:v>
      </x:c>
      <x:c r="B15" s="14" t="str">
        <x:v>unknown</x:v>
      </x:c>
      <x:c r="C15" s="16" t="str">
        <x:v>Άγνωστη</x:v>
      </x:c>
      <x:c r="D15" s="16" t="str">
        <x:v>Unknown</x:v>
      </x:c>
      <x:c r="E15" s="14" t="str">
        <x:v>Η βεβαιότητα δεν έχει αξιολογηθεί</x:v>
      </x:c>
      <x:c r="F15" s="14" t="str">
        <x:v>Certainty has not been assessed</x:v>
      </x:c>
      <x:c r="G15" s="21" t="n">
        <x:v>99</x:v>
      </x:c>
    </x:row>
    <x:row r="16" ht="42" customHeight="1">
      <x:c r="A16" s="14" t="str">
        <x:v>chronology_bases</x:v>
      </x:c>
      <x:c r="B16" s="14" t="str">
        <x:v>occupation_window</x:v>
      </x:c>
      <x:c r="C16" s="16" t="str">
        <x:v>Περίοδος κατοίκησης</x:v>
      </x:c>
      <x:c r="D16" s="16" t="str">
        <x:v>Occupation window</x:v>
      </x:c>
      <x:c r="E16" s="14" t="str">
        <x:v>Χρονικό εύρος τεκμηριωμένης κατοίκησης</x:v>
      </x:c>
      <x:c r="F16" s="14" t="str">
        <x:v>Span of attested occupation</x:v>
      </x:c>
      <x:c r="G16" s="21" t="n">
        <x:v>10</x:v>
      </x:c>
    </x:row>
    <x:row r="17" ht="42" customHeight="1">
      <x:c r="A17" s="14" t="str">
        <x:v>chronology_bases</x:v>
      </x:c>
      <x:c r="B17" s="14" t="str">
        <x:v>cult_activity_window</x:v>
      </x:c>
      <x:c r="C17" s="16" t="str">
        <x:v>Περίοδος λατρευτικής δραστηριότητας</x:v>
      </x:c>
      <x:c r="D17" s="16" t="str">
        <x:v>Cult activity window</x:v>
      </x:c>
      <x:c r="E17" s="14" t="str">
        <x:v>Χρονικό εύρος τεκμηριωμένης λατρευτικής χρήσης</x:v>
      </x:c>
      <x:c r="F17" s="14" t="str">
        <x:v>Span of attested cult activity</x:v>
      </x:c>
      <x:c r="G17" s="21" t="n">
        <x:v>20</x:v>
      </x:c>
    </x:row>
    <x:row r="18" ht="42" customHeight="1">
      <x:c r="A18" s="14" t="str">
        <x:v>chronology_bases</x:v>
      </x:c>
      <x:c r="B18" s="14" t="str">
        <x:v>political_phase</x:v>
      </x:c>
      <x:c r="C18" s="16" t="str">
        <x:v>Πολιτική φάση</x:v>
      </x:c>
      <x:c r="D18" s="16" t="str">
        <x:v>Political phase</x:v>
      </x:c>
      <x:c r="E18" s="14" t="str">
        <x:v>Χρονικό εύρος πολιτικής οντότητας ή δυναστικής φάσης</x:v>
      </x:c>
      <x:c r="F18" s="14" t="str">
        <x:v>Span of a polity or dynastic phase</x:v>
      </x:c>
      <x:c r="G18" s="21" t="n">
        <x:v>30</x:v>
      </x:c>
    </x:row>
    <x:row r="19" ht="42" customHeight="1">
      <x:c r="A19" s="14" t="str">
        <x:v>chronology_bases</x:v>
      </x:c>
      <x:c r="B19" s="14" t="str">
        <x:v>foundation</x:v>
      </x:c>
      <x:c r="C19" s="16" t="str">
        <x:v>Ίδρυση</x:v>
      </x:c>
      <x:c r="D19" s="16" t="str">
        <x:v>Foundation</x:v>
      </x:c>
      <x:c r="E19" s="14" t="str">
        <x:v>Χρονολόγηση ιδρυτικού γεγονότος</x:v>
      </x:c>
      <x:c r="F19" s="14" t="str">
        <x:v>Dating of a foundation event</x:v>
      </x:c>
      <x:c r="G19" s="21" t="n">
        <x:v>40</x:v>
      </x:c>
    </x:row>
    <x:row r="20" ht="42" customHeight="1">
      <x:c r="A20" s="14" t="str">
        <x:v>chronology_bases</x:v>
      </x:c>
      <x:c r="B20" s="14" t="str">
        <x:v>construction_phase</x:v>
      </x:c>
      <x:c r="C20" s="16" t="str">
        <x:v>Οικοδομική φάση</x:v>
      </x:c>
      <x:c r="D20" s="16" t="str">
        <x:v>Construction phase</x:v>
      </x:c>
      <x:c r="E20" s="14" t="str">
        <x:v>Χρονολόγηση οικοδομικής φάσης</x:v>
      </x:c>
      <x:c r="F20" s="14" t="str">
        <x:v>Dating of a construction phase</x:v>
      </x:c>
      <x:c r="G20" s="21" t="n">
        <x:v>50</x:v>
      </x:c>
    </x:row>
    <x:row r="21" ht="42" customHeight="1">
      <x:c r="A21" s="14" t="str">
        <x:v>chronology_bases</x:v>
      </x:c>
      <x:c r="B21" s="14" t="str">
        <x:v>use_phase</x:v>
      </x:c>
      <x:c r="C21" s="16" t="str">
        <x:v>Φάση χρήσης</x:v>
      </x:c>
      <x:c r="D21" s="16" t="str">
        <x:v>Use phase</x:v>
      </x:c>
      <x:c r="E21" s="14" t="str">
        <x:v>Χρονολόγηση διακριτής φάσης χρήσης</x:v>
      </x:c>
      <x:c r="F21" s="14" t="str">
        <x:v>Dating of a distinct phase of use</x:v>
      </x:c>
      <x:c r="G21" s="21" t="n">
        <x:v>60</x:v>
      </x:c>
    </x:row>
    <x:row r="22" ht="42" customHeight="1">
      <x:c r="A22" s="14" t="str">
        <x:v>chronology_bases</x:v>
      </x:c>
      <x:c r="B22" s="14" t="str">
        <x:v>unknown</x:v>
      </x:c>
      <x:c r="C22" s="16" t="str">
        <x:v>Άγνωστη βάση</x:v>
      </x:c>
      <x:c r="D22" s="16" t="str">
        <x:v>Unknown basis</x:v>
      </x:c>
      <x:c r="E22" s="14" t="str">
        <x:v>Η βάση χρονολόγησης δεν έχει καθοριστεί</x:v>
      </x:c>
      <x:c r="F22" s="14" t="str">
        <x:v>The chronology basis has not been determined</x:v>
      </x:c>
      <x:c r="G22" s="21" t="n">
        <x:v>99</x:v>
      </x:c>
    </x:row>
    <x:row r="23" ht="42" customHeight="1">
      <x:c r="A23" s="14" t="str">
        <x:v>collection_types</x:v>
      </x:c>
      <x:c r="B23" s="14" t="str">
        <x:v>city</x:v>
      </x:c>
      <x:c r="C23" s="16" t="str">
        <x:v>Πόλεις</x:v>
      </x:c>
      <x:c r="D23" s="16" t="str">
        <x:v>Cities</x:v>
      </x:c>
      <x:c r="E23" s="14" t="str">
        <x:v>Επιμελητική συλλογή αρχαίων πόλεων</x:v>
      </x:c>
      <x:c r="F23" s="14" t="str">
        <x:v>Editorial collection of ancient cities</x:v>
      </x:c>
      <x:c r="G23" s="21" t="n">
        <x:v>10</x:v>
      </x:c>
    </x:row>
    <x:row r="24" ht="42" customHeight="1">
      <x:c r="A24" s="14" t="str">
        <x:v>collection_types</x:v>
      </x:c>
      <x:c r="B24" s="14" t="str">
        <x:v>colony</x:v>
      </x:c>
      <x:c r="C24" s="16" t="str">
        <x:v>Αποικίες</x:v>
      </x:c>
      <x:c r="D24" s="16" t="str">
        <x:v>Colonies</x:v>
      </x:c>
      <x:c r="E24" s="14" t="str">
        <x:v>Επιμελητική συλλογή αποικιακών ιδρύσεων και αποικιών</x:v>
      </x:c>
      <x:c r="F24" s="14" t="str">
        <x:v>Editorial collection of colonial foundations and colonies</x:v>
      </x:c>
      <x:c r="G24" s="21" t="n">
        <x:v>20</x:v>
      </x:c>
    </x:row>
    <x:row r="25" ht="42" customHeight="1">
      <x:c r="A25" s="14" t="str">
        <x:v>collection_types</x:v>
      </x:c>
      <x:c r="B25" s="14" t="str">
        <x:v>sanctuary</x:v>
      </x:c>
      <x:c r="C25" s="16" t="str">
        <x:v>Ιερά</x:v>
      </x:c>
      <x:c r="D25" s="16" t="str">
        <x:v>Sanctuaries</x:v>
      </x:c>
      <x:c r="E25" s="14" t="str">
        <x:v>Επιμελητική συλλογή ιερών</x:v>
      </x:c>
      <x:c r="F25" s="14" t="str">
        <x:v>Editorial collection of sanctuaries</x:v>
      </x:c>
      <x:c r="G25" s="21" t="n">
        <x:v>30</x:v>
      </x:c>
    </x:row>
    <x:row r="26" ht="42" customHeight="1">
      <x:c r="A26" s="14" t="str">
        <x:v>collection_types</x:v>
      </x:c>
      <x:c r="B26" s="14" t="str">
        <x:v>kingdom</x:v>
      </x:c>
      <x:c r="C26" s="16" t="str">
        <x:v>Βασίλεια και πολιτείες</x:v>
      </x:c>
      <x:c r="D26" s="16" t="str">
        <x:v>Kingdoms and polities</x:v>
      </x:c>
      <x:c r="E26" s="14" t="str">
        <x:v>Επιμελητική συλλογή πολιτικών οντοτήτων</x:v>
      </x:c>
      <x:c r="F26" s="14" t="str">
        <x:v>Editorial collection of political entities</x:v>
      </x:c>
      <x:c r="G26" s="21" t="n">
        <x:v>40</x:v>
      </x:c>
    </x:row>
    <x:row r="27" ht="42" customHeight="1">
      <x:c r="A27" s="14" t="str">
        <x:v>country_codes</x:v>
      </x:c>
      <x:c r="B27" s="14"/>
      <x:c r="C27" s="16"/>
      <x:c r="D27" s="16"/>
      <x:c r="E27" s="14"/>
      <x:c r="F27" s="14"/>
      <x:c r="G27" s="21"/>
    </x:row>
    <x:row r="28" ht="42" customHeight="1">
      <x:c r="A28" s="14" t="str">
        <x:v>country_codes</x:v>
      </x:c>
      <x:c r="B28" s="14"/>
      <x:c r="C28" s="16"/>
      <x:c r="D28" s="16"/>
      <x:c r="E28" s="14"/>
      <x:c r="F28" s="14"/>
      <x:c r="G28" s="21"/>
    </x:row>
    <x:row r="29" ht="42" customHeight="1">
      <x:c r="A29" s="14" t="str">
        <x:v>country_codes</x:v>
      </x:c>
      <x:c r="B29" s="14"/>
      <x:c r="C29" s="16"/>
      <x:c r="D29" s="16"/>
      <x:c r="E29" s="14"/>
      <x:c r="F29" s="14"/>
      <x:c r="G29" s="21"/>
    </x:row>
    <x:row r="30" ht="42" customHeight="1">
      <x:c r="A30" s="14" t="str">
        <x:v>country_codes</x:v>
      </x:c>
      <x:c r="B30" s="14"/>
      <x:c r="C30" s="16"/>
      <x:c r="D30" s="16"/>
      <x:c r="E30" s="14"/>
      <x:c r="F30" s="14"/>
      <x:c r="G30" s="21"/>
    </x:row>
    <x:row r="31" ht="42" customHeight="1">
      <x:c r="A31" s="14" t="str">
        <x:v>country_codes</x:v>
      </x:c>
      <x:c r="B31" s="14"/>
      <x:c r="C31" s="16"/>
      <x:c r="D31" s="16"/>
      <x:c r="E31" s="14"/>
      <x:c r="F31" s="14"/>
      <x:c r="G31" s="21"/>
    </x:row>
    <x:row r="32" ht="42" customHeight="1">
      <x:c r="A32" s="14" t="str">
        <x:v>country_codes</x:v>
      </x:c>
      <x:c r="B32" s="14"/>
      <x:c r="C32" s="16"/>
      <x:c r="D32" s="16"/>
      <x:c r="E32" s="14"/>
      <x:c r="F32" s="14"/>
      <x:c r="G32" s="21"/>
    </x:row>
    <x:row r="33" ht="42" customHeight="1">
      <x:c r="A33" s="14" t="str">
        <x:v>country_codes</x:v>
      </x:c>
      <x:c r="B33" s="14"/>
      <x:c r="C33" s="16"/>
      <x:c r="D33" s="16"/>
      <x:c r="E33" s="14"/>
      <x:c r="F33" s="14"/>
      <x:c r="G33" s="21"/>
    </x:row>
    <x:row r="34" ht="42" customHeight="1">
      <x:c r="A34" s="14" t="str">
        <x:v>country_codes</x:v>
      </x:c>
      <x:c r="B34" s="14"/>
      <x:c r="C34" s="16"/>
      <x:c r="D34" s="16"/>
      <x:c r="E34" s="14"/>
      <x:c r="F34" s="14"/>
      <x:c r="G34" s="21"/>
    </x:row>
    <x:row r="35" ht="42" customHeight="1">
      <x:c r="A35" s="14" t="str">
        <x:v>country_codes</x:v>
      </x:c>
      <x:c r="B35" s="14"/>
      <x:c r="C35" s="16"/>
      <x:c r="D35" s="16"/>
      <x:c r="E35" s="14"/>
      <x:c r="F35" s="14"/>
      <x:c r="G35" s="21"/>
    </x:row>
    <x:row r="36" ht="42" customHeight="1">
      <x:c r="A36" s="14" t="str">
        <x:v>country_codes</x:v>
      </x:c>
      <x:c r="B36" s="14"/>
      <x:c r="C36" s="16"/>
      <x:c r="D36" s="16"/>
      <x:c r="E36" s="14"/>
      <x:c r="F36" s="14"/>
      <x:c r="G36" s="21"/>
    </x:row>
    <x:row r="37" ht="42" customHeight="1">
      <x:c r="A37" s="14" t="str">
        <x:v>country_codes</x:v>
      </x:c>
      <x:c r="B37" s="14"/>
      <x:c r="C37" s="16"/>
      <x:c r="D37" s="16"/>
      <x:c r="E37" s="14"/>
      <x:c r="F37" s="14"/>
      <x:c r="G37" s="21"/>
    </x:row>
    <x:row r="38" ht="42" customHeight="1">
      <x:c r="A38" s="14" t="str">
        <x:v>country_codes</x:v>
      </x:c>
      <x:c r="B38" s="14"/>
      <x:c r="C38" s="16"/>
      <x:c r="D38" s="16"/>
      <x:c r="E38" s="14"/>
      <x:c r="F38" s="14"/>
      <x:c r="G38" s="21"/>
    </x:row>
    <x:row r="39" ht="42" customHeight="1">
      <x:c r="A39" s="14" t="str">
        <x:v>country_codes</x:v>
      </x:c>
      <x:c r="B39" s="14"/>
      <x:c r="C39" s="16"/>
      <x:c r="D39" s="16"/>
      <x:c r="E39" s="14"/>
      <x:c r="F39" s="14"/>
      <x:c r="G39" s="21"/>
    </x:row>
    <x:row r="40" ht="42" customHeight="1">
      <x:c r="A40" s="14" t="str">
        <x:v>country_codes</x:v>
      </x:c>
      <x:c r="B40" s="14"/>
      <x:c r="C40" s="16"/>
      <x:c r="D40" s="16"/>
      <x:c r="E40" s="14"/>
      <x:c r="F40" s="14"/>
      <x:c r="G40" s="21"/>
    </x:row>
    <x:row r="41" ht="42" customHeight="1">
      <x:c r="A41" s="14" t="str">
        <x:v>country_codes</x:v>
      </x:c>
      <x:c r="B41" s="14"/>
      <x:c r="C41" s="16"/>
      <x:c r="D41" s="16"/>
      <x:c r="E41" s="14"/>
      <x:c r="F41" s="14"/>
      <x:c r="G41" s="21"/>
    </x:row>
    <x:row r="42" ht="42" customHeight="1">
      <x:c r="A42" s="14" t="str">
        <x:v>country_codes</x:v>
      </x:c>
      <x:c r="B42" s="14"/>
      <x:c r="C42" s="16"/>
      <x:c r="D42" s="16"/>
      <x:c r="E42" s="14"/>
      <x:c r="F42" s="14"/>
      <x:c r="G42" s="21"/>
    </x:row>
    <x:row r="43" ht="42" customHeight="1">
      <x:c r="A43" s="14" t="str">
        <x:v>country_codes</x:v>
      </x:c>
      <x:c r="B43" s="14"/>
      <x:c r="C43" s="16"/>
      <x:c r="D43" s="16"/>
      <x:c r="E43" s="14"/>
      <x:c r="F43" s="14"/>
      <x:c r="G43" s="21"/>
    </x:row>
    <x:row r="44" ht="42" customHeight="1">
      <x:c r="A44" s="14" t="str">
        <x:v>country_codes</x:v>
      </x:c>
      <x:c r="B44" s="14"/>
      <x:c r="C44" s="16"/>
      <x:c r="D44" s="16"/>
      <x:c r="E44" s="14"/>
      <x:c r="F44" s="14"/>
      <x:c r="G44" s="21"/>
    </x:row>
    <x:row r="45" ht="42" customHeight="1">
      <x:c r="A45" s="14" t="str">
        <x:v>entity_classes</x:v>
      </x:c>
      <x:c r="B45" s="14" t="str">
        <x:v>settlement</x:v>
      </x:c>
      <x:c r="C45" s="16" t="str">
        <x:v>Οικισμός</x:v>
      </x:c>
      <x:c r="D45" s="16" t="str">
        <x:v>Settlement</x:v>
      </x:c>
      <x:c r="E45" s="14" t="str">
        <x:v>Αρχαίος αστικός ή κατοικημένος τόπος</x:v>
      </x:c>
      <x:c r="F45" s="14" t="str">
        <x:v>Ancient urban or inhabited place</x:v>
      </x:c>
      <x:c r="G45" s="21" t="n">
        <x:v>10</x:v>
      </x:c>
    </x:row>
    <x:row r="46" ht="42" customHeight="1">
      <x:c r="A46" s="14" t="str">
        <x:v>entity_classes</x:v>
      </x:c>
      <x:c r="B46" s="14" t="str">
        <x:v>sanctuary</x:v>
      </x:c>
      <x:c r="C46" s="16" t="str">
        <x:v>Ιερό</x:v>
      </x:c>
      <x:c r="D46" s="16" t="str">
        <x:v>Sanctuary</x:v>
      </x:c>
      <x:c r="E46" s="14" t="str">
        <x:v>Τόπος οργανωμένης λατρείας ή μαντικής</x:v>
      </x:c>
      <x:c r="F46" s="14" t="str">
        <x:v>A place of organized cult or divination</x:v>
      </x:c>
      <x:c r="G46" s="21" t="n">
        <x:v>20</x:v>
      </x:c>
    </x:row>
    <x:row r="47" ht="42" customHeight="1">
      <x:c r="A47" s="14" t="str">
        <x:v>entity_classes</x:v>
      </x:c>
      <x:c r="B47" s="14" t="str">
        <x:v>polity</x:v>
      </x:c>
      <x:c r="C47" s="16" t="str">
        <x:v>Πολιτική οντότητα</x:v>
      </x:c>
      <x:c r="D47" s="16" t="str">
        <x:v>Polity</x:v>
      </x:c>
      <x:c r="E47" s="14" t="str">
        <x:v>Βασίλειο αυτοκρατορία πόλη-βασίλειο ή ανακτορικό κράτος</x:v>
      </x:c>
      <x:c r="F47" s="14" t="str">
        <x:v>Kingdom empire city-kingdom or palatial state</x:v>
      </x:c>
      <x:c r="G47" s="21" t="n">
        <x:v>30</x:v>
      </x:c>
    </x:row>
    <x:row r="48" ht="42" customHeight="1">
      <x:c r="A48" s="14" t="str">
        <x:v>entity_subtypes</x:v>
      </x:c>
      <x:c r="B48" s="14" t="str">
        <x:v>polis</x:v>
      </x:c>
      <x:c r="C48" s="16" t="str">
        <x:v>Πόλις</x:v>
      </x:c>
      <x:c r="D48" s="16" t="str">
        <x:v>Polis</x:v>
      </x:c>
      <x:c r="E48" s="14" t="str">
        <x:v>Αστική πολιτική κοινότητα του ελληνικού κόσμου</x:v>
      </x:c>
      <x:c r="F48" s="14" t="str">
        <x:v>Urban political community of the Greek world</x:v>
      </x:c>
      <x:c r="G48" s="21" t="n">
        <x:v>10</x:v>
      </x:c>
    </x:row>
    <x:row r="49" ht="42" customHeight="1">
      <x:c r="A49" s="14" t="str">
        <x:v>entity_subtypes</x:v>
      </x:c>
      <x:c r="B49" s="14" t="str">
        <x:v>settlement</x:v>
      </x:c>
      <x:c r="C49" s="16" t="str">
        <x:v>Οικισμός</x:v>
      </x:c>
      <x:c r="D49" s="16" t="str">
        <x:v>Settlement</x:v>
      </x:c>
      <x:c r="E49" s="14" t="str">
        <x:v>Κατοικημένος τόπος χωρίς ασφαλέστερη ειδίκευση</x:v>
      </x:c>
      <x:c r="F49" s="14" t="str">
        <x:v>Inhabited place without a more secure subtype</x:v>
      </x:c>
      <x:c r="G49" s="21" t="n">
        <x:v>20</x:v>
      </x:c>
    </x:row>
    <x:row r="50" ht="42" customHeight="1">
      <x:c r="A50" s="14" t="str">
        <x:v>entity_subtypes</x:v>
      </x:c>
      <x:c r="B50" s="14" t="str">
        <x:v>port_settlement</x:v>
      </x:c>
      <x:c r="C50" s="16" t="str">
        <x:v>Λιμενικός οικισμός</x:v>
      </x:c>
      <x:c r="D50" s="16" t="str">
        <x:v>Port settlement</x:v>
      </x:c>
      <x:c r="E50" s="14" t="str">
        <x:v>Οικισμός με κύρια λιμενική λειτουργία</x:v>
      </x:c>
      <x:c r="F50" s="14" t="str">
        <x:v>Settlement with a principal harbour function</x:v>
      </x:c>
      <x:c r="G50" s="21" t="n">
        <x:v>30</x:v>
      </x:c>
    </x:row>
    <x:row r="51" ht="42" customHeight="1">
      <x:c r="A51" s="14" t="str">
        <x:v>entity_subtypes</x:v>
      </x:c>
      <x:c r="B51" s="14" t="str">
        <x:v>cult_place</x:v>
      </x:c>
      <x:c r="C51" s="16" t="str">
        <x:v>Λατρευτικός τόπος</x:v>
      </x:c>
      <x:c r="D51" s="16" t="str">
        <x:v>Cult place</x:v>
      </x:c>
      <x:c r="E51" s="14" t="str">
        <x:v>Ιερό χωρίς ασφαλέστερη λειτουργική ειδίκευση</x:v>
      </x:c>
      <x:c r="F51" s="14" t="str">
        <x:v>Sanctuary without a more secure functional subtype</x:v>
      </x:c>
      <x:c r="G51" s="21" t="n">
        <x:v>40</x:v>
      </x:c>
    </x:row>
    <x:row r="52" ht="42" customHeight="1">
      <x:c r="A52" s="14" t="str">
        <x:v>entity_subtypes</x:v>
      </x:c>
      <x:c r="B52" s="14" t="str">
        <x:v>healing_sanctuary</x:v>
      </x:c>
      <x:c r="C52" s="16" t="str">
        <x:v>Θεραπευτικό ιερό</x:v>
      </x:c>
      <x:c r="D52" s="16" t="str">
        <x:v>Healing sanctuary</x:v>
      </x:c>
      <x:c r="E52" s="14" t="str">
        <x:v>Ιερό με τεκμηριωμένη θεραπευτική λειτουργία</x:v>
      </x:c>
      <x:c r="F52" s="14" t="str">
        <x:v>Sanctuary with an attested healing function</x:v>
      </x:c>
      <x:c r="G52" s="21" t="n">
        <x:v>41</x:v>
      </x:c>
    </x:row>
    <x:row r="53" ht="42" customHeight="1">
      <x:c r="A53" s="14" t="str">
        <x:v>entity_subtypes</x:v>
      </x:c>
      <x:c r="B53" s="14" t="str">
        <x:v>oracle</x:v>
      </x:c>
      <x:c r="C53" s="16" t="str">
        <x:v>Μαντείο</x:v>
      </x:c>
      <x:c r="D53" s="16" t="str">
        <x:v>Oracle</x:v>
      </x:c>
      <x:c r="E53" s="14" t="str">
        <x:v>Ιερό με τεκμηριωμένη μαντική λειτουργία</x:v>
      </x:c>
      <x:c r="F53" s="14" t="str">
        <x:v>Sanctuary with an attested oracular function</x:v>
      </x:c>
      <x:c r="G53" s="21" t="n">
        <x:v>42</x:v>
      </x:c>
    </x:row>
    <x:row r="54" ht="42" customHeight="1">
      <x:c r="A54" s="14" t="str">
        <x:v>entity_subtypes</x:v>
      </x:c>
      <x:c r="B54" s="14" t="str">
        <x:v>mystery_sanctuary</x:v>
      </x:c>
      <x:c r="C54" s="16" t="str">
        <x:v>Ιερό μυστηρίων</x:v>
      </x:c>
      <x:c r="D54" s="16" t="str">
        <x:v>Mystery sanctuary</x:v>
      </x:c>
      <x:c r="E54" s="14" t="str">
        <x:v>Ιερό συνδεδεμένο με μυστηριακή λατρεία</x:v>
      </x:c>
      <x:c r="F54" s="14" t="str">
        <x:v>Sanctuary associated with a mystery cult</x:v>
      </x:c>
      <x:c r="G54" s="21" t="n">
        <x:v>43</x:v>
      </x:c>
    </x:row>
    <x:row r="55" ht="42" customHeight="1">
      <x:c r="A55" s="14" t="str">
        <x:v>entity_subtypes</x:v>
      </x:c>
      <x:c r="B55" s="14" t="str">
        <x:v>peak_sanctuary</x:v>
      </x:c>
      <x:c r="C55" s="16" t="str">
        <x:v>Ιερό κορυφής</x:v>
      </x:c>
      <x:c r="D55" s="16" t="str">
        <x:v>Peak sanctuary</x:v>
      </x:c>
      <x:c r="E55" s="14" t="str">
        <x:v>Ιερό εγκατεστημένο σε κορυφή</x:v>
      </x:c>
      <x:c r="F55" s="14" t="str">
        <x:v>Sanctuary established on a mountain peak</x:v>
      </x:c>
      <x:c r="G55" s="21" t="n">
        <x:v>44</x:v>
      </x:c>
    </x:row>
    <x:row r="56" ht="42" customHeight="1">
      <x:c r="A56" s="14" t="str">
        <x:v>entity_subtypes</x:v>
      </x:c>
      <x:c r="B56" s="14" t="str">
        <x:v>cave_sanctuary</x:v>
      </x:c>
      <x:c r="C56" s="16" t="str">
        <x:v>Σπηλαιώδες ιερό</x:v>
      </x:c>
      <x:c r="D56" s="16" t="str">
        <x:v>Cave sanctuary</x:v>
      </x:c>
      <x:c r="E56" s="14" t="str">
        <x:v>Ιερό εγκατεστημένο σε σπήλαιο</x:v>
      </x:c>
      <x:c r="F56" s="14" t="str">
        <x:v>Sanctuary established in a cave</x:v>
      </x:c>
      <x:c r="G56" s="21" t="n">
        <x:v>45</x:v>
      </x:c>
    </x:row>
    <x:row r="57" ht="42" customHeight="1">
      <x:c r="A57" s="14" t="str">
        <x:v>entity_subtypes</x:v>
      </x:c>
      <x:c r="B57" s="14" t="str">
        <x:v>hero_shrine</x:v>
      </x:c>
      <x:c r="C57" s="16" t="str">
        <x:v>Ηρώο</x:v>
      </x:c>
      <x:c r="D57" s="16" t="str">
        <x:v>Hero shrine</x:v>
      </x:c>
      <x:c r="E57" s="14" t="str">
        <x:v>Λατρευτικός τόπος αφιερωμένος σε ήρωα</x:v>
      </x:c>
      <x:c r="F57" s="14" t="str">
        <x:v>Cult place dedicated to a hero</x:v>
      </x:c>
      <x:c r="G57" s="21" t="n">
        <x:v>46</x:v>
      </x:c>
    </x:row>
    <x:row r="58" ht="42" customHeight="1">
      <x:c r="A58" s="14" t="str">
        <x:v>entity_subtypes</x:v>
      </x:c>
      <x:c r="B58" s="14" t="str">
        <x:v>palatial_state</x:v>
      </x:c>
      <x:c r="C58" s="16" t="str">
        <x:v>Ανακτορικό κράτος</x:v>
      </x:c>
      <x:c r="D58" s="16" t="str">
        <x:v>Palatial state</x:v>
      </x:c>
      <x:c r="E58" s="14" t="str">
        <x:v>Πολιτική οντότητα οργανωμένη γύρω από ανακτορικό κέντρο</x:v>
      </x:c>
      <x:c r="F58" s="14" t="str">
        <x:v>Polity organized around a palatial centre</x:v>
      </x:c>
      <x:c r="G58" s="21" t="n">
        <x:v>50</x:v>
      </x:c>
    </x:row>
    <x:row r="59" ht="42" customHeight="1">
      <x:c r="A59" s="14" t="str">
        <x:v>entity_subtypes</x:v>
      </x:c>
      <x:c r="B59" s="14" t="str">
        <x:v>kingdom</x:v>
      </x:c>
      <x:c r="C59" s="16" t="str">
        <x:v>Βασίλειο</x:v>
      </x:c>
      <x:c r="D59" s="16" t="str">
        <x:v>Kingdom</x:v>
      </x:c>
      <x:c r="E59" s="14" t="str">
        <x:v>Μοναρχική πολιτική οντότητα</x:v>
      </x:c>
      <x:c r="F59" s="14" t="str">
        <x:v>Monarchical polity</x:v>
      </x:c>
      <x:c r="G59" s="21" t="n">
        <x:v>51</x:v>
      </x:c>
    </x:row>
    <x:row r="60" ht="42" customHeight="1">
      <x:c r="A60" s="14" t="str">
        <x:v>entity_subtypes</x:v>
      </x:c>
      <x:c r="B60" s="14" t="str">
        <x:v>empire</x:v>
      </x:c>
      <x:c r="C60" s="16" t="str">
        <x:v>Αυτοκρατορία</x:v>
      </x:c>
      <x:c r="D60" s="16" t="str">
        <x:v>Empire</x:v>
      </x:c>
      <x:c r="E60" s="14" t="str">
        <x:v>Εδαφικά εκτεταμένη πολυπεριφερειακή πολιτική οντότητα</x:v>
      </x:c>
      <x:c r="F60" s="14" t="str">
        <x:v>Territorially extensive multi-regional polity</x:v>
      </x:c>
      <x:c r="G60" s="21" t="n">
        <x:v>52</x:v>
      </x:c>
    </x:row>
    <x:row r="61" ht="42" customHeight="1">
      <x:c r="A61" s="14" t="str">
        <x:v>entity_subtypes</x:v>
      </x:c>
      <x:c r="B61" s="14" t="str">
        <x:v>city_kingdom</x:v>
      </x:c>
      <x:c r="C61" s="16" t="str">
        <x:v>Πόλη-βασίλειο</x:v>
      </x:c>
      <x:c r="D61" s="16" t="str">
        <x:v>City-kingdom</x:v>
      </x:c>
      <x:c r="E61" s="14" t="str">
        <x:v>Μοναρχική πολιτική οντότητα με κέντρο μία πόλη</x:v>
      </x:c>
      <x:c r="F61" s="14" t="str">
        <x:v>Monarchical polity centered on one city</x:v>
      </x:c>
      <x:c r="G61" s="21" t="n">
        <x:v>53</x:v>
      </x:c>
    </x:row>
    <x:row r="62" ht="42" customHeight="1">
      <x:c r="A62" s="14" t="str">
        <x:v>entity_subtypes</x:v>
      </x:c>
      <x:c r="B62" s="14" t="str">
        <x:v>dynastic_phase</x:v>
      </x:c>
      <x:c r="C62" s="16" t="str">
        <x:v>Δυναστική φάση</x:v>
      </x:c>
      <x:c r="D62" s="16" t="str">
        <x:v>Dynastic phase</x:v>
      </x:c>
      <x:c r="E62" s="14" t="str">
        <x:v>Χρονολογικά διακριτή δυναστική φάση ευρύτερου βασιλείου</x:v>
      </x:c>
      <x:c r="F62" s="14" t="str">
        <x:v>Chronologically distinct dynastic phase of a wider kingdom</x:v>
      </x:c>
      <x:c r="G62" s="21" t="n">
        <x:v>54</x:v>
      </x:c>
    </x:row>
    <x:row r="63" ht="42" customHeight="1">
      <x:c r="A63" s="14" t="str">
        <x:v>entity_subtypes</x:v>
      </x:c>
      <x:c r="B63" s="14" t="str">
        <x:v>client_kingdom</x:v>
      </x:c>
      <x:c r="C63" s="16" t="str">
        <x:v>Πελατειακό βασίλειο</x:v>
      </x:c>
      <x:c r="D63" s="16" t="str">
        <x:v>Client kingdom</x:v>
      </x:c>
      <x:c r="E63" s="14" t="str">
        <x:v>Βασίλειο σε θεσμική εξάρτηση από ισχυρότερη δύναμη</x:v>
      </x:c>
      <x:c r="F63" s="14" t="str">
        <x:v>Kingdom institutionally dependent on a stronger power</x:v>
      </x:c>
      <x:c r="G63" s="21" t="n">
        <x:v>55</x:v>
      </x:c>
    </x:row>
    <x:row r="64" ht="42" customHeight="1">
      <x:c r="A64" s="14" t="str">
        <x:v>entity_subtypes</x:v>
      </x:c>
      <x:c r="B64" s="14" t="str">
        <x:v>aggregate_polities</x:v>
      </x:c>
      <x:c r="C64" s="16" t="str">
        <x:v>Σύνολο πολιτειών</x:v>
      </x:c>
      <x:c r="D64" s="16" t="str">
        <x:v>Aggregate polities</x:v>
      </x:c>
      <x:c r="E64" s="14" t="str">
        <x:v>Συμβατική ομαδοποίηση πολλών συγγενών πολιτικών οντοτήτων</x:v>
      </x:c>
      <x:c r="F64" s="14" t="str">
        <x:v>Conventional grouping of several related polities</x:v>
      </x:c>
      <x:c r="G64" s="21" t="n">
        <x:v>56</x:v>
      </x:c>
    </x:row>
    <x:row r="65" ht="42" customHeight="1">
      <x:c r="A65" s="14" t="str">
        <x:v>geometry_roles</x:v>
      </x:c>
      <x:c r="B65" s="14" t="str">
        <x:v>site</x:v>
      </x:c>
      <x:c r="C65" s="16" t="str">
        <x:v>Θέση</x:v>
      </x:c>
      <x:c r="D65" s="16" t="str">
        <x:v>Site</x:v>
      </x:c>
      <x:c r="E65" s="14" t="str">
        <x:v>Το σημείο αναφέρεται στην ίδια την αρχαιολογική θέση</x:v>
      </x:c>
      <x:c r="F65" s="14" t="str">
        <x:v>The point refers to the archaeological site itself</x:v>
      </x:c>
      <x:c r="G65" s="21" t="n">
        <x:v>10</x:v>
      </x:c>
    </x:row>
    <x:row r="66" ht="42" customHeight="1">
      <x:c r="A66" s="14" t="str">
        <x:v>geometry_roles</x:v>
      </x:c>
      <x:c r="B66" s="14" t="str">
        <x:v>proxy</x:v>
      </x:c>
      <x:c r="C66" s="16" t="str">
        <x:v>Προσεγγιστικός δείκτης</x:v>
      </x:c>
      <x:c r="D66" s="16" t="str">
        <x:v>Proxy</x:v>
      </x:c>
      <x:c r="E66" s="14" t="str">
        <x:v>Το σημείο είναι τεκμηριωμένος προσεγγιστικός χωρικός δείκτης</x:v>
      </x:c>
      <x:c r="F66" s="14" t="str">
        <x:v>The point is a documented approximate spatial indicator</x:v>
      </x:c>
      <x:c r="G66" s="21" t="n">
        <x:v>20</x:v>
      </x:c>
    </x:row>
    <x:row r="67" ht="42" customHeight="1">
      <x:c r="A67" s="14" t="str">
        <x:v>geometry_roles</x:v>
      </x:c>
      <x:c r="B67" s="14" t="str">
        <x:v>representative_center</x:v>
      </x:c>
      <x:c r="C67" s="16" t="str">
        <x:v>Αντιπροσωπευτικό κέντρο</x:v>
      </x:c>
      <x:c r="D67" s="16" t="str">
        <x:v>Representative centre</x:v>
      </x:c>
      <x:c r="E67" s="14" t="str">
        <x:v>Το σημείο αποδίδει κέντρο πολιτικής οντότητας και όχι την επικράτειά της</x:v>
      </x:c>
      <x:c r="F67" s="14" t="str">
        <x:v>The point represents a centre of a polity rather than its territory</x:v>
      </x:c>
      <x:c r="G67" s="21" t="n">
        <x:v>30</x:v>
      </x:c>
    </x:row>
    <x:row r="68" ht="42" customHeight="1">
      <x:c r="A68" s="14" t="str">
        <x:v>name_types</x:v>
      </x:c>
      <x:c r="B68" s="14" t="str">
        <x:v>preferred</x:v>
      </x:c>
      <x:c r="C68" s="16" t="str">
        <x:v>Προτιμώμενο</x:v>
      </x:c>
      <x:c r="D68" s="16" t="str">
        <x:v>Preferred</x:v>
      </x:c>
      <x:c r="E68" s="14" t="str">
        <x:v>Κύριο όνομα στη συγκεκριμένη γλώσσα</x:v>
      </x:c>
      <x:c r="F68" s="14" t="str">
        <x:v>Primary name in the specified language</x:v>
      </x:c>
      <x:c r="G68" s="21" t="n">
        <x:v>10</x:v>
      </x:c>
    </x:row>
    <x:row r="69" ht="42" customHeight="1">
      <x:c r="A69" s="14" t="str">
        <x:v>name_types</x:v>
      </x:c>
      <x:c r="B69" s="14" t="str">
        <x:v>ancient</x:v>
      </x:c>
      <x:c r="C69" s="16" t="str">
        <x:v>Αρχαίο</x:v>
      </x:c>
      <x:c r="D69" s="16" t="str">
        <x:v>Ancient</x:v>
      </x:c>
      <x:c r="E69" s="14" t="str">
        <x:v>Ιστορικά τεκμηριωμένος αρχαίος τύπος</x:v>
      </x:c>
      <x:c r="F69" s="14" t="str">
        <x:v>Historically attested ancient form</x:v>
      </x:c>
      <x:c r="G69" s="21" t="n">
        <x:v>20</x:v>
      </x:c>
    </x:row>
    <x:row r="70" ht="42" customHeight="1">
      <x:c r="A70" s="14" t="str">
        <x:v>name_types</x:v>
      </x:c>
      <x:c r="B70" s="14" t="str">
        <x:v>modern</x:v>
      </x:c>
      <x:c r="C70" s="16" t="str">
        <x:v>Σύγχρονο</x:v>
      </x:c>
      <x:c r="D70" s="16" t="str">
        <x:v>Modern</x:v>
      </x:c>
      <x:c r="E70" s="14" t="str">
        <x:v>Σύγχρονο τοπωνύμιο ή όνομα</x:v>
      </x:c>
      <x:c r="F70" s="14" t="str">
        <x:v>Modern place-name or name</x:v>
      </x:c>
      <x:c r="G70" s="21" t="n">
        <x:v>30</x:v>
      </x:c>
    </x:row>
    <x:row r="71" ht="42" customHeight="1">
      <x:c r="A71" s="14" t="str">
        <x:v>name_types</x:v>
      </x:c>
      <x:c r="B71" s="14" t="str">
        <x:v>alternative</x:v>
      </x:c>
      <x:c r="C71" s="16" t="str">
        <x:v>Εναλλακτικό</x:v>
      </x:c>
      <x:c r="D71" s="16" t="str">
        <x:v>Alternative</x:v>
      </x:c>
      <x:c r="E71" s="14" t="str">
        <x:v>Άλλος τεκμηριωμένος τύπος ονόματος</x:v>
      </x:c>
      <x:c r="F71" s="14" t="str">
        <x:v>Another attested name form</x:v>
      </x:c>
      <x:c r="G71" s="21" t="n">
        <x:v>40</x:v>
      </x:c>
    </x:row>
    <x:row r="72" ht="42" customHeight="1">
      <x:c r="A72" s="14" t="str">
        <x:v>name_types</x:v>
      </x:c>
      <x:c r="B72" s="14" t="str">
        <x:v>transliterated</x:v>
      </x:c>
      <x:c r="C72" s="16" t="str">
        <x:v>Μεταγραμμένο</x:v>
      </x:c>
      <x:c r="D72" s="16" t="str">
        <x:v>Transliterated</x:v>
      </x:c>
      <x:c r="E72" s="14" t="str">
        <x:v>Μεταγραφή ονόματος σε άλλο σύστημα γραφής</x:v>
      </x:c>
      <x:c r="F72" s="14" t="str">
        <x:v>Transliteration into another writing system</x:v>
      </x:c>
      <x:c r="G72" s="21" t="n">
        <x:v>50</x:v>
      </x:c>
    </x:row>
    <x:row r="73" ht="42" customHeight="1">
      <x:c r="A73" s="14" t="str">
        <x:v>precision_terms</x:v>
      </x:c>
      <x:c r="B73" s="14" t="str">
        <x:v>exact</x:v>
      </x:c>
      <x:c r="C73" s="16" t="str">
        <x:v>Ακριβές</x:v>
      </x:c>
      <x:c r="D73" s="16" t="str">
        <x:v>Exact</x:v>
      </x:c>
      <x:c r="E73" s="14" t="str">
        <x:v>Η πηγή υποστηρίζει συγκεκριμένο έτος ή σαφές όριο</x:v>
      </x:c>
      <x:c r="F73" s="14" t="str">
        <x:v>The source supports a specific year or clear boundary</x:v>
      </x:c>
      <x:c r="G73" s="21" t="n">
        <x:v>10</x:v>
      </x:c>
    </x:row>
    <x:row r="74" ht="42" customHeight="1">
      <x:c r="A74" s="14" t="str">
        <x:v>precision_terms</x:v>
      </x:c>
      <x:c r="B74" s="14" t="str">
        <x:v>approximate</x:v>
      </x:c>
      <x:c r="C74" s="16" t="str">
        <x:v>Κατά προσέγγιση</x:v>
      </x:c>
      <x:c r="D74" s="16" t="str">
        <x:v>Approximate</x:v>
      </x:c>
      <x:c r="E74" s="14" t="str">
        <x:v>Το έτος ή όριο είναι προσεγγιστικό</x:v>
      </x:c>
      <x:c r="F74" s="14" t="str">
        <x:v>The year or boundary is approximate</x:v>
      </x:c>
      <x:c r="G74" s="21" t="n">
        <x:v>20</x:v>
      </x:c>
    </x:row>
    <x:row r="75" ht="42" customHeight="1">
      <x:c r="A75" s="14" t="str">
        <x:v>precision_terms</x:v>
      </x:c>
      <x:c r="B75" s="14" t="str">
        <x:v>uncertain</x:v>
      </x:c>
      <x:c r="C75" s="16" t="str">
        <x:v>Αβέβαιο</x:v>
      </x:c>
      <x:c r="D75" s="16" t="str">
        <x:v>Uncertain</x:v>
      </x:c>
      <x:c r="E75" s="14" t="str">
        <x:v>Η χρονολόγηση είναι αβέβαιη</x:v>
      </x:c>
      <x:c r="F75" s="14" t="str">
        <x:v>The dating is uncertain</x:v>
      </x:c>
      <x:c r="G75" s="21" t="n">
        <x:v>30</x:v>
      </x:c>
    </x:row>
    <x:row r="76" ht="42" customHeight="1">
      <x:c r="A76" s="14" t="str">
        <x:v>precision_terms</x:v>
      </x:c>
      <x:c r="B76" s="14" t="str">
        <x:v>broad_range</x:v>
      </x:c>
      <x:c r="C76" s="16" t="str">
        <x:v>Ευρύ εύρος</x:v>
      </x:c>
      <x:c r="D76" s="16" t="str">
        <x:v>Broad range</x:v>
      </x:c>
      <x:c r="E76" s="14" t="str">
        <x:v>Μόνο ευρύ χρονικό εύρος είναι ασφαλές</x:v>
      </x:c>
      <x:c r="F76" s="14" t="str">
        <x:v>Only a broad chronological range is secure</x:v>
      </x:c>
      <x:c r="G76" s="21" t="n">
        <x:v>40</x:v>
      </x:c>
    </x:row>
    <x:row r="77" ht="42" customHeight="1">
      <x:c r="A77" s="14" t="str">
        <x:v>precision_terms</x:v>
      </x:c>
      <x:c r="B77" s="14" t="str">
        <x:v>mixed</x:v>
      </x:c>
      <x:c r="C77" s="16" t="str">
        <x:v>Μικτή ακρίβεια</x:v>
      </x:c>
      <x:c r="D77" s="16" t="str">
        <x:v>Mixed precision</x:v>
      </x:c>
      <x:c r="E77" s="14" t="str">
        <x:v>Τα χρονικά όρια έχουν διαφορετική ποιότητα ή ακρίβεια</x:v>
      </x:c>
      <x:c r="F77" s="14" t="str">
        <x:v>The temporal bounds have differing quality or precision</x:v>
      </x:c>
      <x:c r="G77" s="21" t="n">
        <x:v>50</x:v>
      </x:c>
    </x:row>
    <x:row r="78" ht="42" customHeight="1">
      <x:c r="A78" s="14" t="str">
        <x:v>precision_terms</x:v>
      </x:c>
      <x:c r="B78" s="14" t="str">
        <x:v>disputed</x:v>
      </x:c>
      <x:c r="C78" s="16" t="str">
        <x:v>Αμφισβητούμενο</x:v>
      </x:c>
      <x:c r="D78" s="16" t="str">
        <x:v>Disputed</x:v>
      </x:c>
      <x:c r="E78" s="14" t="str">
        <x:v>Η χρονολόγηση αποτελεί αντικείμενο επιστημονικής διαφωνίας</x:v>
      </x:c>
      <x:c r="F78" s="14" t="str">
        <x:v>The dating is subject to scholarly disagreement</x:v>
      </x:c>
      <x:c r="G78" s="21" t="n">
        <x:v>60</x:v>
      </x:c>
    </x:row>
    <x:row r="79" ht="42" customHeight="1">
      <x:c r="A79" s="14" t="str">
        <x:v>precision_terms</x:v>
      </x:c>
      <x:c r="B79" s="14" t="str">
        <x:v>display_cutoff</x:v>
      </x:c>
      <x:c r="C79" s="16" t="str">
        <x:v>Όριο προβολής</x:v>
      </x:c>
      <x:c r="D79" s="16" t="str">
        <x:v>Display cutoff</x:v>
      </x:c>
      <x:c r="E79" s="14" t="str">
        <x:v>Συμβατικό όριο του άτλαντα και όχι ιστορικό τέλος</x:v>
      </x:c>
      <x:c r="F79" s="14" t="str">
        <x:v>Atlas display boundary rather than a historical end</x:v>
      </x:c>
      <x:c r="G79" s="21" t="n">
        <x:v>70</x:v>
      </x:c>
    </x:row>
    <x:row r="80" ht="42" customHeight="1">
      <x:c r="A80" s="14" t="str">
        <x:v>precision_terms</x:v>
      </x:c>
      <x:c r="B80" s="14" t="str">
        <x:v>unknown</x:v>
      </x:c>
      <x:c r="C80" s="16" t="str">
        <x:v>Άγνωστο</x:v>
      </x:c>
      <x:c r="D80" s="16" t="str">
        <x:v>Unknown</x:v>
      </x:c>
      <x:c r="E80" s="14" t="str">
        <x:v>Δεν έχει καθοριστεί η ακρίβεια</x:v>
      </x:c>
      <x:c r="F80" s="14" t="str">
        <x:v>Precision has not been determined</x:v>
      </x:c>
      <x:c r="G80" s="21" t="n">
        <x:v>99</x:v>
      </x:c>
    </x:row>
    <x:row r="81" ht="42" customHeight="1">
      <x:c r="A81" s="14" t="str">
        <x:v>relationship_types</x:v>
      </x:c>
      <x:c r="B81" s="14" t="str">
        <x:v>founded_from</x:v>
      </x:c>
      <x:c r="C81" s="16" t="str">
        <x:v>Ιδρύθηκε από</x:v>
      </x:c>
      <x:c r="D81" s="16" t="str">
        <x:v>Founded from</x:v>
      </x:c>
      <x:c r="E81" s="14" t="str">
        <x:v>Σχέση αποικιακής ίδρυσης με μητρόπολη ή ιδρυτική κοινότητα</x:v>
      </x:c>
      <x:c r="F81" s="14" t="str">
        <x:v>Colonial foundation relation to a metropolis or founding community</x:v>
      </x:c>
      <x:c r="G81" s="21" t="n">
        <x:v>10</x:v>
      </x:c>
    </x:row>
    <x:row r="82" ht="42" customHeight="1">
      <x:c r="A82" s="14" t="str">
        <x:v>relationship_types</x:v>
      </x:c>
      <x:c r="B82" s="14" t="str">
        <x:v>associated_with_settlement</x:v>
      </x:c>
      <x:c r="C82" s="16" t="str">
        <x:v>Συνδέεται με οικισμό</x:v>
      </x:c>
      <x:c r="D82" s="16" t="str">
        <x:v>Associated with settlement</x:v>
      </x:c>
      <x:c r="E82" s="14" t="str">
        <x:v>Χωρική ή θεσμική σύνδεση ιερού με οικισμό</x:v>
      </x:c>
      <x:c r="F82" s="14" t="str">
        <x:v>Spatial or institutional association of a sanctuary with a settlement</x:v>
      </x:c>
      <x:c r="G82" s="21" t="n">
        <x:v>20</x:v>
      </x:c>
    </x:row>
    <x:row r="83" ht="42" customHeight="1">
      <x:c r="A83" s="14" t="str">
        <x:v>relationship_types</x:v>
      </x:c>
      <x:c r="B83" s="14" t="str">
        <x:v>representative_center</x:v>
      </x:c>
      <x:c r="C83" s="16" t="str">
        <x:v>Αντιπροσωπευτικό κέντρο</x:v>
      </x:c>
      <x:c r="D83" s="16" t="str">
        <x:v>Representative centre</x:v>
      </x:c>
      <x:c r="E83" s="14" t="str">
        <x:v>Αστικό ή ανακτορικό κέντρο που χρησιμοποιείται ως χωρικός δείκτης πολιτείας</x:v>
      </x:c>
      <x:c r="F83" s="14" t="str">
        <x:v>Urban or palatial centre used as the spatial marker of a polity</x:v>
      </x:c>
      <x:c r="G83" s="21" t="n">
        <x:v>30</x:v>
      </x:c>
    </x:row>
    <x:row r="84" ht="42" customHeight="1">
      <x:c r="A84" s="14" t="str">
        <x:v>relationship_types</x:v>
      </x:c>
      <x:c r="B84" s="14" t="str">
        <x:v>preceded_by</x:v>
      </x:c>
      <x:c r="C84" s="16" t="str">
        <x:v>Προηγήθηκε</x:v>
      </x:c>
      <x:c r="D84" s="16" t="str">
        <x:v>Preceded by</x:v>
      </x:c>
      <x:c r="E84" s="14" t="str">
        <x:v>Πολιτική ή χρονική οντότητα που προηγήθηκε της υποκειμενικής οντότητας</x:v>
      </x:c>
      <x:c r="F84" s="14" t="str">
        <x:v>Political or temporal entity preceding the subject entity</x:v>
      </x:c>
      <x:c r="G84" s="21" t="n">
        <x:v>40</x:v>
      </x:c>
    </x:row>
    <x:row r="85" ht="42" customHeight="1">
      <x:c r="A85" s="14" t="str">
        <x:v>relationship_types</x:v>
      </x:c>
      <x:c r="B85" s="14" t="str">
        <x:v>succeeded_by</x:v>
      </x:c>
      <x:c r="C85" s="16" t="str">
        <x:v>Διαδέχθηκε</x:v>
      </x:c>
      <x:c r="D85" s="16" t="str">
        <x:v>Succeeded by</x:v>
      </x:c>
      <x:c r="E85" s="14" t="str">
        <x:v>Πολιτική ή χρονική οντότητα που διαδέχθηκε την υποκειμενική οντότητα</x:v>
      </x:c>
      <x:c r="F85" s="14" t="str">
        <x:v>Political or temporal entity succeeding the subject entity</x:v>
      </x:c>
      <x:c r="G85" s="21" t="n">
        <x:v>50</x:v>
      </x:c>
    </x:row>
    <x:row r="86" ht="42" customHeight="1">
      <x:c r="A86" s="14" t="str">
        <x:v>relationship_types</x:v>
      </x:c>
      <x:c r="B86" s="14" t="str">
        <x:v>cult_of</x:v>
      </x:c>
      <x:c r="C86" s="16" t="str">
        <x:v>Λατρεία</x:v>
      </x:c>
      <x:c r="D86" s="16" t="str">
        <x:v>Associated cult</x:v>
      </x:c>
      <x:c r="E86" s="14" t="str">
        <x:v>Θεότητα ή λατρεία που τεκμηριώνεται στο ιερό</x:v>
      </x:c>
      <x:c r="F86" s="14" t="str">
        <x:v>Deity or cult attested at the sanctuary</x:v>
      </x:c>
      <x:c r="G86" s="21" t="n">
        <x:v>60</x:v>
      </x:c>
    </x:row>
    <x:row r="87" ht="42" customHeight="1">
      <x:c r="A87" s="14" t="str">
        <x:v>relationship_types</x:v>
      </x:c>
      <x:c r="B87" s="14" t="str">
        <x:v>ruled_by_dynasty</x:v>
      </x:c>
      <x:c r="C87" s="16" t="str">
        <x:v>Δυναστεία</x:v>
      </x:c>
      <x:c r="D87" s="16" t="str">
        <x:v>Ruled by dynasty</x:v>
      </x:c>
      <x:c r="E87" s="14" t="str">
        <x:v>Δυναστεία ή ηγεμονικός οίκος που συνδέεται με πολιτική οντότητα</x:v>
      </x:c>
      <x:c r="F87" s="14" t="str">
        <x:v>Dynasty or ruling house associated with a polity</x:v>
      </x:c>
      <x:c r="G87" s="21" t="n">
        <x:v>70</x:v>
      </x:c>
    </x:row>
    <x:row r="88" ht="42" customHeight="1">
      <x:c r="A88" s="14" t="str">
        <x:v>relationship_types</x:v>
      </x:c>
      <x:c r="B88" s="14" t="str">
        <x:v>part_of</x:v>
      </x:c>
      <x:c r="C88" s="16" t="str">
        <x:v>Μέρος του</x:v>
      </x:c>
      <x:c r="D88" s="16" t="str">
        <x:v>Part of</x:v>
      </x:c>
      <x:c r="E88" s="14" t="str">
        <x:v>Μερωνυμική ή διοικητική σχέση με ευρύτερη οντότητα</x:v>
      </x:c>
      <x:c r="F88" s="14" t="str">
        <x:v>Partitive or administrative relation to a broader entity</x:v>
      </x:c>
      <x:c r="G88" s="21" t="n">
        <x:v>80</x:v>
      </x:c>
    </x:row>
    <x:row r="89" ht="42" customHeight="1">
      <x:c r="A89" s="14" t="str">
        <x:v>review_states</x:v>
      </x:c>
      <x:c r="B89" s="14" t="str">
        <x:v>draft</x:v>
      </x:c>
      <x:c r="C89" s="16" t="str">
        <x:v>Πρόχειρο</x:v>
      </x:c>
      <x:c r="D89" s="16" t="str">
        <x:v>Draft</x:v>
      </x:c>
      <x:c r="E89" s="14" t="str">
        <x:v>Η εγγραφή δεν έχει ακόμη ελεγχθεί</x:v>
      </x:c>
      <x:c r="F89" s="14" t="str">
        <x:v>The record has not yet been reviewed</x:v>
      </x:c>
      <x:c r="G89" s="21" t="n">
        <x:v>10</x:v>
      </x:c>
    </x:row>
    <x:row r="90" ht="42" customHeight="1">
      <x:c r="A90" s="14" t="str">
        <x:v>review_states</x:v>
      </x:c>
      <x:c r="B90" s="14" t="str">
        <x:v>needs_review</x:v>
      </x:c>
      <x:c r="C90" s="16" t="str">
        <x:v>Χρειάζεται έλεγχο</x:v>
      </x:c>
      <x:c r="D90" s="16" t="str">
        <x:v>Needs review</x:v>
      </x:c>
      <x:c r="E90" s="14" t="str">
        <x:v>Η εγγραφή έχει συγκεκριμένο ανοικτό ζήτημα</x:v>
      </x:c>
      <x:c r="F90" s="14" t="str">
        <x:v>The record has a specific unresolved issue</x:v>
      </x:c>
      <x:c r="G90" s="21" t="n">
        <x:v>20</x:v>
      </x:c>
    </x:row>
    <x:row r="91" ht="42" customHeight="1">
      <x:c r="A91" s="14" t="str">
        <x:v>review_states</x:v>
      </x:c>
      <x:c r="B91" s="14" t="str">
        <x:v>machine_checked</x:v>
      </x:c>
      <x:c r="C91" s="16" t="str">
        <x:v>Μηχανικά ελεγμένο</x:v>
      </x:c>
      <x:c r="D91" s="16" t="str">
        <x:v>Machine checked</x:v>
      </x:c>
      <x:c r="E91" s="14" t="str">
        <x:v>Πέρασε αυτοματοποιημένους ελέγχους χωρίς πλήρη επιμέλεια</x:v>
      </x:c>
      <x:c r="F91" s="14" t="str">
        <x:v>Passed automated checks without full editorial review</x:v>
      </x:c>
      <x:c r="G91" s="21" t="n">
        <x:v>30</x:v>
      </x:c>
    </x:row>
    <x:row r="92" ht="42" customHeight="1">
      <x:c r="A92" s="14" t="str">
        <x:v>review_states</x:v>
      </x:c>
      <x:c r="B92" s="14" t="str">
        <x:v>reviewed</x:v>
      </x:c>
      <x:c r="C92" s="16" t="str">
        <x:v>Ελεγμένο</x:v>
      </x:c>
      <x:c r="D92" s="16" t="str">
        <x:v>Reviewed</x:v>
      </x:c>
      <x:c r="E92" s="14" t="str">
        <x:v>Έγινε επιμελητικός έλεγχος των διαθέσιμων στοιχείων</x:v>
      </x:c>
      <x:c r="F92" s="14" t="str">
        <x:v>Available evidence received editorial review</x:v>
      </x:c>
      <x:c r="G92" s="21" t="n">
        <x:v>40</x:v>
      </x:c>
    </x:row>
    <x:row r="93" ht="42" customHeight="1">
      <x:c r="A93" s="14" t="str">
        <x:v>review_states</x:v>
      </x:c>
      <x:c r="B93" s="14" t="str">
        <x:v>verified</x:v>
      </x:c>
      <x:c r="C93" s="16" t="str">
        <x:v>Επαληθευμένο</x:v>
      </x:c>
      <x:c r="D93" s="16" t="str">
        <x:v>Verified</x:v>
      </x:c>
      <x:c r="E93" s="14" t="str">
        <x:v>Η εγγραφή και οι κύριες πηγές της επαληθεύτηκαν</x:v>
      </x:c>
      <x:c r="F93" s="14" t="str">
        <x:v>The record and its principal sources were verified</x:v>
      </x:c>
      <x:c r="G93" s="21" t="n">
        <x:v>50</x:v>
      </x:c>
    </x:row>
    <x:row r="94" ht="42" customHeight="1">
      <x:c r="A94" s="14" t="str">
        <x:v>review_states</x:v>
      </x:c>
      <x:c r="B94" s="14" t="str">
        <x:v>excluded</x:v>
      </x:c>
      <x:c r="C94" s="16" t="str">
        <x:v>Εξαιρέθηκε</x:v>
      </x:c>
      <x:c r="D94" s="16" t="str">
        <x:v>Excluded</x:v>
      </x:c>
      <x:c r="E94" s="14" t="str">
        <x:v>Η εγγραφή δεν περιλαμβάνεται στη δημόσια έκδοση</x:v>
      </x:c>
      <x:c r="F94" s="14" t="str">
        <x:v>The record is not included in the public release</x:v>
      </x:c>
      <x:c r="G94" s="21" t="n">
        <x:v>90</x:v>
      </x:c>
    </x:row>
    <x:row r="95" ht="42" customHeight="1">
      <x:c r="A95" s="14" t="str">
        <x:v>source_classes</x:v>
      </x:c>
      <x:c r="B95" s="14" t="str">
        <x:v>scholarly_gazetteer</x:v>
      </x:c>
      <x:c r="C95" s="16" t="str">
        <x:v>Επιστημονικό γεωγραφικό λεξικό</x:v>
      </x:c>
      <x:c r="D95" s="16" t="str">
        <x:v>Scholarly gazetteer</x:v>
      </x:c>
      <x:c r="E95" s="14" t="str">
        <x:v>Δομημένο επιστημονικό γεωγραφικό λεξικό</x:v>
      </x:c>
      <x:c r="F95" s="14" t="str">
        <x:v>Structured scholarly gazetteer</x:v>
      </x:c>
      <x:c r="G95" s="21" t="n">
        <x:v>10</x:v>
      </x:c>
    </x:row>
    <x:row r="96" ht="42" customHeight="1">
      <x:c r="A96" s="14" t="str">
        <x:v>source_classes</x:v>
      </x:c>
      <x:c r="B96" s="14" t="str">
        <x:v>unesco</x:v>
      </x:c>
      <x:c r="C96" s="16" t="str">
        <x:v>UNESCO</x:v>
      </x:c>
      <x:c r="D96" s="16" t="str">
        <x:v>UNESCO</x:v>
      </x:c>
      <x:c r="E96" s="14" t="str">
        <x:v>Επίσημη τεκμηρίωση της UNESCO</x:v>
      </x:c>
      <x:c r="F96" s="14" t="str">
        <x:v>Official UNESCO documentation</x:v>
      </x:c>
      <x:c r="G96" s="21" t="n">
        <x:v>20</x:v>
      </x:c>
    </x:row>
    <x:row r="97" ht="42" customHeight="1">
      <x:c r="A97" s="14" t="str">
        <x:v>source_classes</x:v>
      </x:c>
      <x:c r="B97" s="14" t="str">
        <x:v>national_archaeological_service</x:v>
      </x:c>
      <x:c r="C97" s="16" t="str">
        <x:v>Εθνική αρχαιολογική υπηρεσία</x:v>
      </x:c>
      <x:c r="D97" s="16" t="str">
        <x:v>National archaeological service</x:v>
      </x:c>
      <x:c r="E97" s="14" t="str">
        <x:v>Επίσημη κρατική αρχαιολογική υπηρεσία</x:v>
      </x:c>
      <x:c r="F97" s="14" t="str">
        <x:v>Official state archaeological service</x:v>
      </x:c>
      <x:c r="G97" s="21" t="n">
        <x:v>30</x:v>
      </x:c>
    </x:row>
    <x:row r="98" ht="42" customHeight="1">
      <x:c r="A98" s="14" t="str">
        <x:v>source_classes</x:v>
      </x:c>
      <x:c r="B98" s="14" t="str">
        <x:v>museum</x:v>
      </x:c>
      <x:c r="C98" s="16" t="str">
        <x:v>Μουσείο</x:v>
      </x:c>
      <x:c r="D98" s="16" t="str">
        <x:v>Museum</x:v>
      </x:c>
      <x:c r="E98" s="14" t="str">
        <x:v>Επιμελημένο περιεχόμενο μουσείου</x:v>
      </x:c>
      <x:c r="F98" s="14" t="str">
        <x:v>Curated museum content</x:v>
      </x:c>
      <x:c r="G98" s="21" t="n">
        <x:v>40</x:v>
      </x:c>
    </x:row>
    <x:row r="99" ht="42" customHeight="1">
      <x:c r="A99" s="14" t="str">
        <x:v>source_classes</x:v>
      </x:c>
      <x:c r="B99" s="14" t="str">
        <x:v>university</x:v>
      </x:c>
      <x:c r="C99" s="16" t="str">
        <x:v>Πανεπιστήμιο</x:v>
      </x:c>
      <x:c r="D99" s="16" t="str">
        <x:v>University</x:v>
      </x:c>
      <x:c r="E99" s="14" t="str">
        <x:v>Πανεπιστημιακή έκδοση ή ερευνητικό έργο</x:v>
      </x:c>
      <x:c r="F99" s="14" t="str">
        <x:v>University publication or research project</x:v>
      </x:c>
      <x:c r="G99" s="21" t="n">
        <x:v>50</x:v>
      </x:c>
    </x:row>
    <x:row r="100" ht="42" customHeight="1">
      <x:c r="A100" s="14" t="str">
        <x:v>source_classes</x:v>
      </x:c>
      <x:c r="B100" s="14" t="str">
        <x:v>excavation_project</x:v>
      </x:c>
      <x:c r="C100" s="16" t="str">
        <x:v>Ανασκαφικό πρόγραμμα</x:v>
      </x:c>
      <x:c r="D100" s="16" t="str">
        <x:v>Excavation project</x:v>
      </x:c>
      <x:c r="E100" s="14" t="str">
        <x:v>Επίσημη τεκμηρίωση ανασκαφικού προγράμματος</x:v>
      </x:c>
      <x:c r="F100" s="14" t="str">
        <x:v>Official excavation-project documentation</x:v>
      </x:c>
      <x:c r="G100" s="21" t="n">
        <x:v>60</x:v>
      </x:c>
    </x:row>
    <x:row r="101" ht="42" customHeight="1">
      <x:c r="A101" s="14" t="str">
        <x:v>source_classes</x:v>
      </x:c>
      <x:c r="B101" s="14" t="str">
        <x:v>peer_reviewed_publication</x:v>
      </x:c>
      <x:c r="C101" s="16" t="str">
        <x:v>Επιστημονική δημοσίευση</x:v>
      </x:c>
      <x:c r="D101" s="16" t="str">
        <x:v>Peer-reviewed publication</x:v>
      </x:c>
      <x:c r="E101" s="14" t="str">
        <x:v>Άρθρο βιβλίο ή κεφάλαιο με επιστημονική επιμέλεια</x:v>
      </x:c>
      <x:c r="F101" s="14" t="str">
        <x:v>Scholarly edited article book or chapter</x:v>
      </x:c>
      <x:c r="G101" s="21" t="n">
        <x:v>70</x:v>
      </x:c>
    </x:row>
    <x:row r="102" ht="42" customHeight="1">
      <x:c r="A102" s="14" t="str">
        <x:v>source_classes</x:v>
      </x:c>
      <x:c r="B102" s="14" t="str">
        <x:v>reference_work</x:v>
      </x:c>
      <x:c r="C102" s="16" t="str">
        <x:v>Έργο αναφοράς</x:v>
      </x:c>
      <x:c r="D102" s="16" t="str">
        <x:v>Reference work</x:v>
      </x:c>
      <x:c r="E102" s="14" t="str">
        <x:v>Επιμελημένο έργο αναφοράς</x:v>
      </x:c>
      <x:c r="F102" s="14" t="str">
        <x:v>Edited reference work</x:v>
      </x:c>
      <x:c r="G102" s="21" t="n">
        <x:v>80</x:v>
      </x:c>
    </x:row>
    <x:row r="103" ht="42" customHeight="1">
      <x:c r="A103" s="14" t="str">
        <x:v>source_classes</x:v>
      </x:c>
      <x:c r="B103" s="14" t="str">
        <x:v>knowledge_graph</x:v>
      </x:c>
      <x:c r="C103" s="16" t="str">
        <x:v>Γράφος γνώσης</x:v>
      </x:c>
      <x:c r="D103" s="16" t="str">
        <x:v>Knowledge graph</x:v>
      </x:c>
      <x:c r="E103" s="14" t="str">
        <x:v>Συνεργατική δομημένη βάση για ανακάλυψη και διασύνδεση</x:v>
      </x:c>
      <x:c r="F103" s="14" t="str">
        <x:v>Collaborative structured database for discovery and linking</x:v>
      </x:c>
      <x:c r="G103" s="21" t="n">
        <x:v>90</x:v>
      </x:c>
    </x:row>
    <x:row r="104" ht="42" customHeight="1">
      <x:c r="A104" s="14" t="str">
        <x:v>source_classes</x:v>
      </x:c>
      <x:c r="B104" s="14" t="str">
        <x:v>other</x:v>
      </x:c>
      <x:c r="C104" s="16" t="str">
        <x:v>Άλλο</x:v>
      </x:c>
      <x:c r="D104" s="16" t="str">
        <x:v>Other</x:v>
      </x:c>
      <x:c r="E104" s="14" t="str">
        <x:v>Πηγή που δεν ανήκει στις προηγούμενες κατηγορίες</x:v>
      </x:c>
      <x:c r="F104" s="14" t="str">
        <x:v>Source outside the preceding classes</x:v>
      </x:c>
      <x:c r="G104" s="21" t="n">
        <x:v>99</x:v>
      </x:c>
    </x:row>
    <x:row r="105" ht="42" customHeight="1">
      <x:c r="A105" s="14" t="str">
        <x:v>support_scopes</x:v>
      </x:c>
      <x:c r="B105" s="14" t="str">
        <x:v>identity</x:v>
      </x:c>
      <x:c r="C105" s="16" t="str">
        <x:v>Ταυτότητα</x:v>
      </x:c>
      <x:c r="D105" s="16" t="str">
        <x:v>Identity</x:v>
      </x:c>
      <x:c r="E105" s="14" t="str">
        <x:v>Υποστηρίζει την ταυτότητα της οντότητας</x:v>
      </x:c>
      <x:c r="F105" s="14" t="str">
        <x:v>Supports the identity of the entity</x:v>
      </x:c>
      <x:c r="G105" s="21" t="n">
        <x:v>10</x:v>
      </x:c>
    </x:row>
    <x:row r="106" ht="42" customHeight="1">
      <x:c r="A106" s="14" t="str">
        <x:v>support_scopes</x:v>
      </x:c>
      <x:c r="B106" s="14" t="str">
        <x:v>names</x:v>
      </x:c>
      <x:c r="C106" s="16" t="str">
        <x:v>Ονόματα</x:v>
      </x:c>
      <x:c r="D106" s="16" t="str">
        <x:v>Names</x:v>
      </x:c>
      <x:c r="E106" s="14" t="str">
        <x:v>Υποστηρίζει ονόματα ή μεταγραφές</x:v>
      </x:c>
      <x:c r="F106" s="14" t="str">
        <x:v>Supports names or transliterations</x:v>
      </x:c>
      <x:c r="G106" s="21" t="n">
        <x:v>20</x:v>
      </x:c>
    </x:row>
    <x:row r="107" ht="42" customHeight="1">
      <x:c r="A107" s="14" t="str">
        <x:v>support_scopes</x:v>
      </x:c>
      <x:c r="B107" s="14" t="str">
        <x:v>description</x:v>
      </x:c>
      <x:c r="C107" s="16" t="str">
        <x:v>Περιγραφή</x:v>
      </x:c>
      <x:c r="D107" s="16" t="str">
        <x:v>Description</x:v>
      </x:c>
      <x:c r="E107" s="14" t="str">
        <x:v>Υποστηρίζει τη συνοπτική περιγραφή</x:v>
      </x:c>
      <x:c r="F107" s="14" t="str">
        <x:v>Supports the summary description</x:v>
      </x:c>
      <x:c r="G107" s="21" t="n">
        <x:v>30</x:v>
      </x:c>
    </x:row>
    <x:row r="108" ht="42" customHeight="1">
      <x:c r="A108" s="14" t="str">
        <x:v>support_scopes</x:v>
      </x:c>
      <x:c r="B108" s="14" t="str">
        <x:v>chronology</x:v>
      </x:c>
      <x:c r="C108" s="16" t="str">
        <x:v>Χρονολόγηση</x:v>
      </x:c>
      <x:c r="D108" s="16" t="str">
        <x:v>Chronology</x:v>
      </x:c>
      <x:c r="E108" s="14" t="str">
        <x:v>Υποστηρίζει χρονικά όρια ή φάσεις</x:v>
      </x:c>
      <x:c r="F108" s="14" t="str">
        <x:v>Supports temporal bounds or phases</x:v>
      </x:c>
      <x:c r="G108" s="21" t="n">
        <x:v>40</x:v>
      </x:c>
    </x:row>
    <x:row r="109" ht="42" customHeight="1">
      <x:c r="A109" s="14" t="str">
        <x:v>support_scopes</x:v>
      </x:c>
      <x:c r="B109" s="14" t="str">
        <x:v>geometry</x:v>
      </x:c>
      <x:c r="C109" s="16" t="str">
        <x:v>Χωρική θέση</x:v>
      </x:c>
      <x:c r="D109" s="16" t="str">
        <x:v>Geometry</x:v>
      </x:c>
      <x:c r="E109" s="14" t="str">
        <x:v>Υποστηρίζει θέση ή γεωμετρία</x:v>
      </x:c>
      <x:c r="F109" s="14" t="str">
        <x:v>Supports location or geometry</x:v>
      </x:c>
      <x:c r="G109" s="21" t="n">
        <x:v>50</x:v>
      </x:c>
    </x:row>
    <x:row r="110" ht="42" customHeight="1">
      <x:c r="A110" s="14" t="str">
        <x:v>support_scopes</x:v>
      </x:c>
      <x:c r="B110" s="14" t="str">
        <x:v>classification</x:v>
      </x:c>
      <x:c r="C110" s="16" t="str">
        <x:v>Ταξινόμηση</x:v>
      </x:c>
      <x:c r="D110" s="16" t="str">
        <x:v>Classification</x:v>
      </x:c>
      <x:c r="E110" s="14" t="str">
        <x:v>Υποστηρίζει τύπο ή συλλογή</x:v>
      </x:c>
      <x:c r="F110" s="14" t="str">
        <x:v>Supports type or collection</x:v>
      </x:c>
      <x:c r="G110" s="21" t="n">
        <x:v>60</x:v>
      </x:c>
    </x:row>
    <x:row r="111" ht="42" customHeight="1">
      <x:c r="A111" s="14" t="str">
        <x:v>support_scopes</x:v>
      </x:c>
      <x:c r="B111" s="14" t="str">
        <x:v>relationships</x:v>
      </x:c>
      <x:c r="C111" s="16" t="str">
        <x:v>Σχέσεις</x:v>
      </x:c>
      <x:c r="D111" s="16" t="str">
        <x:v>Relationships</x:v>
      </x:c>
      <x:c r="E111" s="14" t="str">
        <x:v>Υποστηρίζει σχέση με άλλη οντότητα ή αρχή</x:v>
      </x:c>
      <x:c r="F111" s="14" t="str">
        <x:v>Supports a relation to another entity or authority</x:v>
      </x:c>
      <x:c r="G111" s="21" t="n">
        <x:v>70</x:v>
      </x:c>
    </x:row>
    <x:row r="112" ht="42" customHeight="1">
      <x:c r="A112" s="14" t="str">
        <x:v>translation_statuses</x:v>
      </x:c>
      <x:c r="B112" s="14" t="str">
        <x:v>source</x:v>
      </x:c>
      <x:c r="C112" s="16" t="str">
        <x:v>Κείμενο πηγής</x:v>
      </x:c>
      <x:c r="D112" s="16" t="str">
        <x:v>Source text</x:v>
      </x:c>
      <x:c r="E112" s="14" t="str">
        <x:v>Το κείμενο προέρχεται από την αρχική έρευνα</x:v>
      </x:c>
      <x:c r="F112" s="14" t="str">
        <x:v>Text originates in the submitted research</x:v>
      </x:c>
      <x:c r="G112" s="21" t="n">
        <x:v>10</x:v>
      </x:c>
    </x:row>
    <x:row r="113" ht="42" customHeight="1">
      <x:c r="A113" s="14" t="str">
        <x:v>translation_statuses</x:v>
      </x:c>
      <x:c r="B113" s="14" t="str">
        <x:v>machine_assisted_unreviewed</x:v>
      </x:c>
      <x:c r="C113" s="16" t="str">
        <x:v>Μηχανικά υποβοηθούμενο χωρίς επιμέλεια</x:v>
      </x:c>
      <x:c r="D113" s="16" t="str">
        <x:v>Machine-assisted unreviewed</x:v>
      </x:c>
      <x:c r="E113" s="14" t="str">
        <x:v>Η μετάφραση δημιουργήθηκε μηχανικά και δεν επιμελήθηκε</x:v>
      </x:c>
      <x:c r="F113" s="14" t="str">
        <x:v>Translation was machine-generated and not editorially reviewed</x:v>
      </x:c>
      <x:c r="G113" s="21" t="n">
        <x:v>20</x:v>
      </x:c>
    </x:row>
    <x:row r="114" ht="42" customHeight="1">
      <x:c r="A114" s="14" t="str">
        <x:v>translation_statuses</x:v>
      </x:c>
      <x:c r="B114" s="14" t="str">
        <x:v>machine_assisted_reviewed</x:v>
      </x:c>
      <x:c r="C114" s="16" t="str">
        <x:v>Μηχανικά υποβοηθούμενο και ελεγμένο</x:v>
      </x:c>
      <x:c r="D114" s="16" t="str">
        <x:v>Machine-assisted reviewed</x:v>
      </x:c>
      <x:c r="E114" s="14" t="str">
        <x:v>Η μετάφραση δημιουργήθηκε μηχανικά και ελέγχθηκε επιμελητικά</x:v>
      </x:c>
      <x:c r="F114" s="14" t="str">
        <x:v>Translation was machine-generated and editorially checked</x:v>
      </x:c>
      <x:c r="G114" s="21" t="n">
        <x:v>30</x:v>
      </x:c>
    </x:row>
    <x:row r="115" ht="42" customHeight="1">
      <x:c r="A115" s="14" t="str">
        <x:v>translation_statuses</x:v>
      </x:c>
      <x:c r="B115" s="14" t="str">
        <x:v>human_reviewed</x:v>
      </x:c>
      <x:c r="C115" s="16" t="str">
        <x:v>Ανθρώπινη επιμέλεια</x:v>
      </x:c>
      <x:c r="D115" s="16" t="str">
        <x:v>Human reviewed</x:v>
      </x:c>
      <x:c r="E115" s="14" t="str">
        <x:v>Το κείμενο μεταφράστηκε ή αναθεωρήθηκε από επιμελητή</x:v>
      </x:c>
      <x:c r="F115" s="14" t="str">
        <x:v>Text was translated or revised by an editor</x:v>
      </x:c>
      <x:c r="G115" s="21" t="n">
        <x:v>40</x:v>
      </x:c>
    </x:row>
    <x:row r="116" ht="42" customHeight="1">
      <x:c r="A116" s="14" t="str">
        <x:v>translation_statuses</x:v>
      </x:c>
      <x:c r="B116" s="14" t="str">
        <x:v>not_applicable</x:v>
      </x:c>
      <x:c r="C116" s="16" t="str">
        <x:v>Δεν εφαρμόζεται</x:v>
      </x:c>
      <x:c r="D116" s="16" t="str">
        <x:v>Not applicable</x:v>
      </x:c>
      <x:c r="E116" s="14" t="str">
        <x:v>Δεν απαιτείται μετάφραση</x:v>
      </x:c>
      <x:c r="F116" s="14" t="str">
        <x:v>Translation is not required</x:v>
      </x:c>
      <x:c r="G116" s="21" t="n">
        <x:v>90</x:v>
      </x:c>
    </x:row>
  </x:sheetData>
  <x:mergeCells>
    <x:mergeCell ref="A1:G1"/>
    <x:mergeCell ref="A2:G2"/>
  </x:mergeCells>
  <x:pageMargins left="0.7" right="0.7" top="0.75" bottom="0.75" header="0.3" footer="0.3"/>
  <x:tableParts count="1">
    <x:tablePart xmlns:r="http://schemas.openxmlformats.org/officeDocument/2006/relationships" r:id="R3534831df49a4a42"/>
  </x:tableParts>
</x:worksheet>
</file>